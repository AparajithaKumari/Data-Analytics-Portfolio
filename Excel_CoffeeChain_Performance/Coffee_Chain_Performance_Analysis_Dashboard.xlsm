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PARAJITHA KUMARI\Documents\data\"/>
    </mc:Choice>
  </mc:AlternateContent>
  <xr:revisionPtr revIDLastSave="0" documentId="13_ncr:1_{54E879AA-8CDA-4797-BE10-BE622FD6A948}" xr6:coauthVersionLast="47" xr6:coauthVersionMax="47" xr10:uidLastSave="{00000000-0000-0000-0000-000000000000}"/>
  <bookViews>
    <workbookView xWindow="-108" yWindow="-108" windowWidth="23256" windowHeight="12456" xr2:uid="{C9499BF3-98C7-46D8-BD68-C53CA5A2F42E}"/>
  </bookViews>
  <sheets>
    <sheet name="Dashboard" sheetId="1" r:id="rId1"/>
    <sheet name="Coffee_Chain_Sales" sheetId="2" r:id="rId2"/>
    <sheet name="Analysis" sheetId="3" state="hidden" r:id="rId3"/>
    <sheet name="Analysis2" sheetId="4" state="hidden" r:id="rId4"/>
  </sheets>
  <definedNames>
    <definedName name="_xlchart.v5.0" hidden="1">Analysis!$I$27</definedName>
    <definedName name="_xlchart.v5.1" hidden="1">Analysis!$I$28:$I$47</definedName>
    <definedName name="_xlchart.v5.2" hidden="1">Analysis!$J$27</definedName>
    <definedName name="_xlchart.v5.3" hidden="1">Analysis!$J$28:$J$47</definedName>
    <definedName name="_xlchart.v5.4" hidden="1">Analysis!$K$27</definedName>
    <definedName name="_xlchart.v5.5" hidden="1">Analysis!$K$28:$K$47</definedName>
    <definedName name="ExternalData_1" localSheetId="1" hidden="1">'Coffee_Chain_Sales'!$A$1:$X$1063</definedName>
    <definedName name="NativeTimeline_Date">#N/A</definedName>
    <definedName name="Slicer_Market">#N/A</definedName>
    <definedName name="Slicer_Product_line">#N/A</definedName>
    <definedName name="Slicer_Product_type">#N/A</definedName>
    <definedName name="Slicer_Typ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45" i="3" l="1"/>
  <c r="J45" i="3"/>
  <c r="K45" i="3"/>
  <c r="I46" i="3"/>
  <c r="J46" i="3"/>
  <c r="K46" i="3"/>
  <c r="I47" i="3"/>
  <c r="J47" i="3"/>
  <c r="K47" i="3"/>
  <c r="I36" i="3"/>
  <c r="J36" i="3"/>
  <c r="K36" i="3"/>
  <c r="I37" i="3"/>
  <c r="J37" i="3"/>
  <c r="K37" i="3"/>
  <c r="I38" i="3"/>
  <c r="J38" i="3"/>
  <c r="K38" i="3"/>
  <c r="I39" i="3"/>
  <c r="J39" i="3"/>
  <c r="K39" i="3"/>
  <c r="I40" i="3"/>
  <c r="J40" i="3"/>
  <c r="K40" i="3"/>
  <c r="I41" i="3"/>
  <c r="J41" i="3"/>
  <c r="K41" i="3"/>
  <c r="I42" i="3"/>
  <c r="J42" i="3"/>
  <c r="K42" i="3"/>
  <c r="I43" i="3"/>
  <c r="J43" i="3"/>
  <c r="K43" i="3"/>
  <c r="I44" i="3"/>
  <c r="J44" i="3"/>
  <c r="K44" i="3"/>
  <c r="I28" i="3"/>
  <c r="J28" i="3"/>
  <c r="K28" i="3"/>
  <c r="I29" i="3"/>
  <c r="J29" i="3"/>
  <c r="K29" i="3"/>
  <c r="I30" i="3"/>
  <c r="J30" i="3"/>
  <c r="K30" i="3"/>
  <c r="I31" i="3"/>
  <c r="J31" i="3"/>
  <c r="K31" i="3"/>
  <c r="I32" i="3"/>
  <c r="J32" i="3"/>
  <c r="K32" i="3"/>
  <c r="I33" i="3"/>
  <c r="J33" i="3"/>
  <c r="K33" i="3"/>
  <c r="I34" i="3"/>
  <c r="J34" i="3"/>
  <c r="K34" i="3"/>
  <c r="I35" i="3"/>
  <c r="J35" i="3"/>
  <c r="K35" i="3"/>
  <c r="H9" i="4"/>
  <c r="H8" i="4"/>
  <c r="H7" i="4"/>
  <c r="C39" i="3"/>
  <c r="C40" i="3"/>
  <c r="C41" i="3"/>
  <c r="C42" i="3"/>
  <c r="B39" i="3"/>
  <c r="B40" i="3"/>
  <c r="B41" i="3"/>
  <c r="B42" i="3"/>
  <c r="A40" i="3"/>
  <c r="A41" i="3"/>
  <c r="A42" i="3"/>
  <c r="A39" i="3"/>
  <c r="I7" i="4"/>
  <c r="B4" i="3"/>
  <c r="B13" i="3"/>
  <c r="B7" i="3"/>
  <c r="C10" i="3"/>
  <c r="I8" i="4"/>
  <c r="I9"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03CE2ED-D1A4-49C7-9859-1720BA00F1EE}" keepAlive="1" name="Query - Coffee_Chain_Sales" description="Connection to the 'Coffee_Chain_Sales' query in the workbook." type="5" refreshedVersion="8" background="1" saveData="1">
    <dbPr connection="Provider=Microsoft.Mashup.OleDb.1;Data Source=$Workbook$;Location=Coffee_Chain_Sales;Extended Properties=&quot;&quot;" command="SELECT * FROM [Coffee_Chain_Sales]"/>
  </connection>
</connections>
</file>

<file path=xl/sharedStrings.xml><?xml version="1.0" encoding="utf-8"?>
<sst xmlns="http://schemas.openxmlformats.org/spreadsheetml/2006/main" count="7559" uniqueCount="103">
  <si>
    <t>Area Code</t>
  </si>
  <si>
    <t>Cogs</t>
  </si>
  <si>
    <t>DifferenceBetweenActualandTargetProfit</t>
  </si>
  <si>
    <t>Date</t>
  </si>
  <si>
    <t>Inventory Margin</t>
  </si>
  <si>
    <t>Gross Margin</t>
  </si>
  <si>
    <t>Market_size</t>
  </si>
  <si>
    <t>Market</t>
  </si>
  <si>
    <t>Marketing</t>
  </si>
  <si>
    <t>Product_line</t>
  </si>
  <si>
    <t>Product_type</t>
  </si>
  <si>
    <t>Product</t>
  </si>
  <si>
    <t>Profit</t>
  </si>
  <si>
    <t>Sales</t>
  </si>
  <si>
    <t>State</t>
  </si>
  <si>
    <t>Target_cogs</t>
  </si>
  <si>
    <t>Target_margin</t>
  </si>
  <si>
    <t>Target_profit</t>
  </si>
  <si>
    <t xml:space="preserve">Target_sales </t>
  </si>
  <si>
    <t>Total_expenses</t>
  </si>
  <si>
    <t>Type</t>
  </si>
  <si>
    <t>Net Margin%</t>
  </si>
  <si>
    <t>Major Market</t>
  </si>
  <si>
    <t>Central</t>
  </si>
  <si>
    <t>Leaves</t>
  </si>
  <si>
    <t>Herbal Tea</t>
  </si>
  <si>
    <t>Lemon</t>
  </si>
  <si>
    <t>Colorado</t>
  </si>
  <si>
    <t>Decaf</t>
  </si>
  <si>
    <t>Mint</t>
  </si>
  <si>
    <t>South</t>
  </si>
  <si>
    <t>Texas</t>
  </si>
  <si>
    <t>East</t>
  </si>
  <si>
    <t>Tea</t>
  </si>
  <si>
    <t>Darjeeling</t>
  </si>
  <si>
    <t>Florida</t>
  </si>
  <si>
    <t>Regular</t>
  </si>
  <si>
    <t>West</t>
  </si>
  <si>
    <t>Green Tea</t>
  </si>
  <si>
    <t>California</t>
  </si>
  <si>
    <t>Small Market</t>
  </si>
  <si>
    <t>Beans</t>
  </si>
  <si>
    <t>Espresso</t>
  </si>
  <si>
    <t>Decaf Espresso</t>
  </si>
  <si>
    <t>Iowa</t>
  </si>
  <si>
    <t>Connecticut</t>
  </si>
  <si>
    <t>Coffee</t>
  </si>
  <si>
    <t>Decaf Irish Cream</t>
  </si>
  <si>
    <t>Oklahoma</t>
  </si>
  <si>
    <t>Nevada</t>
  </si>
  <si>
    <t>Utah</t>
  </si>
  <si>
    <t>Amaretto</t>
  </si>
  <si>
    <t>New Hampshire</t>
  </si>
  <si>
    <t>Colombian</t>
  </si>
  <si>
    <t>Caffe Mocha</t>
  </si>
  <si>
    <t>Caffe Latte</t>
  </si>
  <si>
    <t>Louisiana</t>
  </si>
  <si>
    <t>Oregon</t>
  </si>
  <si>
    <t>Chamomile</t>
  </si>
  <si>
    <t>Missouri</t>
  </si>
  <si>
    <t>Wisconsin</t>
  </si>
  <si>
    <t>Washington</t>
  </si>
  <si>
    <t>Earl Grey</t>
  </si>
  <si>
    <t>Massachusetts</t>
  </si>
  <si>
    <t>Illinois</t>
  </si>
  <si>
    <t>New Mexico</t>
  </si>
  <si>
    <t>Ohio</t>
  </si>
  <si>
    <t>Regular Espresso</t>
  </si>
  <si>
    <t>New York</t>
  </si>
  <si>
    <t>Sum of Sales</t>
  </si>
  <si>
    <t>Sum of Profit</t>
  </si>
  <si>
    <t>Average of Net Margin%</t>
  </si>
  <si>
    <t>Sum of Cogs</t>
  </si>
  <si>
    <t>Gross Margin%</t>
  </si>
  <si>
    <t>Row Labels</t>
  </si>
  <si>
    <t>Grand Total</t>
  </si>
  <si>
    <t>Jan</t>
  </si>
  <si>
    <t>Feb</t>
  </si>
  <si>
    <t>Mar</t>
  </si>
  <si>
    <t>Apr</t>
  </si>
  <si>
    <t>May</t>
  </si>
  <si>
    <t>Jun</t>
  </si>
  <si>
    <t>Jul</t>
  </si>
  <si>
    <t>Aug</t>
  </si>
  <si>
    <t>Sep</t>
  </si>
  <si>
    <t>Oct</t>
  </si>
  <si>
    <t>Nov</t>
  </si>
  <si>
    <t>Dec</t>
  </si>
  <si>
    <t>Other_expenses</t>
  </si>
  <si>
    <t>Sum of Marketing</t>
  </si>
  <si>
    <t>Sum of Other_expenses</t>
  </si>
  <si>
    <t xml:space="preserve">Sum of Target_sales </t>
  </si>
  <si>
    <t>Sum of Target_profit</t>
  </si>
  <si>
    <t>Overallnetmargin</t>
  </si>
  <si>
    <t>2012</t>
  </si>
  <si>
    <t>2013</t>
  </si>
  <si>
    <t>2014</t>
  </si>
  <si>
    <t>Years (Date)</t>
  </si>
  <si>
    <t>OPTION BUTTON</t>
  </si>
  <si>
    <t>Target sales</t>
  </si>
  <si>
    <t>Target Profit</t>
  </si>
  <si>
    <t xml:space="preserve"> Sales</t>
  </si>
  <si>
    <t xml:space="preserve"> Profit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</si>
</sst>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K"/>
    <numFmt numFmtId="165" formatCode="\$0.00,\k"/>
  </numFmts>
  <fonts count="4" x14ac:knownFonts="1">
    <font>
      <sz val="11"/>
      <color theme="1"/>
      <name val="Calibri"/>
      <family val="2"/>
      <scheme val="minor"/>
    </font>
    <font>
      <sz val="11"/>
      <color theme="1"/>
      <name val="Calibri"/>
      <family val="2"/>
      <scheme val="minor"/>
    </font>
    <font>
      <sz val="11"/>
      <color theme="0"/>
      <name val="Calibri"/>
      <family val="2"/>
      <scheme val="minor"/>
    </font>
    <font>
      <sz val="8"/>
      <color rgb="FF000000"/>
      <name val="Segoe UI"/>
      <family val="2"/>
    </font>
  </fonts>
  <fills count="3">
    <fill>
      <patternFill patternType="none"/>
    </fill>
    <fill>
      <patternFill patternType="gray125"/>
    </fill>
    <fill>
      <patternFill patternType="solid">
        <fgColor rgb="FFFF000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0">
    <xf numFmtId="0" fontId="0" fillId="0" borderId="0" xfId="0"/>
    <xf numFmtId="14" fontId="0" fillId="0" borderId="0" xfId="0" applyNumberFormat="1"/>
    <xf numFmtId="9" fontId="0" fillId="0" borderId="0" xfId="1" applyFont="1"/>
    <xf numFmtId="9" fontId="0" fillId="0" borderId="0" xfId="0" applyNumberFormat="1"/>
    <xf numFmtId="10"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2" fillId="2" borderId="0" xfId="0" applyFont="1" applyFill="1"/>
    <xf numFmtId="165" fontId="0" fillId="0" borderId="0" xfId="0" applyNumberFormat="1"/>
  </cellXfs>
  <cellStyles count="2">
    <cellStyle name="Normal" xfId="0" builtinId="0"/>
    <cellStyle name="Percent" xfId="1" builtinId="5"/>
  </cellStyles>
  <dxfs count="14">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font>
        <sz val="11"/>
        <color theme="0"/>
        <name val="Calibri"/>
        <family val="2"/>
        <scheme val="minor"/>
      </font>
    </dxf>
    <dxf>
      <font>
        <b val="0"/>
        <i val="0"/>
        <sz val="11"/>
        <color theme="0"/>
        <name val="Calibri"/>
        <family val="2"/>
        <scheme val="minor"/>
      </font>
      <fill>
        <patternFill patternType="solid">
          <fgColor theme="0"/>
          <bgColor rgb="FF572F17"/>
        </patternFill>
      </fill>
      <border diagonalUp="0" diagonalDown="0">
        <left style="thin">
          <color rgb="FF2D150A"/>
        </left>
        <right style="thin">
          <color rgb="FF2D150A"/>
        </right>
        <top style="thin">
          <color rgb="FF2D150A"/>
        </top>
        <bottom style="thin">
          <color rgb="FF2D150A"/>
        </bottom>
        <vertical/>
        <horizontal/>
      </border>
    </dxf>
    <dxf>
      <font>
        <color theme="0"/>
      </font>
    </dxf>
    <dxf>
      <font>
        <b val="0"/>
        <i val="0"/>
        <sz val="11"/>
        <color theme="0"/>
        <name val="Calibri Light"/>
        <family val="2"/>
        <scheme val="major"/>
      </font>
      <fill>
        <patternFill>
          <bgColor rgb="FF572F17"/>
        </patternFill>
      </fill>
      <border>
        <left style="thin">
          <color rgb="FF2D150A"/>
        </left>
        <right style="thin">
          <color rgb="FF2D150A"/>
        </right>
        <top style="thin">
          <color rgb="FF2D150A"/>
        </top>
        <bottom style="thin">
          <color rgb="FF2D150A"/>
        </bottom>
      </border>
    </dxf>
  </dxfs>
  <tableStyles count="2" defaultTableStyle="TableStyleMedium2" defaultPivotStyle="PivotStyleLight16">
    <tableStyle name="Slicer Style 1" pivot="0" table="0" count="4" xr9:uid="{F0928CA1-D50E-43C3-A9CD-AB2373DA9F2F}">
      <tableStyleElement type="wholeTable" dxfId="13"/>
      <tableStyleElement type="headerRow" dxfId="12"/>
    </tableStyle>
    <tableStyle name="Timeline Style 1" pivot="0" table="0" count="8" xr9:uid="{9145EA13-7388-49F5-B05B-349B6493B578}">
      <tableStyleElement type="wholeTable" dxfId="11"/>
      <tableStyleElement type="headerRow" dxfId="10"/>
    </tableStyle>
  </tableStyles>
  <colors>
    <mruColors>
      <color rgb="FFDE9D72"/>
      <color rgb="FFF4E3D0"/>
      <color rgb="FFB8643B"/>
      <color rgb="FF572F17"/>
      <color rgb="FF7F5539"/>
      <color rgb="FFB08968"/>
      <color rgb="FF4C6444"/>
      <color rgb="FF9C7156"/>
      <color rgb="FF45462A"/>
      <color rgb="FF4A6E75"/>
    </mruColors>
  </colors>
  <extLst>
    <ext xmlns:x14="http://schemas.microsoft.com/office/spreadsheetml/2009/9/main" uri="{46F421CA-312F-682f-3DD2-61675219B42D}">
      <x14:dxfs count="2">
        <dxf>
          <font>
            <color theme="0"/>
          </font>
          <fill>
            <patternFill>
              <bgColor rgb="FF2D150A"/>
            </patternFill>
          </fill>
        </dxf>
        <dxf>
          <fill>
            <patternFill>
              <bgColor theme="2" tint="-9.9948118533890809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
            <x14:slicerStyleElement type="selectedItemWithData" dxfId="0"/>
          </x14:slicerStyleElements>
        </x14:slicerStyle>
      </x14:slicerStyles>
    </ext>
    <ext xmlns:x15="http://schemas.microsoft.com/office/spreadsheetml/2010/11/main" uri="{A0A4C193-F2C1-4fcb-8827-314CF55A85BB}">
      <x15:dxfs count="6">
        <dxf>
          <fill>
            <patternFill patternType="solid">
              <fgColor theme="0" tint="-0.14993743705557422"/>
              <bgColor theme="2"/>
            </patternFill>
          </fill>
          <border>
            <left style="thin">
              <color auto="1"/>
            </left>
            <right style="thin">
              <color auto="1"/>
            </right>
            <top style="thin">
              <color auto="1"/>
            </top>
            <bottom style="thin">
              <color auto="1"/>
            </bottom>
          </border>
        </dxf>
        <dxf>
          <fill>
            <patternFill patternType="solid">
              <fgColor theme="0"/>
              <bgColor rgb="FF2D150A"/>
            </patternFill>
          </fill>
        </dxf>
        <dxf>
          <font>
            <sz val="9"/>
            <color theme="0"/>
            <name val="Calibri"/>
            <family val="2"/>
            <scheme val="minor"/>
          </font>
        </dxf>
        <dxf>
          <font>
            <sz val="9"/>
            <color theme="0"/>
            <name val="Calibri"/>
            <family val="2"/>
            <scheme val="minor"/>
          </font>
        </dxf>
        <dxf>
          <font>
            <sz val="9"/>
            <color theme="0"/>
            <name val="Calibri"/>
            <family val="2"/>
            <scheme val="minor"/>
          </font>
        </dxf>
        <dxf>
          <font>
            <sz val="10"/>
            <color theme="0"/>
            <name val="Calibri"/>
            <family val="2"/>
            <scheme val="minor"/>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11/relationships/timelineCache" Target="timelineCaches/timelineCache1.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IN" sz="2000" b="1" i="0" u="none" strike="noStrike" baseline="0">
                <a:solidFill>
                  <a:schemeClr val="bg1"/>
                </a:solidFill>
              </a:rPr>
              <a:t>Actual vs Target Performance</a:t>
            </a:r>
            <a:endParaRPr lang="en-IN" sz="2000" b="1">
              <a:solidFill>
                <a:schemeClr val="bg1"/>
              </a:solidFill>
            </a:endParaRPr>
          </a:p>
        </c:rich>
      </c:tx>
      <c:layout>
        <c:manualLayout>
          <c:xMode val="edge"/>
          <c:yMode val="edge"/>
          <c:x val="0.28807984674585163"/>
          <c:y val="6.9291341850891324E-3"/>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manualLayout>
          <c:layoutTarget val="inner"/>
          <c:xMode val="edge"/>
          <c:yMode val="edge"/>
          <c:x val="0"/>
          <c:y val="0.10103329982850973"/>
          <c:w val="0.97848224755287383"/>
          <c:h val="0.79836402840969212"/>
        </c:manualLayout>
      </c:layout>
      <c:barChart>
        <c:barDir val="col"/>
        <c:grouping val="clustered"/>
        <c:varyColors val="0"/>
        <c:ser>
          <c:idx val="0"/>
          <c:order val="0"/>
          <c:tx>
            <c:strRef>
              <c:f>Analysis!$B$39</c:f>
              <c:strCache>
                <c:ptCount val="1"/>
                <c:pt idx="0">
                  <c:v> Profit</c:v>
                </c:pt>
              </c:strCache>
            </c:strRef>
          </c:tx>
          <c:spPr>
            <a:solidFill>
              <a:srgbClr val="DE9D72"/>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outEnd"/>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Analysis!$A$40:$A$42</c:f>
              <c:strCache>
                <c:ptCount val="3"/>
                <c:pt idx="0">
                  <c:v>2012</c:v>
                </c:pt>
                <c:pt idx="1">
                  <c:v>2013</c:v>
                </c:pt>
                <c:pt idx="2">
                  <c:v>2014</c:v>
                </c:pt>
              </c:strCache>
            </c:strRef>
          </c:cat>
          <c:val>
            <c:numRef>
              <c:f>Analysis!$B$40:$B$42</c:f>
              <c:numCache>
                <c:formatCode>\$0.00,\k</c:formatCode>
                <c:ptCount val="3"/>
                <c:pt idx="0">
                  <c:v>9362</c:v>
                </c:pt>
                <c:pt idx="1">
                  <c:v>22682</c:v>
                </c:pt>
                <c:pt idx="2">
                  <c:v>32267</c:v>
                </c:pt>
              </c:numCache>
            </c:numRef>
          </c:val>
          <c:extLst>
            <c:ext xmlns:c16="http://schemas.microsoft.com/office/drawing/2014/chart" uri="{C3380CC4-5D6E-409C-BE32-E72D297353CC}">
              <c16:uniqueId val="{00000000-F45C-4081-AEB0-F31B6868ADDF}"/>
            </c:ext>
          </c:extLst>
        </c:ser>
        <c:dLbls>
          <c:dLblPos val="outEnd"/>
          <c:showLegendKey val="0"/>
          <c:showVal val="1"/>
          <c:showCatName val="0"/>
          <c:showSerName val="0"/>
          <c:showPercent val="0"/>
          <c:showBubbleSize val="0"/>
        </c:dLbls>
        <c:gapWidth val="219"/>
        <c:axId val="294445344"/>
        <c:axId val="294447744"/>
      </c:barChart>
      <c:lineChart>
        <c:grouping val="standard"/>
        <c:varyColors val="0"/>
        <c:ser>
          <c:idx val="1"/>
          <c:order val="1"/>
          <c:tx>
            <c:strRef>
              <c:f>Analysis!$C$39</c:f>
              <c:strCache>
                <c:ptCount val="1"/>
                <c:pt idx="0">
                  <c:v>Target Profit</c:v>
                </c:pt>
              </c:strCache>
            </c:strRef>
          </c:tx>
          <c:spPr>
            <a:ln w="44450" cap="rnd">
              <a:solidFill>
                <a:srgbClr val="B8643B"/>
              </a:solidFill>
              <a:round/>
            </a:ln>
            <a:effectLst/>
          </c:spPr>
          <c:marker>
            <c:symbol val="none"/>
          </c:marker>
          <c:dPt>
            <c:idx val="1"/>
            <c:marker>
              <c:symbol val="none"/>
            </c:marker>
            <c:bubble3D val="0"/>
            <c:spPr>
              <a:ln w="44450" cap="rnd">
                <a:solidFill>
                  <a:srgbClr val="B8643B"/>
                </a:solidFill>
                <a:round/>
              </a:ln>
              <a:effectLst/>
            </c:spPr>
            <c:extLst>
              <c:ext xmlns:c16="http://schemas.microsoft.com/office/drawing/2014/chart" uri="{C3380CC4-5D6E-409C-BE32-E72D297353CC}">
                <c16:uniqueId val="{00000003-F45C-4081-AEB0-F31B6868ADDF}"/>
              </c:ext>
            </c:extLst>
          </c:dPt>
          <c:dPt>
            <c:idx val="2"/>
            <c:marker>
              <c:symbol val="none"/>
            </c:marker>
            <c:bubble3D val="0"/>
            <c:spPr>
              <a:ln w="44450" cap="rnd">
                <a:solidFill>
                  <a:srgbClr val="B8643B"/>
                </a:solidFill>
                <a:round/>
              </a:ln>
              <a:effectLst/>
            </c:spPr>
            <c:extLst>
              <c:ext xmlns:c16="http://schemas.microsoft.com/office/drawing/2014/chart" uri="{C3380CC4-5D6E-409C-BE32-E72D297353CC}">
                <c16:uniqueId val="{00000004-F45C-4081-AEB0-F31B6868ADDF}"/>
              </c:ext>
            </c:extLst>
          </c:dPt>
          <c:dLbls>
            <c:dLbl>
              <c:idx val="0"/>
              <c:layout>
                <c:manualLayout>
                  <c:x val="4.6121099592941486E-2"/>
                  <c:y val="7.6582298835788251E-2"/>
                </c:manualLayout>
              </c:layout>
              <c:spPr>
                <a:noFill/>
                <a:ln>
                  <a:noFill/>
                </a:ln>
                <a:effectLst/>
              </c:spPr>
              <c:txPr>
                <a:bodyPr rot="0" spcFirstLastPara="1" vertOverflow="overflow" horzOverflow="overflow"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en-US"/>
                </a:p>
              </c:txPr>
              <c:dLblPos val="r"/>
              <c:showLegendKey val="0"/>
              <c:showVal val="1"/>
              <c:showCatName val="0"/>
              <c:showSerName val="1"/>
              <c:showPercent val="0"/>
              <c:showBubbleSize val="0"/>
              <c:separator>, </c:separator>
              <c:extLst>
                <c:ext xmlns:c15="http://schemas.microsoft.com/office/drawing/2012/chart" uri="{CE6537A1-D6FC-4f65-9D91-7224C49458BB}">
                  <c15:layout>
                    <c:manualLayout>
                      <c:w val="0.10701868994008308"/>
                      <c:h val="0.15137767736540811"/>
                    </c:manualLayout>
                  </c15:layout>
                </c:ext>
                <c:ext xmlns:c16="http://schemas.microsoft.com/office/drawing/2014/chart" uri="{C3380CC4-5D6E-409C-BE32-E72D297353CC}">
                  <c16:uniqueId val="{00000002-F45C-4081-AEB0-F31B6868ADDF}"/>
                </c:ext>
              </c:extLst>
            </c:dLbl>
            <c:dLbl>
              <c:idx val="1"/>
              <c:layout>
                <c:manualLayout>
                  <c:x val="6.2086095605882775E-2"/>
                  <c:y val="9.1898959606354927E-2"/>
                </c:manualLayout>
              </c:layout>
              <c:spPr>
                <a:noFill/>
                <a:ln>
                  <a:noFill/>
                </a:ln>
                <a:effectLst/>
              </c:spPr>
              <c:txPr>
                <a:bodyPr rot="0" spcFirstLastPara="1" vertOverflow="overflow" horzOverflow="overflow"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en-US"/>
                </a:p>
              </c:txPr>
              <c:dLblPos val="r"/>
              <c:showLegendKey val="0"/>
              <c:showVal val="1"/>
              <c:showCatName val="0"/>
              <c:showSerName val="1"/>
              <c:showPercent val="0"/>
              <c:showBubbleSize val="0"/>
              <c:separator>, </c:separator>
              <c:extLst>
                <c:ext xmlns:c15="http://schemas.microsoft.com/office/drawing/2012/chart" uri="{CE6537A1-D6FC-4f65-9D91-7224C49458BB}">
                  <c15:layout>
                    <c:manualLayout>
                      <c:w val="0.10169702460243599"/>
                      <c:h val="0.1820105968997234"/>
                    </c:manualLayout>
                  </c15:layout>
                </c:ext>
                <c:ext xmlns:c16="http://schemas.microsoft.com/office/drawing/2014/chart" uri="{C3380CC4-5D6E-409C-BE32-E72D297353CC}">
                  <c16:uniqueId val="{00000003-F45C-4081-AEB0-F31B6868ADDF}"/>
                </c:ext>
              </c:extLst>
            </c:dLbl>
            <c:dLbl>
              <c:idx val="2"/>
              <c:layout>
                <c:manualLayout>
                  <c:x val="4.4347211147059126E-2"/>
                  <c:y val="0.13274265131536625"/>
                </c:manualLayout>
              </c:layout>
              <c:spPr>
                <a:noFill/>
                <a:ln>
                  <a:noFill/>
                </a:ln>
                <a:effectLst/>
              </c:spPr>
              <c:txPr>
                <a:bodyPr rot="0" spcFirstLastPara="1" vertOverflow="overflow" horzOverflow="overflow" vert="horz" wrap="square" lIns="38100" tIns="19050" rIns="38100" bIns="19050" anchor="ctr" anchorCtr="1">
                  <a:noAutofit/>
                </a:bodyPr>
                <a:lstStyle/>
                <a:p>
                  <a:pPr>
                    <a:defRPr sz="1200" b="0" i="0" u="none" strike="noStrike" kern="1200" baseline="0">
                      <a:solidFill>
                        <a:schemeClr val="bg1"/>
                      </a:solidFill>
                      <a:latin typeface="+mn-lt"/>
                      <a:ea typeface="+mn-ea"/>
                      <a:cs typeface="+mn-cs"/>
                    </a:defRPr>
                  </a:pPr>
                  <a:endParaRPr lang="en-US"/>
                </a:p>
              </c:txPr>
              <c:dLblPos val="r"/>
              <c:showLegendKey val="0"/>
              <c:showVal val="1"/>
              <c:showCatName val="0"/>
              <c:showSerName val="1"/>
              <c:showPercent val="0"/>
              <c:showBubbleSize val="0"/>
              <c:separator>, </c:separator>
              <c:extLst>
                <c:ext xmlns:c15="http://schemas.microsoft.com/office/drawing/2012/chart" uri="{CE6537A1-D6FC-4f65-9D91-7224C49458BB}">
                  <c15:layout>
                    <c:manualLayout>
                      <c:w val="0.10701868994008308"/>
                      <c:h val="0.19732705666688108"/>
                    </c:manualLayout>
                  </c15:layout>
                </c:ext>
                <c:ext xmlns:c16="http://schemas.microsoft.com/office/drawing/2014/chart" uri="{C3380CC4-5D6E-409C-BE32-E72D297353CC}">
                  <c16:uniqueId val="{00000004-F45C-4081-AEB0-F31B6868ADDF}"/>
                </c:ext>
              </c:extLst>
            </c:dLbl>
            <c:spPr>
              <a:noFill/>
              <a:ln>
                <a:noFill/>
              </a:ln>
              <a:effectLst/>
            </c:spPr>
            <c:txPr>
              <a:bodyPr rot="0" spcFirstLastPara="1" vertOverflow="overflow" horzOverflow="overflow"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r"/>
            <c:showLegendKey val="0"/>
            <c:showVal val="1"/>
            <c:showCatName val="0"/>
            <c:showSerName val="1"/>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Analysis!$A$40:$A$42</c:f>
              <c:strCache>
                <c:ptCount val="3"/>
                <c:pt idx="0">
                  <c:v>2012</c:v>
                </c:pt>
                <c:pt idx="1">
                  <c:v>2013</c:v>
                </c:pt>
                <c:pt idx="2">
                  <c:v>2014</c:v>
                </c:pt>
              </c:strCache>
            </c:strRef>
          </c:cat>
          <c:val>
            <c:numRef>
              <c:f>Analysis!$C$40:$C$42</c:f>
              <c:numCache>
                <c:formatCode>\$0.00,\k</c:formatCode>
                <c:ptCount val="3"/>
                <c:pt idx="0">
                  <c:v>10720</c:v>
                </c:pt>
                <c:pt idx="1">
                  <c:v>21860</c:v>
                </c:pt>
                <c:pt idx="2">
                  <c:v>31320</c:v>
                </c:pt>
              </c:numCache>
            </c:numRef>
          </c:val>
          <c:smooth val="0"/>
          <c:extLst>
            <c:ext xmlns:c16="http://schemas.microsoft.com/office/drawing/2014/chart" uri="{C3380CC4-5D6E-409C-BE32-E72D297353CC}">
              <c16:uniqueId val="{00000001-F45C-4081-AEB0-F31B6868ADDF}"/>
            </c:ext>
          </c:extLst>
        </c:ser>
        <c:dLbls>
          <c:showLegendKey val="0"/>
          <c:showVal val="0"/>
          <c:showCatName val="0"/>
          <c:showSerName val="0"/>
          <c:showPercent val="0"/>
          <c:showBubbleSize val="0"/>
        </c:dLbls>
        <c:marker val="1"/>
        <c:smooth val="0"/>
        <c:axId val="294445344"/>
        <c:axId val="294447744"/>
      </c:lineChart>
      <c:catAx>
        <c:axId val="29444534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en-US"/>
          </a:p>
        </c:txPr>
        <c:crossAx val="294447744"/>
        <c:crosses val="autoZero"/>
        <c:auto val="1"/>
        <c:lblAlgn val="ctr"/>
        <c:lblOffset val="100"/>
        <c:noMultiLvlLbl val="0"/>
      </c:catAx>
      <c:valAx>
        <c:axId val="294447744"/>
        <c:scaling>
          <c:orientation val="minMax"/>
        </c:scaling>
        <c:delete val="1"/>
        <c:axPos val="l"/>
        <c:numFmt formatCode="\$0.00,\k" sourceLinked="1"/>
        <c:majorTickMark val="none"/>
        <c:minorTickMark val="none"/>
        <c:tickLblPos val="nextTo"/>
        <c:crossAx val="29444534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[Coffee_Chain_Performance_Analysis_Dashboard.xlsm]Analysis!PivotTable10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i="0" u="none" strike="noStrike" baseline="0">
                <a:solidFill>
                  <a:schemeClr val="bg1"/>
                </a:solidFill>
              </a:rPr>
              <a:t>Best-Selling Products (Top 6 )</a:t>
            </a:r>
            <a:endParaRPr lang="en-IN"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rgbClr val="DE9D7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DE9D7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E9D7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E9D72"/>
          </a:solidFill>
          <a:ln>
            <a:noFill/>
          </a:ln>
          <a:effectLst/>
          <a:sp3d/>
        </c:spPr>
        <c:dLbl>
          <c:idx val="0"/>
          <c:layout>
            <c:manualLayout>
              <c:x val="0"/>
              <c:y val="-2.1766565298838945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E9D72"/>
          </a:solidFill>
          <a:ln>
            <a:noFill/>
          </a:ln>
          <a:effectLst/>
          <a:sp3d/>
        </c:spPr>
        <c:dLbl>
          <c:idx val="0"/>
          <c:layout>
            <c:manualLayout>
              <c:x val="0"/>
              <c:y val="-2.9022087065118593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E9D72"/>
          </a:solidFill>
          <a:ln>
            <a:noFill/>
          </a:ln>
          <a:effectLst/>
          <a:sp3d/>
        </c:spPr>
        <c:dLbl>
          <c:idx val="0"/>
          <c:layout>
            <c:manualLayout>
              <c:x val="-7.7227436760984065E-17"/>
              <c:y val="-3.264984794825848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E9D72"/>
          </a:solidFill>
          <a:ln>
            <a:noFill/>
          </a:ln>
          <a:effectLst/>
          <a:sp3d/>
        </c:spPr>
        <c:dLbl>
          <c:idx val="0"/>
          <c:layout>
            <c:manualLayout>
              <c:x val="0"/>
              <c:y val="-2.1766565298838945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E9D72"/>
          </a:solidFill>
          <a:ln>
            <a:noFill/>
          </a:ln>
          <a:effectLst/>
          <a:sp3d/>
        </c:spPr>
        <c:dLbl>
          <c:idx val="0"/>
          <c:layout>
            <c:manualLayout>
              <c:x val="0"/>
              <c:y val="-2.539432618197877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DE9D72"/>
          </a:solidFill>
          <a:ln>
            <a:noFill/>
          </a:ln>
          <a:effectLst/>
          <a:sp3d/>
        </c:spPr>
        <c:dLbl>
          <c:idx val="0"/>
          <c:layout>
            <c:manualLayout>
              <c:x val="0"/>
              <c:y val="-1.8138804415699188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Analysis!$F$3</c:f>
              <c:strCache>
                <c:ptCount val="1"/>
                <c:pt idx="0">
                  <c:v>Total</c:v>
                </c:pt>
              </c:strCache>
            </c:strRef>
          </c:tx>
          <c:spPr>
            <a:solidFill>
              <a:srgbClr val="DE9D72"/>
            </a:solidFill>
            <a:ln>
              <a:noFill/>
            </a:ln>
            <a:effectLst/>
            <a:sp3d/>
          </c:spPr>
          <c:invertIfNegative val="0"/>
          <c:dPt>
            <c:idx val="0"/>
            <c:invertIfNegative val="0"/>
            <c:bubble3D val="0"/>
            <c:spPr>
              <a:solidFill>
                <a:srgbClr val="DE9D72"/>
              </a:solidFill>
              <a:ln>
                <a:noFill/>
              </a:ln>
              <a:effectLst/>
              <a:sp3d/>
            </c:spPr>
            <c:extLst>
              <c:ext xmlns:c16="http://schemas.microsoft.com/office/drawing/2014/chart" uri="{C3380CC4-5D6E-409C-BE32-E72D297353CC}">
                <c16:uniqueId val="{00000006-F63A-48F7-BEFC-61DC6E4F4D05}"/>
              </c:ext>
            </c:extLst>
          </c:dPt>
          <c:dPt>
            <c:idx val="1"/>
            <c:invertIfNegative val="0"/>
            <c:bubble3D val="0"/>
            <c:spPr>
              <a:solidFill>
                <a:srgbClr val="DE9D72"/>
              </a:solidFill>
              <a:ln>
                <a:noFill/>
              </a:ln>
              <a:effectLst/>
              <a:sp3d/>
            </c:spPr>
            <c:extLst>
              <c:ext xmlns:c16="http://schemas.microsoft.com/office/drawing/2014/chart" uri="{C3380CC4-5D6E-409C-BE32-E72D297353CC}">
                <c16:uniqueId val="{00000005-F63A-48F7-BEFC-61DC6E4F4D05}"/>
              </c:ext>
            </c:extLst>
          </c:dPt>
          <c:dPt>
            <c:idx val="2"/>
            <c:invertIfNegative val="0"/>
            <c:bubble3D val="0"/>
            <c:spPr>
              <a:solidFill>
                <a:srgbClr val="DE9D72"/>
              </a:solidFill>
              <a:ln>
                <a:noFill/>
              </a:ln>
              <a:effectLst/>
              <a:sp3d/>
            </c:spPr>
            <c:extLst>
              <c:ext xmlns:c16="http://schemas.microsoft.com/office/drawing/2014/chart" uri="{C3380CC4-5D6E-409C-BE32-E72D297353CC}">
                <c16:uniqueId val="{00000004-F63A-48F7-BEFC-61DC6E4F4D05}"/>
              </c:ext>
            </c:extLst>
          </c:dPt>
          <c:dPt>
            <c:idx val="3"/>
            <c:invertIfNegative val="0"/>
            <c:bubble3D val="0"/>
            <c:spPr>
              <a:solidFill>
                <a:srgbClr val="DE9D72"/>
              </a:solidFill>
              <a:ln>
                <a:noFill/>
              </a:ln>
              <a:effectLst/>
              <a:sp3d/>
            </c:spPr>
            <c:extLst>
              <c:ext xmlns:c16="http://schemas.microsoft.com/office/drawing/2014/chart" uri="{C3380CC4-5D6E-409C-BE32-E72D297353CC}">
                <c16:uniqueId val="{00000003-F63A-48F7-BEFC-61DC6E4F4D05}"/>
              </c:ext>
            </c:extLst>
          </c:dPt>
          <c:dPt>
            <c:idx val="4"/>
            <c:invertIfNegative val="0"/>
            <c:bubble3D val="0"/>
            <c:spPr>
              <a:solidFill>
                <a:srgbClr val="DE9D72"/>
              </a:solidFill>
              <a:ln>
                <a:noFill/>
              </a:ln>
              <a:effectLst/>
              <a:sp3d/>
            </c:spPr>
            <c:extLst>
              <c:ext xmlns:c16="http://schemas.microsoft.com/office/drawing/2014/chart" uri="{C3380CC4-5D6E-409C-BE32-E72D297353CC}">
                <c16:uniqueId val="{00000002-F63A-48F7-BEFC-61DC6E4F4D05}"/>
              </c:ext>
            </c:extLst>
          </c:dPt>
          <c:dPt>
            <c:idx val="5"/>
            <c:invertIfNegative val="0"/>
            <c:bubble3D val="0"/>
            <c:spPr>
              <a:solidFill>
                <a:srgbClr val="DE9D72"/>
              </a:solidFill>
              <a:ln>
                <a:noFill/>
              </a:ln>
              <a:effectLst/>
              <a:sp3d/>
            </c:spPr>
            <c:extLst>
              <c:ext xmlns:c16="http://schemas.microsoft.com/office/drawing/2014/chart" uri="{C3380CC4-5D6E-409C-BE32-E72D297353CC}">
                <c16:uniqueId val="{00000001-F63A-48F7-BEFC-61DC6E4F4D05}"/>
              </c:ext>
            </c:extLst>
          </c:dPt>
          <c:dLbls>
            <c:dLbl>
              <c:idx val="0"/>
              <c:layout>
                <c:manualLayout>
                  <c:x val="0"/>
                  <c:y val="-2.176656529883894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63A-48F7-BEFC-61DC6E4F4D05}"/>
                </c:ext>
              </c:extLst>
            </c:dLbl>
            <c:dLbl>
              <c:idx val="1"/>
              <c:layout>
                <c:manualLayout>
                  <c:x val="0"/>
                  <c:y val="-2.176656529883894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63A-48F7-BEFC-61DC6E4F4D05}"/>
                </c:ext>
              </c:extLst>
            </c:dLbl>
            <c:dLbl>
              <c:idx val="2"/>
              <c:layout>
                <c:manualLayout>
                  <c:x val="0"/>
                  <c:y val="-1.813880441569918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63A-48F7-BEFC-61DC6E4F4D05}"/>
                </c:ext>
              </c:extLst>
            </c:dLbl>
            <c:dLbl>
              <c:idx val="3"/>
              <c:layout>
                <c:manualLayout>
                  <c:x val="0"/>
                  <c:y val="-2.539432618197877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63A-48F7-BEFC-61DC6E4F4D05}"/>
                </c:ext>
              </c:extLst>
            </c:dLbl>
            <c:dLbl>
              <c:idx val="4"/>
              <c:layout>
                <c:manualLayout>
                  <c:x val="0"/>
                  <c:y val="-2.902208706511859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63A-48F7-BEFC-61DC6E4F4D05}"/>
                </c:ext>
              </c:extLst>
            </c:dLbl>
            <c:dLbl>
              <c:idx val="5"/>
              <c:layout>
                <c:manualLayout>
                  <c:x val="-7.7227436760984065E-17"/>
                  <c:y val="-3.26498479482584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63A-48F7-BEFC-61DC6E4F4D05}"/>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Analysis!$E$4:$E$10</c:f>
              <c:strCache>
                <c:ptCount val="6"/>
                <c:pt idx="0">
                  <c:v>Colombian</c:v>
                </c:pt>
                <c:pt idx="1">
                  <c:v>Lemon</c:v>
                </c:pt>
                <c:pt idx="2">
                  <c:v>Caffe Mocha</c:v>
                </c:pt>
                <c:pt idx="3">
                  <c:v>Chamomile</c:v>
                </c:pt>
                <c:pt idx="4">
                  <c:v>Decaf Espresso</c:v>
                </c:pt>
                <c:pt idx="5">
                  <c:v>Darjeeling</c:v>
                </c:pt>
              </c:strCache>
            </c:strRef>
          </c:cat>
          <c:val>
            <c:numRef>
              <c:f>Analysis!$F$4:$F$10</c:f>
              <c:numCache>
                <c:formatCode>\$0.00,\K</c:formatCode>
                <c:ptCount val="6"/>
                <c:pt idx="0">
                  <c:v>30761</c:v>
                </c:pt>
                <c:pt idx="1">
                  <c:v>24048</c:v>
                </c:pt>
                <c:pt idx="2">
                  <c:v>21716</c:v>
                </c:pt>
                <c:pt idx="3">
                  <c:v>19295</c:v>
                </c:pt>
                <c:pt idx="4">
                  <c:v>18888</c:v>
                </c:pt>
                <c:pt idx="5">
                  <c:v>17758</c:v>
                </c:pt>
              </c:numCache>
            </c:numRef>
          </c:val>
          <c:extLst>
            <c:ext xmlns:c16="http://schemas.microsoft.com/office/drawing/2014/chart" uri="{C3380CC4-5D6E-409C-BE32-E72D297353CC}">
              <c16:uniqueId val="{00000000-F63A-48F7-BEFC-61DC6E4F4D05}"/>
            </c:ext>
          </c:extLst>
        </c:ser>
        <c:dLbls>
          <c:showLegendKey val="0"/>
          <c:showVal val="0"/>
          <c:showCatName val="0"/>
          <c:showSerName val="0"/>
          <c:showPercent val="0"/>
          <c:showBubbleSize val="0"/>
        </c:dLbls>
        <c:gapWidth val="150"/>
        <c:shape val="box"/>
        <c:axId val="1527098176"/>
        <c:axId val="1527102016"/>
        <c:axId val="0"/>
      </c:bar3DChart>
      <c:catAx>
        <c:axId val="152709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527102016"/>
        <c:crosses val="autoZero"/>
        <c:auto val="1"/>
        <c:lblAlgn val="ctr"/>
        <c:lblOffset val="100"/>
        <c:noMultiLvlLbl val="0"/>
      </c:catAx>
      <c:valAx>
        <c:axId val="1527102016"/>
        <c:scaling>
          <c:orientation val="minMax"/>
        </c:scaling>
        <c:delete val="1"/>
        <c:axPos val="l"/>
        <c:majorGridlines>
          <c:spPr>
            <a:ln w="9525" cap="flat" cmpd="sng" algn="ctr">
              <a:noFill/>
              <a:round/>
            </a:ln>
            <a:effectLst/>
          </c:spPr>
        </c:majorGridlines>
        <c:numFmt formatCode="\$0.00,\K" sourceLinked="1"/>
        <c:majorTickMark val="none"/>
        <c:minorTickMark val="none"/>
        <c:tickLblPos val="nextTo"/>
        <c:crossAx val="15270981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[Coffee_Chain_Performance_Analysis_Dashboard.xlsm]Analysis!PivotTable11</c:name>
    <c:fmtId val="3"/>
  </c:pivotSource>
  <c:chart>
    <c:title>
      <c:tx>
        <c:rich>
          <a:bodyPr rot="0" spcFirstLastPara="1" vertOverflow="ellipsis" vert="horz" wrap="square" anchor="ctr" anchorCtr="1"/>
          <a:lstStyle/>
          <a:p>
            <a:pPr>
              <a:defRPr sz="2000" b="0" i="0" u="none" strike="noStrike" kern="1200" spc="0" baseline="0">
                <a:solidFill>
                  <a:schemeClr val="bg1"/>
                </a:solidFill>
                <a:latin typeface="+mn-lt"/>
                <a:ea typeface="+mn-ea"/>
                <a:cs typeface="+mn-cs"/>
              </a:defRPr>
            </a:pPr>
            <a:r>
              <a:rPr lang="en-IN" sz="2000" b="1" i="0" u="none" strike="noStrike" baseline="0"/>
              <a:t>Most Profitable Products (Top 6)</a:t>
            </a:r>
            <a:endParaRPr lang="en-US" sz="2000" b="1" baseline="0">
              <a:solidFill>
                <a:schemeClr val="bg1"/>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E9D72"/>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DE9D72"/>
          </a:solidFill>
          <a:ln>
            <a:noFill/>
          </a:ln>
          <a:effectLst/>
          <a:sp3d/>
        </c:spPr>
        <c:dLbl>
          <c:idx val="0"/>
          <c:layout>
            <c:manualLayout>
              <c:x val="0"/>
              <c:y val="-3.611971837995953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E9D72"/>
          </a:solidFill>
          <a:ln>
            <a:noFill/>
          </a:ln>
          <a:effectLst/>
          <a:sp3d/>
        </c:spPr>
        <c:dLbl>
          <c:idx val="0"/>
          <c:layout>
            <c:manualLayout>
              <c:x val="-3.717588644419044E-17"/>
              <c:y val="-3.25077465419636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E9D72"/>
          </a:solidFill>
          <a:ln>
            <a:noFill/>
          </a:ln>
          <a:effectLst/>
          <a:sp3d/>
        </c:spPr>
        <c:dLbl>
          <c:idx val="0"/>
          <c:layout>
            <c:manualLayout>
              <c:x val="0"/>
              <c:y val="-3.973169021795548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E9D72"/>
          </a:solidFill>
          <a:ln>
            <a:noFill/>
          </a:ln>
          <a:effectLst/>
          <a:sp3d/>
        </c:spPr>
        <c:dLbl>
          <c:idx val="0"/>
          <c:layout>
            <c:manualLayout>
              <c:x val="1.6222392394124863E-2"/>
              <c:y val="2.79114643755394E-4"/>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DE9D72"/>
          </a:solidFill>
          <a:ln>
            <a:noFill/>
          </a:ln>
          <a:effectLst/>
          <a:sp3d/>
        </c:spPr>
        <c:dLbl>
          <c:idx val="0"/>
          <c:layout>
            <c:manualLayout>
              <c:x val="-1.4870354577676176E-16"/>
              <c:y val="-2.1671831027975784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clustered"/>
        <c:varyColors val="0"/>
        <c:ser>
          <c:idx val="0"/>
          <c:order val="0"/>
          <c:tx>
            <c:strRef>
              <c:f>Analysis!$F$20</c:f>
              <c:strCache>
                <c:ptCount val="1"/>
                <c:pt idx="0">
                  <c:v>Total</c:v>
                </c:pt>
              </c:strCache>
            </c:strRef>
          </c:tx>
          <c:spPr>
            <a:solidFill>
              <a:srgbClr val="DE9D72"/>
            </a:solidFill>
            <a:ln>
              <a:noFill/>
            </a:ln>
            <a:effectLst/>
            <a:sp3d/>
          </c:spPr>
          <c:invertIfNegative val="0"/>
          <c:dPt>
            <c:idx val="0"/>
            <c:invertIfNegative val="0"/>
            <c:bubble3D val="0"/>
            <c:spPr>
              <a:solidFill>
                <a:srgbClr val="DE9D72"/>
              </a:solidFill>
              <a:ln>
                <a:noFill/>
              </a:ln>
              <a:effectLst/>
              <a:sp3d/>
            </c:spPr>
            <c:extLst>
              <c:ext xmlns:c16="http://schemas.microsoft.com/office/drawing/2014/chart" uri="{C3380CC4-5D6E-409C-BE32-E72D297353CC}">
                <c16:uniqueId val="{00000001-9032-4951-BBB8-0FCCBAC541DE}"/>
              </c:ext>
            </c:extLst>
          </c:dPt>
          <c:dPt>
            <c:idx val="1"/>
            <c:invertIfNegative val="0"/>
            <c:bubble3D val="0"/>
            <c:spPr>
              <a:solidFill>
                <a:srgbClr val="DE9D72"/>
              </a:solidFill>
              <a:ln>
                <a:noFill/>
              </a:ln>
              <a:effectLst/>
              <a:sp3d/>
            </c:spPr>
            <c:extLst>
              <c:ext xmlns:c16="http://schemas.microsoft.com/office/drawing/2014/chart" uri="{C3380CC4-5D6E-409C-BE32-E72D297353CC}">
                <c16:uniqueId val="{00000002-9032-4951-BBB8-0FCCBAC541DE}"/>
              </c:ext>
            </c:extLst>
          </c:dPt>
          <c:dPt>
            <c:idx val="2"/>
            <c:invertIfNegative val="0"/>
            <c:bubble3D val="0"/>
            <c:spPr>
              <a:solidFill>
                <a:srgbClr val="DE9D72"/>
              </a:solidFill>
              <a:ln>
                <a:noFill/>
              </a:ln>
              <a:effectLst/>
              <a:sp3d/>
            </c:spPr>
            <c:extLst>
              <c:ext xmlns:c16="http://schemas.microsoft.com/office/drawing/2014/chart" uri="{C3380CC4-5D6E-409C-BE32-E72D297353CC}">
                <c16:uniqueId val="{00000003-9032-4951-BBB8-0FCCBAC541DE}"/>
              </c:ext>
            </c:extLst>
          </c:dPt>
          <c:dPt>
            <c:idx val="4"/>
            <c:invertIfNegative val="0"/>
            <c:bubble3D val="0"/>
            <c:spPr>
              <a:solidFill>
                <a:srgbClr val="DE9D72"/>
              </a:solidFill>
              <a:ln>
                <a:noFill/>
              </a:ln>
              <a:effectLst/>
              <a:sp3d/>
            </c:spPr>
            <c:extLst>
              <c:ext xmlns:c16="http://schemas.microsoft.com/office/drawing/2014/chart" uri="{C3380CC4-5D6E-409C-BE32-E72D297353CC}">
                <c16:uniqueId val="{00000004-9032-4951-BBB8-0FCCBAC541DE}"/>
              </c:ext>
            </c:extLst>
          </c:dPt>
          <c:dPt>
            <c:idx val="5"/>
            <c:invertIfNegative val="0"/>
            <c:bubble3D val="0"/>
            <c:spPr>
              <a:solidFill>
                <a:srgbClr val="DE9D72"/>
              </a:solidFill>
              <a:ln>
                <a:noFill/>
              </a:ln>
              <a:effectLst/>
              <a:sp3d/>
            </c:spPr>
            <c:extLst>
              <c:ext xmlns:c16="http://schemas.microsoft.com/office/drawing/2014/chart" uri="{C3380CC4-5D6E-409C-BE32-E72D297353CC}">
                <c16:uniqueId val="{00000005-9032-4951-BBB8-0FCCBAC541DE}"/>
              </c:ext>
            </c:extLst>
          </c:dPt>
          <c:dLbls>
            <c:dLbl>
              <c:idx val="0"/>
              <c:layout>
                <c:manualLayout>
                  <c:x val="1.6222392394124863E-2"/>
                  <c:y val="2.79114643755394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032-4951-BBB8-0FCCBAC541DE}"/>
                </c:ext>
              </c:extLst>
            </c:dLbl>
            <c:dLbl>
              <c:idx val="1"/>
              <c:layout>
                <c:manualLayout>
                  <c:x val="0"/>
                  <c:y val="-3.9731690217955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032-4951-BBB8-0FCCBAC541DE}"/>
                </c:ext>
              </c:extLst>
            </c:dLbl>
            <c:dLbl>
              <c:idx val="2"/>
              <c:layout>
                <c:manualLayout>
                  <c:x val="0"/>
                  <c:y val="-3.611971837995953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032-4951-BBB8-0FCCBAC541DE}"/>
                </c:ext>
              </c:extLst>
            </c:dLbl>
            <c:dLbl>
              <c:idx val="4"/>
              <c:layout>
                <c:manualLayout>
                  <c:x val="-1.4870354577676176E-16"/>
                  <c:y val="-2.167183102797578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9032-4951-BBB8-0FCCBAC541DE}"/>
                </c:ext>
              </c:extLst>
            </c:dLbl>
            <c:dLbl>
              <c:idx val="5"/>
              <c:layout>
                <c:manualLayout>
                  <c:x val="-3.717588644419044E-17"/>
                  <c:y val="-3.25077465419636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9032-4951-BBB8-0FCCBAC541DE}"/>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Analysis!$E$21:$E$27</c:f>
              <c:strCache>
                <c:ptCount val="6"/>
                <c:pt idx="0">
                  <c:v>Earl Grey</c:v>
                </c:pt>
                <c:pt idx="1">
                  <c:v>Darjeeling</c:v>
                </c:pt>
                <c:pt idx="2">
                  <c:v>Chamomile</c:v>
                </c:pt>
                <c:pt idx="3">
                  <c:v>Decaf Espresso</c:v>
                </c:pt>
                <c:pt idx="4">
                  <c:v>Lemon</c:v>
                </c:pt>
                <c:pt idx="5">
                  <c:v>Colombian</c:v>
                </c:pt>
              </c:strCache>
            </c:strRef>
          </c:cat>
          <c:val>
            <c:numRef>
              <c:f>Analysis!$F$21:$F$27</c:f>
              <c:numCache>
                <c:formatCode>\$0.00,\K</c:formatCode>
                <c:ptCount val="6"/>
                <c:pt idx="0">
                  <c:v>5975</c:v>
                </c:pt>
                <c:pt idx="1">
                  <c:v>6976</c:v>
                </c:pt>
                <c:pt idx="2">
                  <c:v>7006</c:v>
                </c:pt>
                <c:pt idx="3">
                  <c:v>7039</c:v>
                </c:pt>
                <c:pt idx="4">
                  <c:v>7614</c:v>
                </c:pt>
                <c:pt idx="5">
                  <c:v>12932</c:v>
                </c:pt>
              </c:numCache>
            </c:numRef>
          </c:val>
          <c:extLst>
            <c:ext xmlns:c16="http://schemas.microsoft.com/office/drawing/2014/chart" uri="{C3380CC4-5D6E-409C-BE32-E72D297353CC}">
              <c16:uniqueId val="{00000000-9032-4951-BBB8-0FCCBAC541DE}"/>
            </c:ext>
          </c:extLst>
        </c:ser>
        <c:dLbls>
          <c:showLegendKey val="0"/>
          <c:showVal val="0"/>
          <c:showCatName val="0"/>
          <c:showSerName val="0"/>
          <c:showPercent val="0"/>
          <c:showBubbleSize val="0"/>
        </c:dLbls>
        <c:gapWidth val="150"/>
        <c:shape val="box"/>
        <c:axId val="1406138928"/>
        <c:axId val="1406129808"/>
        <c:axId val="0"/>
      </c:bar3DChart>
      <c:catAx>
        <c:axId val="14061389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1406129808"/>
        <c:crosses val="autoZero"/>
        <c:auto val="1"/>
        <c:lblAlgn val="ctr"/>
        <c:lblOffset val="100"/>
        <c:noMultiLvlLbl val="0"/>
      </c:catAx>
      <c:valAx>
        <c:axId val="1406129808"/>
        <c:scaling>
          <c:orientation val="minMax"/>
        </c:scaling>
        <c:delete val="1"/>
        <c:axPos val="b"/>
        <c:majorGridlines>
          <c:spPr>
            <a:ln w="9525" cap="flat" cmpd="sng" algn="ctr">
              <a:noFill/>
              <a:round/>
            </a:ln>
            <a:effectLst/>
          </c:spPr>
        </c:majorGridlines>
        <c:numFmt formatCode="\$0.00,\K" sourceLinked="1"/>
        <c:majorTickMark val="none"/>
        <c:minorTickMark val="none"/>
        <c:tickLblPos val="nextTo"/>
        <c:crossAx val="1406138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[Coffee_Chain_Performance_Analysis_Dashboard.xlsm]Analysis2!PivotTable16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i="0" u="none" strike="noStrike" baseline="0">
                <a:solidFill>
                  <a:schemeClr val="bg1"/>
                </a:solidFill>
              </a:rPr>
              <a:t>Coffee Type Share (Sales)</a:t>
            </a:r>
            <a:endParaRPr lang="en-US" sz="2000" b="1">
              <a:solidFill>
                <a:schemeClr val="bg1"/>
              </a:solidFill>
            </a:endParaRPr>
          </a:p>
        </c:rich>
      </c:tx>
      <c:layout>
        <c:manualLayout>
          <c:xMode val="edge"/>
          <c:yMode val="edge"/>
          <c:x val="0.30828203185379643"/>
          <c:y val="3.86675767525103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bg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noFill/>
          <a:ln w="19050">
            <a:solidFill>
              <a:schemeClr val="bg1"/>
            </a:solidFill>
          </a:ln>
          <a:effectLst/>
        </c:spPr>
        <c:dLbl>
          <c:idx val="0"/>
          <c:layout>
            <c:manualLayout>
              <c:x val="8.161766596055256E-2"/>
              <c:y val="-3.4426235285156301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rgbClr val="DE9D72"/>
          </a:solidFill>
          <a:ln w="19050">
            <a:solidFill>
              <a:schemeClr val="bg1"/>
            </a:solidFill>
          </a:ln>
          <a:effectLst/>
        </c:spPr>
        <c:dLbl>
          <c:idx val="0"/>
          <c:layout>
            <c:manualLayout>
              <c:x val="-0.12716922107586098"/>
              <c:y val="9.309733472061052E-2"/>
            </c:manualLayout>
          </c:layout>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Analysis2!$B$6</c:f>
              <c:strCache>
                <c:ptCount val="1"/>
                <c:pt idx="0">
                  <c:v>Total</c:v>
                </c:pt>
              </c:strCache>
            </c:strRef>
          </c:tx>
          <c:spPr>
            <a:ln>
              <a:solidFill>
                <a:schemeClr val="bg1"/>
              </a:solidFill>
            </a:ln>
          </c:spPr>
          <c:dPt>
            <c:idx val="0"/>
            <c:bubble3D val="0"/>
            <c:spPr>
              <a:noFill/>
              <a:ln w="19050">
                <a:solidFill>
                  <a:schemeClr val="bg1"/>
                </a:solidFill>
              </a:ln>
              <a:effectLst/>
            </c:spPr>
            <c:extLst>
              <c:ext xmlns:c16="http://schemas.microsoft.com/office/drawing/2014/chart" uri="{C3380CC4-5D6E-409C-BE32-E72D297353CC}">
                <c16:uniqueId val="{00000001-7EEF-4BC0-B2A9-DB73E5498D89}"/>
              </c:ext>
            </c:extLst>
          </c:dPt>
          <c:dPt>
            <c:idx val="1"/>
            <c:bubble3D val="0"/>
            <c:spPr>
              <a:solidFill>
                <a:srgbClr val="DE9D72"/>
              </a:solidFill>
              <a:ln w="19050">
                <a:solidFill>
                  <a:schemeClr val="bg1"/>
                </a:solidFill>
              </a:ln>
              <a:effectLst/>
            </c:spPr>
            <c:extLst>
              <c:ext xmlns:c16="http://schemas.microsoft.com/office/drawing/2014/chart" uri="{C3380CC4-5D6E-409C-BE32-E72D297353CC}">
                <c16:uniqueId val="{00000003-7EEF-4BC0-B2A9-DB73E5498D89}"/>
              </c:ext>
            </c:extLst>
          </c:dPt>
          <c:dLbls>
            <c:dLbl>
              <c:idx val="0"/>
              <c:layout>
                <c:manualLayout>
                  <c:x val="8.161766596055256E-2"/>
                  <c:y val="-3.442623528515630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7EEF-4BC0-B2A9-DB73E5498D89}"/>
                </c:ext>
              </c:extLst>
            </c:dLbl>
            <c:dLbl>
              <c:idx val="1"/>
              <c:layout>
                <c:manualLayout>
                  <c:x val="-0.12716922107586098"/>
                  <c:y val="9.30973347206105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7EEF-4BC0-B2A9-DB73E5498D89}"/>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Analysis2!$A$7:$A$9</c:f>
              <c:strCache>
                <c:ptCount val="2"/>
                <c:pt idx="0">
                  <c:v>Decaf</c:v>
                </c:pt>
                <c:pt idx="1">
                  <c:v>Regular</c:v>
                </c:pt>
              </c:strCache>
            </c:strRef>
          </c:cat>
          <c:val>
            <c:numRef>
              <c:f>Analysis2!$B$7:$B$9</c:f>
              <c:numCache>
                <c:formatCode>General</c:formatCode>
                <c:ptCount val="2"/>
                <c:pt idx="0">
                  <c:v>85404</c:v>
                </c:pt>
                <c:pt idx="1">
                  <c:v>117491</c:v>
                </c:pt>
              </c:numCache>
            </c:numRef>
          </c:val>
          <c:extLst>
            <c:ext xmlns:c16="http://schemas.microsoft.com/office/drawing/2014/chart" uri="{C3380CC4-5D6E-409C-BE32-E72D297353CC}">
              <c16:uniqueId val="{00000004-7EEF-4BC0-B2A9-DB73E5498D89}"/>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[Coffee_Chain_Performance_Analysis_Dashboard.xlsm]Analysis!PivotTable9</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i="0" u="none" strike="noStrike" baseline="0">
                <a:solidFill>
                  <a:schemeClr val="bg1"/>
                </a:solidFill>
              </a:rPr>
              <a:t>Monthly Sales &amp; Profit Trend</a:t>
            </a:r>
            <a:endParaRPr lang="en-IN" sz="200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34925" cap="rnd">
            <a:solidFill>
              <a:srgbClr val="DE9D72"/>
            </a:solidFill>
            <a:round/>
          </a:ln>
          <a:effectLst/>
        </c:spPr>
        <c:marker>
          <c:symbol val="circle"/>
          <c:size val="5"/>
          <c:spPr>
            <a:solidFill>
              <a:srgbClr val="DE9D72"/>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34925" cap="rnd">
            <a:solidFill>
              <a:srgbClr val="4C6444"/>
            </a:solidFill>
            <a:round/>
          </a:ln>
          <a:effectLst/>
        </c:spPr>
        <c:marker>
          <c:symbol val="circle"/>
          <c:size val="5"/>
          <c:spPr>
            <a:solidFill>
              <a:srgbClr val="4C6444"/>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6"/>
        <c:spPr>
          <a:ln w="34925" cap="rnd">
            <a:solidFill>
              <a:srgbClr val="4C6444"/>
            </a:solidFill>
            <a:round/>
          </a:ln>
          <a:effectLst/>
        </c:spPr>
        <c:marker>
          <c:symbol val="circle"/>
          <c:size val="5"/>
          <c:spPr>
            <a:solidFill>
              <a:srgbClr val="4C6444"/>
            </a:solidFill>
            <a:ln w="9525">
              <a:noFill/>
            </a:ln>
            <a:effectLst/>
          </c:spPr>
        </c:marker>
      </c:pivotFmt>
      <c:pivotFmt>
        <c:idx val="7"/>
        <c:spPr>
          <a:ln w="34925" cap="rnd">
            <a:solidFill>
              <a:srgbClr val="4C6444"/>
            </a:solidFill>
            <a:round/>
          </a:ln>
          <a:effectLst/>
        </c:spPr>
        <c:marker>
          <c:symbol val="circle"/>
          <c:size val="5"/>
          <c:spPr>
            <a:solidFill>
              <a:srgbClr val="4C6444"/>
            </a:solidFill>
            <a:ln w="9525">
              <a:noFill/>
            </a:ln>
            <a:effectLst/>
          </c:spPr>
        </c:marker>
      </c:pivotFmt>
    </c:pivotFmts>
    <c:plotArea>
      <c:layout/>
      <c:lineChart>
        <c:grouping val="standard"/>
        <c:varyColors val="0"/>
        <c:ser>
          <c:idx val="0"/>
          <c:order val="0"/>
          <c:tx>
            <c:strRef>
              <c:f>Analysis!$N$3</c:f>
              <c:strCache>
                <c:ptCount val="1"/>
                <c:pt idx="0">
                  <c:v>Sum of Sales</c:v>
                </c:pt>
              </c:strCache>
            </c:strRef>
          </c:tx>
          <c:spPr>
            <a:ln w="34925" cap="rnd">
              <a:solidFill>
                <a:srgbClr val="DE9D72"/>
              </a:solidFill>
              <a:round/>
            </a:ln>
            <a:effectLst/>
          </c:spPr>
          <c:marker>
            <c:symbol val="circle"/>
            <c:size val="5"/>
            <c:spPr>
              <a:solidFill>
                <a:srgbClr val="DE9D72"/>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Analysis!$N$4:$N$16</c:f>
              <c:numCache>
                <c:formatCode>\$0.00,\K</c:formatCode>
                <c:ptCount val="12"/>
                <c:pt idx="0">
                  <c:v>14985</c:v>
                </c:pt>
                <c:pt idx="1">
                  <c:v>14788</c:v>
                </c:pt>
                <c:pt idx="2">
                  <c:v>15424</c:v>
                </c:pt>
                <c:pt idx="3">
                  <c:v>14832</c:v>
                </c:pt>
                <c:pt idx="4">
                  <c:v>15914</c:v>
                </c:pt>
                <c:pt idx="5">
                  <c:v>16128</c:v>
                </c:pt>
                <c:pt idx="6">
                  <c:v>16130</c:v>
                </c:pt>
                <c:pt idx="7">
                  <c:v>18111</c:v>
                </c:pt>
                <c:pt idx="8">
                  <c:v>17954</c:v>
                </c:pt>
                <c:pt idx="9">
                  <c:v>20425</c:v>
                </c:pt>
                <c:pt idx="10">
                  <c:v>22410</c:v>
                </c:pt>
                <c:pt idx="11">
                  <c:v>15794</c:v>
                </c:pt>
              </c:numCache>
            </c:numRef>
          </c:val>
          <c:smooth val="0"/>
          <c:extLst>
            <c:ext xmlns:c16="http://schemas.microsoft.com/office/drawing/2014/chart" uri="{C3380CC4-5D6E-409C-BE32-E72D297353CC}">
              <c16:uniqueId val="{00000000-E99E-4C6A-B64D-9CCB42AE39A6}"/>
            </c:ext>
          </c:extLst>
        </c:ser>
        <c:dLbls>
          <c:showLegendKey val="0"/>
          <c:showVal val="0"/>
          <c:showCatName val="0"/>
          <c:showSerName val="0"/>
          <c:showPercent val="0"/>
          <c:showBubbleSize val="0"/>
        </c:dLbls>
        <c:marker val="1"/>
        <c:smooth val="0"/>
        <c:axId val="449544576"/>
        <c:axId val="449540736"/>
      </c:lineChart>
      <c:lineChart>
        <c:grouping val="standard"/>
        <c:varyColors val="0"/>
        <c:ser>
          <c:idx val="1"/>
          <c:order val="1"/>
          <c:tx>
            <c:strRef>
              <c:f>Analysis!$O$3</c:f>
              <c:strCache>
                <c:ptCount val="1"/>
                <c:pt idx="0">
                  <c:v>Sum of Profit</c:v>
                </c:pt>
              </c:strCache>
            </c:strRef>
          </c:tx>
          <c:spPr>
            <a:ln w="34925" cap="rnd">
              <a:solidFill>
                <a:srgbClr val="4C6444"/>
              </a:solidFill>
              <a:round/>
            </a:ln>
            <a:effectLst/>
          </c:spPr>
          <c:marker>
            <c:symbol val="circle"/>
            <c:size val="5"/>
            <c:spPr>
              <a:solidFill>
                <a:srgbClr val="4C6444"/>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Analysis!$M$4:$M$16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Analysis!$O$4:$O$16</c:f>
              <c:numCache>
                <c:formatCode>\$0.00,\K</c:formatCode>
                <c:ptCount val="12"/>
                <c:pt idx="0">
                  <c:v>4357</c:v>
                </c:pt>
                <c:pt idx="1">
                  <c:v>4327</c:v>
                </c:pt>
                <c:pt idx="2">
                  <c:v>4803</c:v>
                </c:pt>
                <c:pt idx="3">
                  <c:v>5815</c:v>
                </c:pt>
                <c:pt idx="4">
                  <c:v>6111</c:v>
                </c:pt>
                <c:pt idx="5">
                  <c:v>4701</c:v>
                </c:pt>
                <c:pt idx="6">
                  <c:v>4280</c:v>
                </c:pt>
                <c:pt idx="7">
                  <c:v>4895</c:v>
                </c:pt>
                <c:pt idx="8">
                  <c:v>5958</c:v>
                </c:pt>
                <c:pt idx="9">
                  <c:v>6305</c:v>
                </c:pt>
                <c:pt idx="10">
                  <c:v>7475</c:v>
                </c:pt>
                <c:pt idx="11">
                  <c:v>5284</c:v>
                </c:pt>
              </c:numCache>
            </c:numRef>
          </c:val>
          <c:smooth val="0"/>
          <c:extLst>
            <c:ext xmlns:c16="http://schemas.microsoft.com/office/drawing/2014/chart" uri="{C3380CC4-5D6E-409C-BE32-E72D297353CC}">
              <c16:uniqueId val="{00000001-E99E-4C6A-B64D-9CCB42AE39A6}"/>
            </c:ext>
          </c:extLst>
        </c:ser>
        <c:dLbls>
          <c:showLegendKey val="0"/>
          <c:showVal val="0"/>
          <c:showCatName val="0"/>
          <c:showSerName val="0"/>
          <c:showPercent val="0"/>
          <c:showBubbleSize val="0"/>
        </c:dLbls>
        <c:marker val="1"/>
        <c:smooth val="0"/>
        <c:axId val="305087680"/>
        <c:axId val="305086720"/>
      </c:lineChart>
      <c:catAx>
        <c:axId val="449544576"/>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0" i="0" u="none" strike="noStrike" kern="1200" baseline="0">
                <a:solidFill>
                  <a:schemeClr val="bg1"/>
                </a:solidFill>
                <a:latin typeface="+mn-lt"/>
                <a:ea typeface="+mn-ea"/>
                <a:cs typeface="+mn-cs"/>
              </a:defRPr>
            </a:pPr>
            <a:endParaRPr lang="en-US"/>
          </a:p>
        </c:txPr>
        <c:crossAx val="449540736"/>
        <c:crosses val="autoZero"/>
        <c:auto val="1"/>
        <c:lblAlgn val="ctr"/>
        <c:lblOffset val="100"/>
        <c:noMultiLvlLbl val="0"/>
      </c:catAx>
      <c:valAx>
        <c:axId val="449540736"/>
        <c:scaling>
          <c:orientation val="minMax"/>
        </c:scaling>
        <c:delete val="0"/>
        <c:axPos val="l"/>
        <c:numFmt formatCode="\$0.00,\K"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449544576"/>
        <c:crosses val="autoZero"/>
        <c:crossBetween val="between"/>
      </c:valAx>
      <c:valAx>
        <c:axId val="305086720"/>
        <c:scaling>
          <c:orientation val="minMax"/>
        </c:scaling>
        <c:delete val="1"/>
        <c:axPos val="r"/>
        <c:numFmt formatCode="\$0.00,\K" sourceLinked="1"/>
        <c:majorTickMark val="out"/>
        <c:minorTickMark val="none"/>
        <c:tickLblPos val="nextTo"/>
        <c:crossAx val="305087680"/>
        <c:crosses val="max"/>
        <c:crossBetween val="between"/>
      </c:valAx>
      <c:catAx>
        <c:axId val="305087680"/>
        <c:scaling>
          <c:orientation val="minMax"/>
        </c:scaling>
        <c:delete val="1"/>
        <c:axPos val="b"/>
        <c:numFmt formatCode="General" sourceLinked="1"/>
        <c:majorTickMark val="out"/>
        <c:minorTickMark val="none"/>
        <c:tickLblPos val="nextTo"/>
        <c:crossAx val="3050867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[Coffee_Chain_Performance_Analysis_Dashboard.xlsm]Analysis!PivotTable5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a:solidFill>
                  <a:schemeClr val="bg1"/>
                </a:solidFill>
              </a:rPr>
              <a:t>Sales</a:t>
            </a:r>
            <a:r>
              <a:rPr lang="en-IN" sz="2000" b="1" baseline="0">
                <a:solidFill>
                  <a:schemeClr val="bg1"/>
                </a:solidFill>
              </a:rPr>
              <a:t> and  Profit by Product Type</a:t>
            </a:r>
            <a:endParaRPr lang="en-IN" sz="2000" b="1">
              <a:solidFill>
                <a:schemeClr val="bg1"/>
              </a:solidFill>
            </a:endParaRPr>
          </a:p>
        </c:rich>
      </c:tx>
      <c:layout>
        <c:manualLayout>
          <c:xMode val="edge"/>
          <c:yMode val="edge"/>
          <c:x val="0.22465545248308455"/>
          <c:y val="4.9281303544373441E-2"/>
        </c:manualLayout>
      </c:layout>
      <c:overlay val="0"/>
      <c:spPr>
        <a:noFill/>
        <a:ln>
          <a:noFill/>
        </a:ln>
        <a:effectLst/>
      </c:spPr>
    </c:title>
    <c:autoTitleDeleted val="0"/>
    <c:pivotFmts>
      <c:pivotFmt>
        <c:idx val="0"/>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delete val="1"/>
          <c:extLst>
            <c:ext xmlns:c15="http://schemas.microsoft.com/office/drawing/2012/chart" uri="{CE6537A1-D6FC-4f65-9D91-7224C49458BB}"/>
          </c:extLst>
        </c:dLbl>
      </c:pivotFmt>
      <c:pivotFmt>
        <c:idx val="4"/>
        <c:spPr>
          <a:solidFill>
            <a:srgbClr val="DE9D72"/>
          </a:solidFill>
          <a:ln>
            <a:noFill/>
          </a:ln>
          <a:effectLst/>
          <a:sp3d/>
        </c:spPr>
        <c:marker>
          <c:symbol val="none"/>
        </c:marker>
        <c:dLbl>
          <c:idx val="0"/>
          <c:spPr>
            <a:noFill/>
            <a:ln>
              <a:noFill/>
            </a:ln>
            <a:effectLst/>
          </c:spPr>
          <c:txPr>
            <a:bodyPr rot="0" spcFirstLastPara="1" vertOverflow="ellipsis" vert="horz" wrap="square" lIns="38100" tIns="14400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5"/>
        <c:spPr>
          <a:solidFill>
            <a:srgbClr val="F4E3D0"/>
          </a:solidFill>
          <a:ln>
            <a:noFill/>
          </a:ln>
          <a:effectLst/>
          <a:sp3d/>
        </c:spPr>
        <c:marker>
          <c:symbol val="none"/>
        </c:marker>
        <c:dLbl>
          <c:idx val="0"/>
          <c:spPr>
            <a:noFill/>
            <a:ln>
              <a:noFill/>
            </a:ln>
            <a:effectLst/>
          </c:spPr>
          <c:txPr>
            <a:bodyPr rot="0" spcFirstLastPara="1" vertOverflow="ellipsis" vert="horz" wrap="square" lIns="432000" tIns="144000" rIns="360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Analysis!$B$15</c:f>
              <c:strCache>
                <c:ptCount val="1"/>
                <c:pt idx="0">
                  <c:v>Sum of Sales</c:v>
                </c:pt>
              </c:strCache>
            </c:strRef>
          </c:tx>
          <c:spPr>
            <a:solidFill>
              <a:srgbClr val="DE9D72"/>
            </a:solidFill>
            <a:ln>
              <a:noFill/>
            </a:ln>
            <a:effectLst/>
            <a:sp3d/>
          </c:spPr>
          <c:invertIfNegative val="0"/>
          <c:dLbls>
            <c:spPr>
              <a:noFill/>
              <a:ln>
                <a:noFill/>
              </a:ln>
              <a:effectLst/>
            </c:spPr>
            <c:txPr>
              <a:bodyPr rot="0" spcFirstLastPara="1" vertOverflow="ellipsis" vert="horz" wrap="square" lIns="38100" tIns="144000" rIns="381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Analysis!$A$16:$A$20</c:f>
              <c:strCache>
                <c:ptCount val="4"/>
                <c:pt idx="0">
                  <c:v>Espresso</c:v>
                </c:pt>
                <c:pt idx="1">
                  <c:v>Coffee</c:v>
                </c:pt>
                <c:pt idx="2">
                  <c:v>Herbal Tea</c:v>
                </c:pt>
                <c:pt idx="3">
                  <c:v>Tea</c:v>
                </c:pt>
              </c:strCache>
            </c:strRef>
          </c:cat>
          <c:val>
            <c:numRef>
              <c:f>Analysis!$B$16:$B$20</c:f>
              <c:numCache>
                <c:formatCode>\$0.00,\K</c:formatCode>
                <c:ptCount val="4"/>
                <c:pt idx="0">
                  <c:v>56013</c:v>
                </c:pt>
                <c:pt idx="1">
                  <c:v>52373</c:v>
                </c:pt>
                <c:pt idx="2">
                  <c:v>51685</c:v>
                </c:pt>
                <c:pt idx="3">
                  <c:v>42824</c:v>
                </c:pt>
              </c:numCache>
            </c:numRef>
          </c:val>
          <c:extLst>
            <c:ext xmlns:c16="http://schemas.microsoft.com/office/drawing/2014/chart" uri="{C3380CC4-5D6E-409C-BE32-E72D297353CC}">
              <c16:uniqueId val="{00000000-69AC-4B11-A979-4A5B23EDA9A7}"/>
            </c:ext>
          </c:extLst>
        </c:ser>
        <c:ser>
          <c:idx val="1"/>
          <c:order val="1"/>
          <c:tx>
            <c:strRef>
              <c:f>Analysis!$C$15</c:f>
              <c:strCache>
                <c:ptCount val="1"/>
                <c:pt idx="0">
                  <c:v>Sum of Profit</c:v>
                </c:pt>
              </c:strCache>
            </c:strRef>
          </c:tx>
          <c:spPr>
            <a:solidFill>
              <a:srgbClr val="F4E3D0"/>
            </a:solidFill>
            <a:ln>
              <a:noFill/>
            </a:ln>
            <a:effectLst/>
            <a:sp3d/>
          </c:spPr>
          <c:invertIfNegative val="0"/>
          <c:dLbls>
            <c:spPr>
              <a:noFill/>
              <a:ln>
                <a:noFill/>
              </a:ln>
              <a:effectLst/>
            </c:spPr>
            <c:txPr>
              <a:bodyPr rot="0" spcFirstLastPara="1" vertOverflow="ellipsis" vert="horz" wrap="square" lIns="432000" tIns="144000" rIns="36000" bIns="19050" anchor="ctr" anchorCtr="1">
                <a:spAutoFit/>
              </a:bodyPr>
              <a:lstStyle/>
              <a:p>
                <a:pPr>
                  <a:defRPr sz="12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strRef>
              <c:f>Analysis!$A$16:$A$20</c:f>
              <c:strCache>
                <c:ptCount val="4"/>
                <c:pt idx="0">
                  <c:v>Espresso</c:v>
                </c:pt>
                <c:pt idx="1">
                  <c:v>Coffee</c:v>
                </c:pt>
                <c:pt idx="2">
                  <c:v>Herbal Tea</c:v>
                </c:pt>
                <c:pt idx="3">
                  <c:v>Tea</c:v>
                </c:pt>
              </c:strCache>
            </c:strRef>
          </c:cat>
          <c:val>
            <c:numRef>
              <c:f>Analysis!$C$16:$C$20</c:f>
              <c:numCache>
                <c:formatCode>\$0.00,\K</c:formatCode>
                <c:ptCount val="4"/>
                <c:pt idx="0">
                  <c:v>17880</c:v>
                </c:pt>
                <c:pt idx="1">
                  <c:v>17485</c:v>
                </c:pt>
                <c:pt idx="2">
                  <c:v>15906</c:v>
                </c:pt>
                <c:pt idx="3">
                  <c:v>13040</c:v>
                </c:pt>
              </c:numCache>
            </c:numRef>
          </c:val>
          <c:extLst>
            <c:ext xmlns:c16="http://schemas.microsoft.com/office/drawing/2014/chart" uri="{C3380CC4-5D6E-409C-BE32-E72D297353CC}">
              <c16:uniqueId val="{00000001-69AC-4B11-A979-4A5B23EDA9A7}"/>
            </c:ext>
          </c:extLst>
        </c:ser>
        <c:dLbls>
          <c:showLegendKey val="0"/>
          <c:showVal val="0"/>
          <c:showCatName val="0"/>
          <c:showSerName val="0"/>
          <c:showPercent val="0"/>
          <c:showBubbleSize val="0"/>
        </c:dLbls>
        <c:gapWidth val="150"/>
        <c:shape val="box"/>
        <c:axId val="701564448"/>
        <c:axId val="701564928"/>
        <c:axId val="0"/>
      </c:bar3DChart>
      <c:catAx>
        <c:axId val="7015644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en-US"/>
          </a:p>
        </c:txPr>
        <c:crossAx val="701564928"/>
        <c:crosses val="autoZero"/>
        <c:auto val="1"/>
        <c:lblAlgn val="ctr"/>
        <c:lblOffset val="100"/>
        <c:noMultiLvlLbl val="0"/>
      </c:catAx>
      <c:valAx>
        <c:axId val="701564928"/>
        <c:scaling>
          <c:orientation val="minMax"/>
        </c:scaling>
        <c:delete val="1"/>
        <c:axPos val="l"/>
        <c:majorGridlines>
          <c:spPr>
            <a:ln w="9525" cap="flat" cmpd="sng" algn="ctr">
              <a:noFill/>
              <a:round/>
            </a:ln>
            <a:effectLst/>
          </c:spPr>
        </c:majorGridlines>
        <c:numFmt formatCode="\$0.00,\K" sourceLinked="1"/>
        <c:majorTickMark val="none"/>
        <c:minorTickMark val="none"/>
        <c:tickLblPos val="nextTo"/>
        <c:crossAx val="701564448"/>
        <c:crosses val="autoZero"/>
        <c:crossBetween val="between"/>
      </c:valAx>
      <c:spPr>
        <a:noFill/>
        <a:ln>
          <a:noFill/>
        </a:ln>
        <a:effectLst/>
      </c:spPr>
    </c:plotArea>
    <c:legend>
      <c:legendPos val="t"/>
      <c:layout>
        <c:manualLayout>
          <c:xMode val="edge"/>
          <c:yMode val="edge"/>
          <c:x val="0.34200658968145087"/>
          <c:y val="0.1243395744820289"/>
          <c:w val="0.31465046762200877"/>
          <c:h val="5.2326378525696E-2"/>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bg1"/>
                </a:solidFill>
                <a:latin typeface="+mn-lt"/>
                <a:ea typeface="+mn-ea"/>
                <a:cs typeface="+mn-cs"/>
              </a:defRPr>
            </a:pPr>
            <a:r>
              <a:rPr lang="en-IN" sz="2000" b="1">
                <a:solidFill>
                  <a:schemeClr val="bg1"/>
                </a:solidFill>
              </a:rPr>
              <a:t>Expense</a:t>
            </a:r>
            <a:r>
              <a:rPr lang="en-IN" sz="2000" b="1" baseline="0">
                <a:solidFill>
                  <a:schemeClr val="bg1"/>
                </a:solidFill>
              </a:rPr>
              <a:t> Distribution</a:t>
            </a:r>
          </a:p>
        </c:rich>
      </c:tx>
      <c:layout>
        <c:manualLayout>
          <c:xMode val="edge"/>
          <c:yMode val="edge"/>
          <c:x val="0.31860445453686403"/>
          <c:y val="3.3950615221237046E-2"/>
        </c:manualLayout>
      </c:layout>
      <c:overlay val="0"/>
      <c:spPr>
        <a:noFill/>
        <a:ln>
          <a:noFill/>
        </a:ln>
        <a:effectLst/>
      </c:spPr>
      <c:txPr>
        <a:bodyPr rot="0" spcFirstLastPara="1" vertOverflow="ellipsis" vert="horz" wrap="square" anchor="ctr" anchorCtr="1"/>
        <a:lstStyle/>
        <a:p>
          <a:pPr>
            <a:defRPr sz="2000" b="0" i="0" u="none" strike="noStrike" kern="1200" spc="0" baseline="0">
              <a:solidFill>
                <a:schemeClr val="bg1"/>
              </a:solidFill>
              <a:latin typeface="+mn-lt"/>
              <a:ea typeface="+mn-ea"/>
              <a:cs typeface="+mn-cs"/>
            </a:defRPr>
          </a:pPr>
          <a:endParaRPr lang="en-US"/>
        </a:p>
      </c:txPr>
    </c:title>
    <c:autoTitleDeleted val="0"/>
    <c:plotArea>
      <c:layout/>
      <c:doughnutChart>
        <c:varyColors val="1"/>
        <c:ser>
          <c:idx val="0"/>
          <c:order val="0"/>
          <c:dPt>
            <c:idx val="0"/>
            <c:bubble3D val="0"/>
            <c:spPr>
              <a:noFill/>
              <a:ln w="19050">
                <a:solidFill>
                  <a:schemeClr val="lt1"/>
                </a:solidFill>
              </a:ln>
              <a:effectLst/>
            </c:spPr>
            <c:extLst>
              <c:ext xmlns:c16="http://schemas.microsoft.com/office/drawing/2014/chart" uri="{C3380CC4-5D6E-409C-BE32-E72D297353CC}">
                <c16:uniqueId val="{00000001-4234-4D39-B92E-36A4D9AB3D8C}"/>
              </c:ext>
            </c:extLst>
          </c:dPt>
          <c:dPt>
            <c:idx val="1"/>
            <c:bubble3D val="0"/>
            <c:spPr>
              <a:solidFill>
                <a:srgbClr val="DE9D72"/>
              </a:solidFill>
              <a:ln w="19050">
                <a:solidFill>
                  <a:schemeClr val="lt1"/>
                </a:solidFill>
              </a:ln>
              <a:effectLst/>
            </c:spPr>
            <c:extLst>
              <c:ext xmlns:c16="http://schemas.microsoft.com/office/drawing/2014/chart" uri="{C3380CC4-5D6E-409C-BE32-E72D297353CC}">
                <c16:uniqueId val="{00000003-4234-4D39-B92E-36A4D9AB3D8C}"/>
              </c:ext>
            </c:extLst>
          </c:dPt>
          <c:dPt>
            <c:idx val="2"/>
            <c:bubble3D val="0"/>
            <c:spPr>
              <a:solidFill>
                <a:srgbClr val="F4E3D0"/>
              </a:solidFill>
              <a:ln w="19050">
                <a:solidFill>
                  <a:schemeClr val="lt1"/>
                </a:solidFill>
              </a:ln>
              <a:effectLst/>
            </c:spPr>
            <c:extLst>
              <c:ext xmlns:c16="http://schemas.microsoft.com/office/drawing/2014/chart" uri="{C3380CC4-5D6E-409C-BE32-E72D297353CC}">
                <c16:uniqueId val="{00000005-4234-4D39-B92E-36A4D9AB3D8C}"/>
              </c:ext>
            </c:extLst>
          </c:dPt>
          <c:dLbls>
            <c:dLbl>
              <c:idx val="0"/>
              <c:layout>
                <c:manualLayout>
                  <c:x val="0.16119551423753004"/>
                  <c:y val="9.585414521997548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4234-4D39-B92E-36A4D9AB3D8C}"/>
                </c:ext>
              </c:extLst>
            </c:dLbl>
            <c:dLbl>
              <c:idx val="1"/>
              <c:layout>
                <c:manualLayout>
                  <c:x val="-0.13183606933746694"/>
                  <c:y val="0.1499524425687148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234-4D39-B92E-36A4D9AB3D8C}"/>
                </c:ext>
              </c:extLst>
            </c:dLbl>
            <c:dLbl>
              <c:idx val="2"/>
              <c:layout>
                <c:manualLayout>
                  <c:x val="-0.18040598863634669"/>
                  <c:y val="-5.6774526991355052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234-4D39-B92E-36A4D9AB3D8C}"/>
                </c:ext>
              </c:extLst>
            </c:dLbl>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Analysis2!$H$7:$H$9</c:f>
              <c:strCache>
                <c:ptCount val="3"/>
                <c:pt idx="0">
                  <c:v>Sum of Cogs</c:v>
                </c:pt>
                <c:pt idx="1">
                  <c:v>Sum of Marketing</c:v>
                </c:pt>
                <c:pt idx="2">
                  <c:v>Sum of Other_expenses</c:v>
                </c:pt>
              </c:strCache>
            </c:strRef>
          </c:cat>
          <c:val>
            <c:numRef>
              <c:f>Analysis2!$I$7:$I$9</c:f>
              <c:numCache>
                <c:formatCode>\$0.00,\K</c:formatCode>
                <c:ptCount val="3"/>
                <c:pt idx="0">
                  <c:v>87508</c:v>
                </c:pt>
                <c:pt idx="1">
                  <c:v>32320</c:v>
                </c:pt>
                <c:pt idx="2">
                  <c:v>24854</c:v>
                </c:pt>
              </c:numCache>
            </c:numRef>
          </c:val>
          <c:extLst>
            <c:ext xmlns:c16="http://schemas.microsoft.com/office/drawing/2014/chart" uri="{C3380CC4-5D6E-409C-BE32-E72D297353CC}">
              <c16:uniqueId val="{00000006-4234-4D39-B92E-36A4D9AB3D8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data id="1">
      <cx:strDim type="cat">
        <cx:f>_xlchart.v5.1</cx:f>
        <cx:nf>_xlchart.v5.0</cx:nf>
      </cx:strDim>
      <cx:numDim type="colorVal">
        <cx:f>_xlchart.v5.5</cx:f>
        <cx:nf>_xlchart.v5.4</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a:pPr>
          <a:r>
            <a:rPr lang="en-US" sz="2000" b="1" i="0" u="none" strike="noStrike" baseline="0">
              <a:solidFill>
                <a:schemeClr val="bg1"/>
              </a:solidFill>
              <a:latin typeface="Calibri" panose="020F0502020204030204"/>
            </a:rPr>
            <a:t>Sales by State</a:t>
          </a:r>
        </a:p>
      </cx:txPr>
    </cx:title>
    <cx:plotArea>
      <cx:plotAreaRegion>
        <cx:plotSurface>
          <cx:spPr>
            <a:noFill/>
            <a:ln>
              <a:noFill/>
            </a:ln>
          </cx:spPr>
        </cx:plotSurface>
        <cx:series layoutId="regionMap" uniqueId="{6CE7C155-58CD-42E0-96E3-244159EB7F3B}" formatIdx="0">
          <cx:spPr>
            <a:solidFill>
              <a:srgbClr val="7F5539"/>
            </a:solidFill>
          </cx:spPr>
          <cx:dataLabels>
            <cx:txPr>
              <a:bodyPr spcFirstLastPara="1" vertOverflow="ellipsis" horzOverflow="overflow" wrap="square" lIns="0" tIns="0" rIns="0" bIns="0" anchor="ctr" anchorCtr="1"/>
              <a:lstStyle/>
              <a:p>
                <a:pPr algn="ctr" rtl="0">
                  <a:defRPr sz="1200" baseline="0">
                    <a:solidFill>
                      <a:schemeClr val="tx1">
                        <a:lumMod val="85000"/>
                        <a:lumOff val="15000"/>
                      </a:schemeClr>
                    </a:solidFill>
                  </a:defRPr>
                </a:pPr>
                <a:endParaRPr lang="en-US" sz="1200" b="0" i="0" u="none" strike="noStrike" baseline="0">
                  <a:solidFill>
                    <a:schemeClr val="tx1">
                      <a:lumMod val="85000"/>
                      <a:lumOff val="15000"/>
                    </a:schemeClr>
                  </a:solidFill>
                  <a:latin typeface="Calibri" panose="020F0502020204030204"/>
                </a:endParaRPr>
              </a:p>
            </cx:txPr>
            <cx:visibility seriesName="0" categoryName="1" value="1"/>
            <cx:separator>
</cx:separator>
          </cx:dataLabels>
          <cx:dataId val="0"/>
          <cx:layoutPr>
            <cx:geography cultureLanguage="en-US" cultureRegion="IN" attribution="Powered by Bing">
              <cx:geoCache provider="{E9337A44-BEBE-4D9F-B70C-5C5E7DAFC167}">
                <cx:binary>1HxZb9xIsvVfafj5o5q5MwfTF7hkVWmXF1metl8IWVZzZ5LJ5Prr76FL7pGq1bYHY3yA/eCCi2Rl
ZiwnIk4E/c+76R935f2t/WWqyrr7x93024vUueYfv/7a3aX31W13VGV31nTmD3d0Z6pfzR9/ZHf3
v36yt2NWJ79Sn/Bf79Jb6+6nF//zT/xacm8uzN2ty0z9ur+385v7ri9d95Vrz1765fZTldWbrHM2
u3PktxeRKY29/WRe/HJfu8zNb+fm/rcXT+568cuvh7/1l3V/KbE113/Csyw40joQwufU//yHvPil
NHXycNkjvjgSXAVMsi+LXt1WePB7tvJ5I7efPtn7rsNZPn8+fvLJxnHh5Ytf7kxfu1VgCWT324ub
OnP3n365drfuvnvxS9aZaH9DZNbd31x/Pu6vT0X+P/88+AICOPjmkVYOpfWtS39RytX9cPvp9ot0
foBK9BETknPBfP35T3CgEiKPpBAsUEHwRWV7c9hr5tv7eV4vX5470MrVu59SK9Ftmf1hbJ39SM2o
Iyq4lJro552F6CNJFFWEk73qvljFg898156e187j8xxoKPrfn1NDpq7v71x217svYvrvnYeTI6EE
EYyJZ1Wk6JFiAQ0IFV8W/YJn37Wbv1HO46McauftT6md07LMapMBdH9UqOH+EaGcIJTwvXPop7gW
6CPCA8lEIP68/hjXvmdHz6vn308e6Ob04qfUzQ5ZQPYjQw4NjoQWgnC2dxr/IAsI6BEPFOM0eLjh
IBn4jg09r5k/HzxQzO7nVMypGX9guOH0yFdcCsX5Xi2Q+uPcTLOjFeQk8R+uyy/Ouoe0b+3meZXs
nzrQx+nPGWIub7vu9i7tu3vnfiSS0SNEeaa4enCHA3dR5Ej6wmdI0Z5q5Lv387xqDh4/0NHlz6mj
C9NnXXZb/0DHYf6RDgg8Qz6kYQeRRpOjQJOA0uAhw+ZP1fRdW3peRY8ePVDPxc+pnsus60xvsy8S
+u9TNJScTCoR+BwqWv/QA1hDsFGKKUIftHeQqX3Pjp5Xzr+fPNDN5c9aeY6/nNxWTZdm9v7HKYiz
IxkI+M6XHPog7gDehFKSav+hDIICHydqV/ffua3ntXTw+IGqrk5+ypRtPdTl/ZTd/Ujuhh9xSuAo
XO4d6UBPxJdHxA+Y9gMEqEMNfXs3f6+eL88e6ubyp9XNe2OLLzL67yEOmZtmmnLGHli1A80ocSRx
BT72UAodZG6rtXxrR3+vnf2Th7p5/1Pq5mWa/UCPQQnKCeocrZ6n1lDn4ApDpaP+9KjHfvOt3Tyv
k/1TB/p4+XPi2MuivE1N9SOTNRDMAeOoc/YiP6w9tUKVs9adSj1LC3zPjv5GL3+e5VA35z+nr9j7
xNQ/EMUYUCyQoGTkn5J/XH8S6h8JERDCDsLLy29u5G8U8vDcoTre/JTqeHs/3f7AopORIy5ZwCHv
vaNA6I+1odE2QLzRStG9ttA2eIxd39zO8zp5eOxAJW9//ylVcuNu0y9S+e+jPIPEwQIgE36AroNC
hhDwAAplJpUH8f1b+3heFfunDjRx83PSy/+6RdFSJ+6H4pVCdCdMqOAhUoB9eewhe7yS/M/K8wC2
vm9Pz+vm8bMHGvrX//6UvvKvrLszdZf9yIDCjyTTWjD5kH4d8DLoACggmBD6eZr5u7b0N/r592kO
1XP6U6jn643xPdDvIe3Jnf/pOIBGsgUP4uzfCfBjF0KQ8dcODtMPhcsBc3bQr//7bT2vpYPHn5zk
/9MwwN8PCvw5RrG5dbfbz/MXj2YFvn7183ExFXLw6EOAflZve9mdfvrtBeWQ8p9THetPPAnsB0I7
eO7+tnO/vfCkPNKKMTQToD1NuI+INN6vl8BkHwkCMicA34PudoC8oTbWpb+9ANHDMPwBdT80TMEE
rt8TDI0wijJKE/S6NRref469vDLljCT0T2k8/PuXuq9emax2HUZOUAw3+9vW060rApm1JIwqiYST
YgPN3e0bhAfcTf5fSXJbk7EQ9wGJXa+3tOGNV0Z+M2TLOyH6prjlnhXdrm7nbuYbRyeRTpFnYv9j
Ultee5GhU6HOdCrmflNor25PRl2V3WUpqsabQ1NMovkoCpdPZgNZlTmLEqU4uVeTmfs3ZTqp8jYI
RBPfsYq18iqRWduwsCJZh63wRtjqZUp8N9abpBS2aEIziqq6IGpuseWkqsh8TitW53943WDwzCOV
PiMkhK4nMgLXRrnGWIhexw+oD4t4LCNFqqxPZRrcx6Op8/bEVbzkJyUfOqtOli5x2RgtWYOZiNKP
Mxrvvr48QSrzdP2VkWVgNEAnoeGk1+uPdLTkLOikL7NPOSlYkUXOMMHSUGvqtfnOTmNi3camLuFp
6HFvaepXI2dzRyPCFzmyMyfTuitCY1pmyZUWQYtrX98kTPjxHhUaLgwNZM1WWmU1y6d7nNLMo6ll
3ifp2cGnm2RRiWp3ZcAd88PaOik/FMKPHSLCn+72bd2s63LNFUUaSHXADtdt+tko47HgUzLD5mQ4
+E3Z/Z7ymNZJOOZZn72sYwycuTBNDZLF8OvLI2geHFuhKOAB1Vwg2VSrWB6pJhFD5vlTyj55qlQt
i8ToS3ELR/LcqVkyVV5lHjHkkhXt3F8Xne8vaYjsrIRQ/tOdYCZJopJHX8VHiPCf7iRVaVzms28/
cTnC5XYzkQspdsKOfce3WRBz+cH2EEEbdhJ59Qfjz4PV2yEzfjN+QyvoEjwVi6BI9VCfSiGhGnZg
DU5mfj4XdXwX66UW9ti0TRXPWy+uOj0fz4GdYCJfPz85QDLlC+1zeAkclQFOgwMBJHrJhW6c9xGE
vaq8k8mlq0NUk0kx2daPOV94lFXdTJtw0pRBECLz0/66amQ+R7VHbH2tq7Sy9aYVxtI31ZDV3cev
b3PF00d4q5Aj+2gpc0EwKQNvOcCSfowD67fL9HGyzsII/L7woR9/GpnwwsmywbtuaNGuTuNGs35k
TdJ/Qz9/ERYhEt1t5ksdcMYBbU+tJWhp5+ZOmo91KTxgeA70WsZwmH03i3MWC+B+l/S2uK1yUQNR
bVNZIk4CL/eGImxToO2K/HOKp+psKYdzPhWNqb4BK+TQwcgqJEXXUg4alvIgPk1srBtdL+xjF1Pp
VdvcdU3Zv2oXlzV1NLZzi815qhpwzcxtZeZNUCyzdz02TXzaaVvmSVQtiz+fV2lbuzistS9jF/XC
98o3stLJUkWU6QmQSL18JvWZv+gSv1pk8di233BTgjrniQFQSQIttfRRLEkMfhwgBiyzbod6aD4o
YUQuosYPBEwxjnutbUQW5QHa43mPnmXPca3/DCcNiQNcmkbHZLvrR/ZtH+KHKE6RbWg4EiEU5NNf
zKKYiq6KU9N8aCy8qN2yrgj4JSUpm89Z188Qh46HcnlXpdM8q7BP7dimEQB/lG+Sdom9E1vxfHln
vb6TV0Em1wRh4kNV6uOiF6t6TMc0TGgelBjeNDYvlndLKYuxCP2yXINWBulDQabWKb5ks0UmElTT
BN0xkc/46BY/ccGmER3rdlL1q+6KKcmQYLSfl9dB4s1jGJgpx08YJA/YeebVa27gGlEVt1Mn67bZ
6cGS4Zozs7gLa4vYhmVZWVpFXhJX00nCEVzf10Ed83eDPxAYmQoS5BlDWxukKF/HhkPUhPQVmFbk
+FxJwciBabB4rhOim/LDQqrOJuFEfdV04WhyU56yvh0BFF9f8RCN6DreQgniNvpY+i8rdtbv0rFi
43u29Ksxjj1f4Y92qkDwlkMr5Ic4ZwuMcKS965JLBWCBnX59G+v83xOnYEpKqhArBPUpR5b8FI4W
NvStp2X1ruJ15VjoTC+8e9OmLdAoLbqabG2sTPZq6IIEiNOkwiTbJHB0MGGg1FgOoaNJe17Ggbye
mC2DOexGIoc3LvD8LGrFMplzGJGfhrnP46wJeSzJ6uypDzs0Q4rs4jTOC7d6/oAB4ZfgllQzh6yw
bBqOv37iQ1wLMJ/ir9wU/TzejZrg6YkLGaf12HbqZuhrH0mssJYiiR2W1W45kix+kpJxgtlOhWb4
SNznzNaTzWrSrM9HGl/Hk1xNmrbZUtmTrKFshch26Xyya8uh6bLjRcwFvC4eqzWnJnNQwTsVaeFG
Xz8SPUC2ABlQgLAJVIMGQZQeQHXL6moxeU1vApcy+JZrknUDzmP96rqf/RiNuRl7i9NpdXFg5Qop
tmkRaLyUII0nk1i/Mm3RFbelzhU/ycZylUM7j0Zexe2Eu7KUrUeck0p2u8JTlu2awA6si2bECxz3
G0c7qABwNE0wgYepiMAXHPneU225qSCq7M18w5JhRSpnW5jWUi6ZuXN+UNA6nJ1pl3eK1mt8rDxD
oJBJVmUyb5dKEpfsNPP68QZZqoU4RpUzWB8bFqBJnXkaJsbHslnRrQdsnmS0GQFrDhkJFsxc7ONf
qLEIRFElHKJwTqWei0TZ53CJVNMc/9rLZ4XC4vbrQjjw0QDpArIrRUWAstP/S6pLxoXLWbbe26FS
BuiwT29pGkxDEaGyTJP6W7BwEI7WJTnmIKiPsORLZE1Pxe7nBllrM6m3XU9gIW7GpFl2jNgP+fC8
4UZs49EzUxfKks0QeDnENVIWgB6kNNqpdK+U7II438WOBwADOOTwxoJ1QQSoPDi+m2oEqge1Je1Y
Q5RTGdTwFXjRqo6kmFZFeHlG8KHnXA9vfFMZ7EQUBWJTId1ap35d2lwzHO5RpojDr0EAIEEw0f7X
igrpYOcl/jS/TdNZlnHo+oI1UTz6cX4l6cLtvG1TK5sg1JTqPA2tbbP2zC97NomwQbbjnduk8vhl
XKWKRe1opuTOz0r/ZIx7LjeFqk35ieflYt9URlZ442Yh5fiSD8Sflk2Q11o0UYv8set34yiC4cq2
aTyZUFZ+RS6Yb4ne1LXVJMon19s4NFPQLnmY1oPlU5RMxQBnGBY7zmU4eSLn+U5T0vNrWbqZJ5E/
kX7sjxs9piRG/hYn7tSlCplZpJZyXBaUtTDF5nQq5rgP267J5W7QKmEbUXnT8naUhmbvel4m8YZx
R0k0oz41cygT1+mNzuhYRIkokxPMFLpNa/xxOY917fvHZCQp3SVeF6T+tilMxW9mMSSFd6ONP01v
Jzcxd+l1rvbeIGKo/pOwUtqbRQ1JbcLGGJJ2r/W0lMVxnIHd2C2GB5UJdWEYTSNll64NPpIqD+pP
KW3MMG1gKnN7r3s3jn5UlGNH8hMX160INqgDRCmP48or5JUmyiuK40E2tCvT+zSomYOUJ8ICyy8X
ZgaY9EJs16SvQfg66W/rmjeNOu11nKXlRS2mok22+ZC4cbgYRZxk2S7m1diLN3FNWXsqc54mwQ62
IlkRNsPiI6yXXZCNOkw8Llu3SWO75PPpmHRemh2PWYVoExV65ADYocl68bvxeim6UxjH6MXRyJC2
kKu+QdalQzezYJIvS6oUPtz+Sy/LSlzDHADHcovpePtx6VtNh7Nc2iahJ2TyPKWiORdFr46nOidV
GQo+rHHRF16G4yRMIKjcTvEMrjvKRapF8nIem7FRr/LYy8dypwrm0ea06GcdDC9lzkSmw1brlZNQ
1om0eKeSOPaWc87LDpLy5haQfQnUblNx7rHYqvKCZG1Gyld5PuZBvB1zAEGyNRlh2Dsga93SPHil
T7d+ks5Zu/GbIrfBpna+J+rfaUJrrFflpdY3fRK0bWRRekOyNOgzRJCIyHT9EewfKUvYtnrN6Xna
4fRRk5KayV2ejqvEWOkKfJgudd51XakV8vngkkBFenQGBrDUyDeOnbYV7mv2R02dWCC+Nlf4g1jS
xVitTAmKzJpkq3pIw1Mq/kXKaZVzzXUOLsnrPQtVeHURpPy+bVHQtDubZci0ojEgs2qjLEhF70GD
vG/7dy6v+6yGvLx0Mcdpv3AyXQa5WrecQdPNci1hWViB4VL7Mfam1cCk9VbNi9nDd6WuVtEMA8Gt
CLFBO2IPA7okOOPDeaxlrP0Iwi3Fd2JqjLwuBI81i/ioQQCFjUoJZPFgPfHSafykyr31cLGbPwuj
h9XY6CHH1WIR679YJ4pL5mfWu34Qtbe//YuQ9/eBKaDFpaJNhQ2Q2kuHj0Umm8weZzWbceiWLnjR
MUwoSzL/GgV4YnQo9ooyy+Bgaqi8e5uc1kTPsQhJkQ6zfKmr3kBKA61K3EIbcGw2As0RDzos/HlN
epNKUHxZqsRvP+q9BE0DDwKu7c+U0gw1WtSYWo7kZO6DtTr396rdm4eMixLykTzDE1uhyvXwk5xT
2GlC7LpMylOJL2fT+iq9WbyM9+4MJ2WrePeGtPRzj13ikOuvkMx2eA6dDQbr6ly6bn0vUG8ZF/zD
lMxwtfV8URf56UKFmprjxAeJ5G/HrDfwaZ0nK/PRjdBvNijafiQyqWE+nUDGisPbAcnuyw5c9vqD
dFg/+JAE+Chrf3WHahHr/uteJul405dJmWS7Ognwu2nLSMJOim5WxJ2zva1keaedOn4Quc4Hi+1M
GSvwI4gABovnTVYgzg+kXaR/g8wtD4ZN03quziK/S2IsLvIUb8JtXNmA2yxBGICygZrS/lSZZHXn
HvEV3xVzL/NgVyBZnOYzprtyMieOG7+qolLzshrCuEtAGxJNetyfurbDB5JGUV5VbY+/52oEbyf8
kYAqasHll1dD4WKQAqPNsTpJEzO8k3U8oQqI52W1/VEDyvPdxFoKhAlsWvbBtqwQYqvt5NWx7k6F
Rqia3vtyyoE3SWlMUZw80Mm5K1Ob7/q0RL17N/MOY3cnTZ5CHMfss8+0JighsC4ei3h5x9LAjO6m
ZWM6yhO3P/qkkw4iYs20FDhRkYyd2MrFJ0A5Z/kqPjI1q9WAr1pNfM+fBl0xQgKkp+t5XZZRfFgY
OO5vM7CPXpiVC3hlzWlR6xCUxSyrS9YQizvkTNYadhB9B7vakywLEaWNd33d2pieJnG74DeWPfUW
oywHa9gKXoCijEmB0reqUDvVkStBTIjzqpCrPzk+ZiDhkyJwgEom4xkxr5uBNPkOle0qvD5jK1VA
+6AAF5+XdYLH7VzilO9HpGexdzbGnbXZlWb5SlKaHuHuUhUxk+41B401x9spzr053cmxEWW3AXVB
JA8VSCD5gSeMoCRHMNRQ/uLxBaeSdbWGjUrEq7lZagmMby/J3Bkw0SzzMzacjYuoYvW6WPrRu7ZI
psEqLE2r5QfgLezLG5sFEsi5v54hbmoP4I/ycmWpygz5KjJrXZmx+SD1nLbkI59KWV5J2TZzvOPU
dM77Y8xIPsVbRDRWirArwX97UVASZd+BkRwL99ZP2jxJoljMLJ3ejAq5TftJD9nQ0vddHICaOLZF
P1Q68ujSFe8W3lNuwh7RYUKxT4hBTqmU0D3pYeVVrmk04EtPDaEa0ZmaNg8n2euybXIQxBHe7Z3X
Y32Gm7IcVvzTc7KiCbL/1XmzrlrvqD+z93FO1+8E8T3cMSfzemPMwE5UW1Tua28jK+MGrpwgW4yv
FjeTZpvDUVev1NV65cFkkVMCiTSmu3FpT8GvcOolkZ1my1RIqPWDV32qktGEo1+DsOfzEmt6Orb1
6uWJt6x0YIc+ET440jJ32i4+7Jv76D9cgbdcd15k6DR+eFhIWI2Q1sJUvOt9xVZn+aKKMK+bnr8u
9oBV7InGFi92wBq8sl1JyM5Ky/mmSqrWxGHayt677jPR4MxuRBdvOMtosqZxKZ+whhrKdVv9Z4fz
TIE4EsaiX528oWubcVOP02qTKl5okYUi7eqq2qZ5CW/c7QUCHngFvQJjcfhd3hEvP08pK1XwDeLr
oKAHlwN8gAVTgJskf6GVU4ceAvhqep0aI7FrlSQTvGE0gNnW46sHlQOIlzQcsnbd+zequ6e13bq8
XHs1/vriH9Y/KGxtPxlv7BSoqj005uCAsQvUAfCkry91QKDDm3yME2AtUFb4W65l/aMO1RgUbRAj
lfxiI34xGRO1Tcz5S6XRswIiy3RVap/l0LDhlkNlD+D49b08pRAwqAX7CfB+cCDRDoed06d7iQdG
Qd/mybVGV01+yARZ8/Guw+uP28Ugdf6WnP+6IObxQBzIQFOQi/qAVyxS65Oy8uM37VQjUCQFIv6p
mgvA3INnf/2AZKXt/l20rydcx5cF3p8JKF4NPCQypzLnSe1K+eYBMcZ0WUn7WbJZiN3Eu2DY5U28
2Nf9yOZ8U/X1iufMAhq8buGIR9/Y0VNLx45QSq0vXDGlBf5fg8O22Kx9b1Qza9+Ue6cakdfBx6e+
iIHrWTBkUEHK+xmeqRmCA1ILL103kjes7ZdoaFHZ70TFjPDDCdAyR4D6FrfDP2Jylc0M9WQ07vtZ
zR5mv36IQzVCcdxnvkDHBHN9wWGXFXG3dXTyhqu0K1ZkWj4nQk0n6v717AU9xxutX2sqP7ee8B/m
0KWUB+SsmpCN4P21/uoh7E1J2uahb4CsJrRdlvxH1JrwQfkT/H8ScAzMXvG/wAEbYzDRQ5Zf7cMS
kuRVG6oo4Rd1164B4+sHXPHlkZnCINB+Wl/0wjwKB6N5wGeO8zJldhHFiao9W4hIVZViH6SFw3zL
Bf+6FFQXoIMXcFT66hDqqphWc5/I5GSfigwC7AjsiLYVPr5+qodRjEcHA1eIpTQGZHy8IRpgfvop
wvg++jIqS7tju1A/7bZUTOs0Qo//gqU3f3RLjR56ZLoE3KoOq3hBtRg6kThSnSNaYwQniUzRgPm5
oBzcg/+qikWSmJMZuYEwV/GUFWSao5ii5fS+a9sKZZDNKa/bbVX2C3WRb3zZVZvAClBtF2wihslX
et/PKySKEfYyrivSTpdFkg4aIzP9IDMCTiTHqMYJCg2VVZvSyxuo4iFBUR4eS8Nin1YgQw8QLORn
GNuXGsXoA7rHtKKAbpSGaxowDtRDQmtogDqhpj1uQIole3XFunJN5rx9btOgOQpv95uALFlYdK4i
S1h3VtfZRjaqzPvwC+XRImym4UMi8zmDQmdthHyXNliDuGoHMEuoLQpJt01gsGRVoKoYznx0K7Ik
KqeqQz0FPr/MyxuGtFezKzk7zZvTXPreSgZ0gwXPOu/rMD3OHWs3adFXoF3BwCh0GcI8dYGJI683
yehXYcswPURf6VY3atwmreSifStmPSzmLfoNa0cLOaBP5ZVxHZoIb7MGbHOywRASxgl2qW0JyaOK
IOn8Y0bp2QVnQk4j/UDENLvgCrRZ3Lyutc4Lus3rzvNRCeMN2MlFGOVCL31bmxm63YwTXewc+h6Y
iSFCakZEEM18jseLQneuW0K0o8cM1bQOLPqiWep3x9wv3fhR+lUxp5uYI+Guw0rVlf29BvPi9WGw
b7k9YFGLfngiL4IKuJ3v6rSUtEcW/TnPAvG95olz7dagszeN8nM2WKuyQMlmNSZimnCwvqwIkCwx
CtugRUHDsfAG/RYgboLrptZeuasykYgwTZLxWsyZyDdzNsbHGR/YSeaz5bSy03ACJsO8UVbSaNIi
vVKZK31wxoN9G8OoT3giTBfC+9KPuW3K3xM/M5tJkxi1aMncMYpdUEq0FudB438wBdyxHht5Ices
2SieptCu79ldria+zU3Wv1zy0vlbZOVuG8w+K2GxsrpLm/6aEt6cW+4l59XQua3oQEFj9iU5GUyv
N6keg9eqSVv09ZvsU9a18aZMmySceV1vRKzbs2Ch1W6Oa3SB60Zw/HQw1xHPa7Ub8ZOnAeqxj3Yy
/THmHuJPrS7K42Ii5RLOOhe7NPfNdcPBzYclKJou9JhJbsZpCW5LrxYo5fvq7RjQbOtT559xX6dZ
aDyPXXDQdDvruvq+y1X8GuRhhnklx/QnglYP6hnSkDcDzdNs18y1tyVd5d50AwfhACjYdPPUn7HO
zkUoqjGIYqXjNPg9G6ieTzGB0N91lOdka/rGoczJqnQOB/xXIPeBE6raeLFnzyqNcYQNJy5/PQ2s
QJ1UmXPROdJGcZCaWz/vmotJcf+8k2S10FisPdRkGM8mpLOXviqGU7Df3llWsJRuAqDfJzKOrA6X
JSApyubGez827Xjfet4U0Ywst12XG4qJggbjg8vSwXLTsilDTEzZftMsYzGdyT5pk9AnTXY1EwUg
RkkVDSMr2RlmzcvmzE6t3dGmp+eirKYQTO87Mc53fh/HV5zAfYaudxtQi34WJlM1qI2YDdty5eqr
JuX2/dxMyMl8tLeTLuwLzEAUkcoS0YRez/gtOtMmZLSsjw2IgpD6lXs9kbp43aWzK6LCueSmTef2
dzs1FQ3bqZ+imNgmD3PsDx3XAJwbHG9Kl4hPwfhK0y4to3oZ8tu8apYQTZ7qHf43mDZsmoG81mgi
nDbUBlFv/fiMZzW/7QI5XeTg+we0HXiPRWMXxr3XoiLtkwsZeCYLS1LoW+uhGNgEyM/yUORd+0qO
stgB6KWMdLaoE0dM+gpzOpjtGFN7Q03dHA/9RI7zZpC3lsU3I+rkm6WtluC4bfgc5m2V3M8QyHHq
VN9vkQbO185qEYeWt+jYFokL/XQYTqUumuMWeSgJE9XpG107/ZFNDXub29h8HJZhue9h4JtBGXrJ
MVhw7CNSbNqpddfIL71QjPVw4dmu+LD4pj5mJYkxmQU6+SqdfY5YNgGR/DwLwAeJQp4oNGaipqvz
40L09gazXQz7H+gZ8Wu2yyXr3oOXa1/pOrUnZC71dVXZ5Tzp8nY7KUAuyuAqu6q5785sz8dXdRfb
tzYI+B0rBoADbefhis8VnAec1kvCXH8+WTWeZuPEDHiboD6OZcU3KI8xYQnaQ58uno0v4ji1rxca
pDcBqJP37RK4twj4yQmcTV0uxHOYYZLZrtSxuECHm7DIVbrcBMtcM9i7rXdL4plXBSj4V8lkmjbC
ZIi/s2Pevm9czxMU18tyYTXvzzGoVIAdqMzbhC26AmZX05apIjgh6PlFQ7Pwl8GQMDDz1vvkxRQz
aBez4Eumo7makOtuVA9KO7goBBuU2/p4Y7d0Yamb+GL0muQVWJbyyuNz/a509hbPJCB6M/Kuq5DB
5L3KryadY/xSNCQ7+z/2rqy5Th3d/iKdEmISVbfuA8OevD07jpMXKo4TQAIhBAjBr79rO+nu5HT3
6er3W3UqdWzvgUHD962JpNfs80zKecnaeqHXkPrMHxpm7bCvWesHWVJ78VVQ9obvEtqp5NTVXOfg
cYMtteC7c55sXZyKbUps2vmluukJ+P6rlQwxrnVEl8mch8SC6PGc8ZajCobu1ncBuY9V0ugscqbu
izrR5kFUje0KUL5rfdU1sm9yYlQIEWJZemQf23HcHlauzFzvL6UHzZPBIQlQ4qr1SyVPEj25aTMv
RuWShd1c2mugJWLM/NmrnpZ469esp210hlyv9PLFQ4l4NaERn57DBt2fwTpi9BRGKJwqBVnRwU5R
fAqZo0o8bf5aMpuubqDJfGJY7OiRB2AE9kO7KpPXdgznx4RUUkCBU7WJSQ0pq1ZmJEjcY+NDNZOy
Omjv+9Uj235BoykyGg+MnpdEOJUxAxz/Om6xnOYQyG15D2TrJNjUZIhTk6eJrG4Ut+1KomTzcfkV
dV0OnKaTF5WWZmF3O02B4FO+RiJqGQD2scd84KA3s9lbWVcE3tzWZ1mDnU07BZg32yY3qNTvVhA/
8SzkQTVB2BcViMJr2QAmzYVr3MGvkFmVR5zWMSAxYbyjrIwGHTmH8ZqyBex3NLHphoSJi7NOlMGY
xoH0AcUBs3v2NDFvNkFp4hu9sn3fl55fVLZmM8tQwtWkz8DNQ4q2pHEdPawk6GMUZjNfmzbDSjrh
BT0lDbIDsAgNPCpq3eo0rAbPJYXsYi+uC81cH4bXHrHR/AFkblcexMCDL5W1n7etrj5Utf5cJToU
KdqE7nGBtqMoeWn2FJsHxSIRGdBf8XbVrqy9MX4z72xtkkwPetNpDJmmTrsu7B6NaqPcmGhNZ94E
WF/t1H2dqnLbxX0LGq9y5TUYRk4zz43LkG/YbIK7ZKz9xxgCIpM3FlgPxgMGTAo93PLm9Vre60GN
vBjjuDqPveof52GcqmJ2lS2PQI2rOCWdS45dL4acqaHdyaEMH5WkXpFMdX8ly5BcM+mCK6ZBWvbV
CPI6QVuUM1baL2qO5/3mGGtTGmMTzmlih7HQXtTfQD+4TEdtljJNxoW6bJCVyIJotDpNvK6EhhSC
yPk4Rji5YgXI/biVyN8qwXsPewF+LTeYlEu6rdLcYJfH5t9Ess0bgfoCh1A+YNdpdnOcRNmsdP0s
msr7DOTN7SDaSfY9TbpdrGNxRwQ1me2i+oWq7kMroASr0LjtYlaKT/3Cpj4N/b7/5NPSnGbmly4t
jRM8awCOnkrNcNIVBcLdOJuh2fVvBdqSk1285qus/fizLCvvRXr+crZgbvNQD/3RB2T8DPCdycua
5nTqCzpcR2Xpo27F4ngZhMHXQF6a4VV1l13bsfG1t5w0RRs1IEIBJvfRUYWq6bPRNG4C17T1AAvj
RXiZ32IdSSPSiPC61SN7ret6kilrcQypaOOaZxKfmwH+wpioVx0eu2hmcT7VEHIa1FqyOnW6nz5q
dG11JrXv08/YeBeTJoQv9kAmGeWTFuTQDCH7cNEN7LzNyjltVqJvw9CJ19lyje0Bneeun0uoofoy
9M+g7syVXiEqSU2Fkubsxlm/Sja5JhsBM9q0sa37Ok0r5gomJfq0WQPFfLNgrWwKRs4WSlj/BJC6
gmSqcRuKechGvwWQkJa7Lq6nq2BF/5YSlCNT3pYDCQsydND80s2Gz9PYtp9ibV0mR3/MW0oGejMv
sfcIdo0nUAWhhkujaanb/YKi6oTVTy2FG+paoJRLUHpCxUH6G79ePJLN5UWJt3Y01IXRFg4DKFIw
iLKg7moRSLurbAQqpZOZkCjSTHFpY21WrkPDUFP7qtxe1Dgrect6bxlzdBWlxJKWRP2mM+PNVbvu
CWVCBbfR7Jc8ld7Q+F9ayEaJyizhTpQ7EGbS0WtZ91GfZOi2XaDTeau7cc5ibLjhmtfgr3ibzlBz
B2uu7Fp28mrlJfNpNs5owPRda4EO+amDzDuZd2bWQ/NSVTLoq3zBVAGNAjeOr0xq3dBH065CraaO
cz2T7vs4jM6GRQ39U6eKcADX9lhSBu5lryGUmlRu1oBQcSdmLXEfAgK51CygZAYHYCFzx+l/60gS
U1zHUag1T3TtwpcQLFP9+AOsJfpCOExtcoFGmVc6fQXv9YW6h17gwoNgHm7xWxWU1EV76Ko3zLfB
G5Pm06yXmtSp4gC6CDrbUiwRtggsx9PzXANQ4OcJBaW7oSKha5DN1TgPcr+B3cLdwpYnevHq81nZ
Lg/baV7VlT/j9LYUwbmMjRlEL35XPvpTqJuoiCBUbfwTnedh7aFDaibUOOgdqmGnNRdYj8nU5xIq
pGsGMRdKd51gxVyTBkUUD/bNFHfrqoHCWiCpTQZJ1dwuQVEpFzRtoRcobhJgB6rn5w2lHy9K0kYl
WDBbJnpOvWBIgiJeNz/Yg/frnjWf2w8E6popZT3MZ2kwY+4UUJt0b1RJVFlQv9dGFn00JnVuDXQq
Lt3YAPJxi+b1XWV/SprK3oVQxx6AAzfnnpZ+Jlk0XwtvXbtC+x3EWjYBEaxJ+ygSt8THASVcnPpK
r0Hq1CLV3kwUKkbH9aJgzrHyTW+0lFhag65MI+yjcz752/owNmRxKBBIW6ACRYdYCh2GexMFU5eX
HXevZCvdqlOvWgbvgctGhjkiotVXQ0Fgp6OwaA3URiy6ESO8ukA5YcbDXIfSvlXEXRAXVNRMZZus
qx18WrYku272OMQ5bEhUVtKg74tgpePBG/v4U2vbwBuzuGRVnwFQbEJ0qPE63nQ8onPOaDhPL5A+
QDYBDStUdhk0HYNFgeQx6IoAbt1U6Ly7NBhQh187EG4uXXwZF7GM2hOpxh5S9jmEuQLaOt1BusHW
ecy5ChNQUmSq9/At4MbEriKpD23dYdDtILIZgNnrBsECxkaZ3M+E9jjPTe8iT7u7FTc7D5KSJ4WA
tuIbgXgJ4KHQ1ZlgGR4/o7lc6vtYdOZSdfmsOaCCiU4miMPmFUukv+59G4iHfvHLa8gkq7fKeLjy
fNkc5GrlDGRk2xqX6oYuH7gL57vFtDVOATY2sMNx12M1jTuYFWSYPHiAD+M8Ef1y9ABaNPkCbczH
xQ/gIwzlGBxUIATkiSZ8HMqq301M0ZfIjF6axNAh1qbdoNAftzWF5Wi9gaeSNTmbRwtTV6sgkE8a
m9hjFRmo00a1QQ5alYvD4SbtRRqBbjjTKl7ZDgwReFbqw1iYV9a3WHoJ/A5NOukY8kK/GgcUBWod
r/1Zz+eKeZbnNKx0vIMQQj8tLp6gOp4UzhJqgPhzYGpepR0K8NuBXCreERkSKkVNvTZpJMsEchQ5
NHWODV1AeQW45G7rgACkW6R1VEgLgV3u064ptsHhPVUIOR1kI53Ora+/L2OtClaOLlumcP0UY7Ww
V25SRuftYPnDGJppxteF4YCGoAEK1LH+2m9LdsXrVsaQCZVrlxqvTK4Iqdnr2jby5Ige76DVExk0
YOwLXDGzAs8QJ2vWhKMwWbwEzZrPyyrGtDV8Kou5bniL9df47ZXw2BrupmgJn0lZa3cD5Er6AAP6
bk1b3XmfmgSKh7SDEOOmh8KEFvESrmgKEgZXw1DSsCs6T9RPMnRmybBvoqpDfZ7Xvhn45bpFt4u/
AIb2WV/e8LbzXwaoLKrUzu0nf+z6FzP1fYqQA2CPUFRCKFVZDPnWfKrIQivUVo5kBJXHtZlh7xmB
u3xW1UyORmBS56aR8e00T/1pCgd4PUwsz8AF4gMpKX8GYtzEGAZV9KrZ5hcuoOODNSs7yrGfWCYs
Xy7VGu0gnVGAeOJx5IfRr1WUbwlB4dQ1idurkNn2AW7ZJjcAt3KDoR5kgx/OBcoX70qtfQ1t4OK9
1OXqXpJy8lI9zhTWyVAWHW/L75AV0zwIg+kDR7m/94LSe+2hQH+heEuYEocLB8n/Czw3/NqB5N9r
O2HW8fkLBMrTnZ7pWqZ86qmHebDdJRWRqGi8oNtjPzAKbcbo5zyGOAXvPi8DMx8FwI6cOzQqAzzF
W+pqr38mvA0eRe0HXRYA1T9qrTxQYVBaSt//us5A/00hNfAg84oNSnY2BwcOF9MLOtq+0w8mGPsg
vJ1EPWCVHzm/aJPMAP8zRAJuFd0ArgGEY38brJDSrPuFwavBcr+nbqqPdK47sR0h5F6nD2XjlvBr
qIJeHkTPuynIysDQieTchsFisHhJqFnAaUEfIRKviWgO4Z23oWzkdG0yIyND3XFeHVDMNGIu3AWB
WvjnSKkJi8qgZetarGNhTcMcdR50CjlZo6qCoCWAxgpyZJTxUFWt8EJj0kDGHoSQgta6/0YHssZj
DkITQr1i1MsqazCWTSWhFtJVeRGRYwwOoEEqUW10uLc+n9DCNL6LjHnu+VJakYOI5ej7YBlqnLgR
oh/nPh8XBAZ5BdX+PA6vs9yst6b4FN2s2dIHKMnSTddYGQ4lbJIiyYBYX84kiCqatPu6cjYePs6k
2liYNiWX+Bu08HHkrsg0omG+EutYtlHmaMJju/sP9NzvBhGQfzBQJ/DKXgImkgjCh9/JOUXRcwin
k69UwEXyk/VmkQxBPxm/q6D2XLhVXUa7wLA4jU0LI1LagkcZs8lXLv4g3omuvz6u39leHBYSFyLY
VZGNAfIQXNHvh9WEK6xJVRO/yV5fvE3dD+FHJ5MWA5H0oMv+A1H5Oyd/+UbYuHE1Lt5hUL6XiIFf
NRkADflE4Zf41v34RvtDVeOHyoCaH+M6mCGCs9QRWD4aAbLyx634mZ9w94MR/ZED8LXXcNZU9c8n
YPz9x/996jv89/5whn/88n8uj+P42zv+9/pvT974y1ftv/WXzOPxzy+6HM3fPwsH8/PoLhkKv/3w
T3EO/yaw4ceDPP7NH39Lc/gtZeRvmUOXvAPEmOHu/l0K8E9xDjAV/jkW/x9v+5nmgGCG+MKfRxgr
KI74xa7/I82BxP4fMcSrFOQzDzx0bRDj/IxzuORJhxj7sGhDiQGjFI4DdPIl0QHBeAkU1AhiC9+F
I4n33yQ6BO+j5xcO/BIWjvxDCh8dPMYU7pnfR1fIVthP+8Ye8KgRL2cwmxf1ppIsnKaXNZKvnFoB
HmGbCoVOMJMiGlPnVnnintQZnfgTt1yeCBTn125uz5ZfUDcS3bDB+Cl6aJXGwgI5vpSzaJK2XeB3
NB8qeGbAhiY7nZAmS6I5yeKE3evS0hwbFuCIgMvCG9BqVB6+E8SHzYSn8J10oLmQ44ttk6c5bHos
wT1DlyVeI6Jp3sLmhU54A/ZkY3PU1rx4vNbZFlofKHFICigan7HzP8BU9WoNvj4K9Uvb4ykV1YQe
F5qADFFS917Nx5QpnA9sRYC5zfASeQJeBROrdCE4PeRigMoEDJBbEh+N4UfoeaaiHHFpbFIW1dTB
GSTkdyaJS6MIl7LnZszpgA+F485PA1l9wCngMlB+7JDwm5cGr7IUx2B1QIoa4Bacs6w/iMDoXQ+h
ch4NEf4qg/uFz1NxeacI0P03CZrmjUUqhfJwTDUo0yKcvO2+6tv7ZG1t0Y74yhYlw1UYDDj8xWfF
POCAfB3JnG7VB2iegGTFM8+TXn1f1dAfBt8AHy1XmS9yZVWatNXXsiUerkPyhNzZqfBVq7ORoi6/
bLy7YOIcmmjLMiOS8QngpgT+HoF7Ie22Q0e3HRaOq+eP+NIljI/cI0/vg6QZVp6vwTDmOsY48Fb/
vrMcezBNwIV6NmMS/wBRubcNDqoSMjj6xCQ7T6AT6kFknOJkYoXVl1E04bXo9m6a0ZMw84ysiG0t
sqiMLu0rBtbcdjrrwvAG4/m7S1CWIoiap+3SvEIPg3u/4SdRhi6FmVfly8TR39ke7+lwlUZP8xx2
o+0a9G2SmdG8vN/vrkJRb1sMKwgft11VY8hgp8CtH9AwzBFvT9SrvmOSY1RHeC2vMTp5jKHSX+ZC
NUzrhxae+TTiABY8HAhmHk+tls0NoO4j0s6f1g13fhkwT+BnLU8LZO/XdYzZkcTjSwxwPYug1sOE
w2DimI3vF0NpTIqF4KVadq9Q5bKiBPp/ahkk1kGJQdvKsTytKvEeUPDrDK5CMAlmtZk/aQ1dL2OF
kT3NOxPgklKLY6jq8YqPxO2riHlnfyjhn502VkjQdjBY+uCrhEKX22OUKfzRLUpec4aJik4G7KOt
20KuVVtQzBPa2ube1uHN+/TyxbYdKCTdqKpbmJ567i7i5z6lHW53UCfyVNVU7R31ZQEIE9NQ8j57
v7ekw+mTUp0jWAGwhGAIKIBtGYhMjcYP9w+61m3Xa5PsxyqQBQwhyQ6KlTYHqqCz9wFwGeGY4vdN
sIFfXLGMJegji2BLtsP7bZ4gzMM8wDByQCoLK7zyi25CcghrnOpG8F3o78kBphOsXmiYoX/DLfDk
9wqpDSD5MXsowWzuYNnKmPLKEzWzOscN8KbQhXu+iFdSNWtKIFM+l5LJAvrWJps3Sg5ViHnab6F3
XuM62cURBplC1sKZANfKNoXlC337F9CUPPU2BQws2Cd1C4kFcfgwb7FZMPpRFk/UB5MQjimSHsxx
gQkyjxW6Wdd09ED70IfKt8KiWHlY3BbcOhLLZF/O7L72E77fPLXu9YTFRAfWZuGA04YVpYFD3MMs
inV/6DhWsC5G//O+NrHEseJ90gKgt/DPkyd8dn2H8B6amzC4Z6tY91FJeBpOgC2lWDCYBqch/QVj
J3u0OvVA1dlFgbuZY/kdkSu4NCtmwPu1jpJQ5rLDR4KLTHaBimQRuGnMCQ+xBAYhIBMEB9wxb+ty
QHLtnpfD9yHGr7tZFJj0OoX2wZ0C0jY7eAS+cggtCuR+QPM1xM9dH/SFJPUdWeabuJ9E6i+8Oq2N
q0RK2rH1ckBjkJ7IpUcqhyPRnMMBjFSbi3cDARZBVCAZf4SjYDPilYne5Z4WSZgBVnwKK5AWI1+0
uF6BNp4a+Dh5Cq4BwDZ4g2AuLh1FWvfNdIfckqis0shrq3hngLSKbJUQvbg1MWOxBbX2IMEcyEmX
8xdAi/3bmNivQUP7Oa18J7/zwSdbhFUCfWeGibEcABn0O+DSLtEgEBFUowWozk4EluQVtqIczufy
Oln6jexaXy3jjYSzNz6qJBi7A5xQE3lZIUXJ6rmy7bmsE39KjWm9KBtWIBw3oY3YCkeQKsmDgu/h
VMfR0y+l2M+a9desqksd/qe6JoggkYyi+CLo/bN6uE1gBIBZZD7EzbpC4Fd/byQ2F1/xp9n0PoYV
Zl3QYKT/9fde2pJ/+l7wkBCIcXp56sTv9VSyBmxNJj0fvOV9scMc9Bv5phYiU6fl97/+tt+7EZSI
MWTaF006HtcDNPvPet1tgfmy2dR8aFcMkEslkMiSFPCp0h/n9f9NwL9MF/0lmg1FOArzf98F3Hx7
NV8QL/Br54Ay4fKmnz1AEv7hI4IB0AvkU6jrL3/62QNA9Y1KHz1AhHoecCLu799aAP8PdAaXYBW0
ITF/73//3gL8NyU/tOW/D1GKgAJ6eYIQCBM/gsz7Tw1l6wMCXsvanv1uS2x9vUkDMyhiIoJBrOps
4yZYdXdsbAkz8Uz4kAI+X57Az0XHcZvKx7YD2pAqHP618UR0y8wYnR08NUE6tQRlA8hKmzLfkB3k
A/MLVoXuxnBIEHPLQB8lE29umONgCEIDPRD8xNg6YJAGWRP6NxO8i5Cl0WFHLe8gaqHqDh7o+SFR
ERMgEiv5bNZlwdps+Jw6E6kXOizl80xrAlEV7xPkxPHuwbDpOULAz3HkntuDnq/uImR7PEDmbx5c
5Zc7P8Hhb+XkCrL400nqZEOBAkWbjTxXBPWlCmzk0D7B7uC+xHE3HPDkQyy3YD7c3TAAGsX0rD8O
nZxXqHmFzhH6wHZJDdYwxkb4ELpIFJbCfJgSqtzZVAs7I1LtQ9c2U5V6yO0z8Ob6LKO+3p6ArsqM
eu5VOmewdAB1PlBim/PQKCEvSsPxM4C2pYbScS0/tFJ0N+Bd6x3w/+0EaM9j4G39Km8tPKcCntxL
BUuaO5aM4oBd/HaRQuxi4WS+1aHIRiRKH+jSL2dXq/mMDa65qb0u4unULevjOg3zDhuBzKZIsltk
cY2HlQ3qGhK55RyMaj1Acep/EUjFOQE+m6BdYK3LOklkoZgGYWpqhtZGBzOETAPdDXCr56ps1T1B
2fE4rcH0CR1q+31lI31idoaQWDp1240hgQst3lUhnV5wrfSagetL7sDFdi++aezO4xo+oYnBF6ok
5CxQJhfEN+4N4TfjrTfp/oyoAZeh+IJgTmDgoHshSfLV9wUwk8F4KMjJhvYlc22NAiFS9b0aLQXL
C8ixAA+6pR3t7Y6P9ZbyBAI/ZvmVmm2zD/xQ3wTAmaEkoICF2TZn9VhBSeAhn6OwJBFnvSGZpa00
P1Abtd+EqsQd1QkqMVlttzIUWqciLMlX3vu8w9Y+Qto9LFGLVjkO5yvVRCj1dV1DJwlDJlhEkQvS
hi+N19GP0Bu4MwQNtKgRunDdxBqdCrRf9t4AtPs0tOAmUYtod6XDpnpKAhne8iFIDdfV3tpY3TV0
nB4YFDAFpFwThCR2kx3GpIrTsIedA7JSF+bROAFYGxdFlrSBQPHoC1EeWeKZYwjQH+LcAdGBQGYh
Z0wjU3bPWEb03ara7aCgUYL3rQuLBr35NQzXatnPVusshiuzMNBC3sIzVt2aOmCXxtb/3DZtIlPM
bfdxLOFvuyDU62MUSb8CM9OSYgNfdwijsjvNG+BW5KegBQLdPYR2By6R3orS97wMpnrZ3RDJq+fY
Q3wTtDN9qbNgGEqsJI3e8q3r31qPgvKco85d+xuYVdyasJG5gFX/uYLeC7SYFyZl1pLKgaz1BPoL
oQa2c27YulRz7e5ZS72PZizVnF2UCxpJhhGEj+4aim7uGty4qpsd2xmIBGFRrJY14lXh6DzSxxIy
xDX6UMWdnh4mv56BxMAo0KjTptlItmzionM6B9srl0cjXMW/BpVEIFBWxy1dwg+dFcsQF1yHRO7I
PE/ibY219uQeTh9jfrhP/r8O+A91gIetErXev68DDl+WL03zaxXw8y0/qwAvDP5ARQi0z4c1yQuj
fyCBCBn4gwURooI87M14CbDwn2UAY38wtPiIWgYEDDU4R+3wswy4ZLvCEohK04cnCH/5r5DA8PeC
OXg3OV4KFNjooVgFOfp74QozdQvLa8Uex1FDJqA3hB8C98BxZlvbJWcdVOYe8KD5qmPJkDMjyQNL
hnWvArICOYDHGokgDugTLdsF2a0eIiSILuCp0Z9GCpFoBlER8CNiEc0lIICWKYGA59jXTu4QXXcp
AURyZojIvKsTtUC1Jdc9UgPlA0JNtwPiOMa0hkj7G3j7zSB6YAluCWwRt05hzUjrcVq+JNgmvoAn
Wht0KrhsWY2kgCY10kAW19LhEh+hX2dWiy8T5uEdkStQTy7WT6vZYO7VlYwzHx3MN2sqL2W6DY4V
o959VUf33oREkrRvR/YBvuxN/ofW4b0n+Ufv8H4LYC6NcVdBeQDsv1Aiv7gvO+wWgpRj9IgMgOQY
wjh8kROaKE16h/YBhtkpThvWJXd9rNlZLQynpiPeo2uU1O63WqwFXM79Mdlme72V8FiwOejfvEaS
jwiOGR/qlbgibIS4ngEN1sCepva5RRDavqoBL84jSDXOzYep9cNDqJcz/MXsidVsD4ThTQzR8PrL
JPkXfVryO72Bk4bl9DKAL49IvtTIl3H5y0lr2LKqkmpYTvuu/ORd7n6FtJwXPKHU3UGgbo6z8M0R
3CeAl1pBNQ+mbtuNAIcAODv6qqWHy5CEi7utVCBPyMEMH8sV/zf4jH1Dlo53VRG23NZzBICqGtwd
2LJnpPWxfYKEmWepAIRAJkgPjVrUviaG7KWF6nRF+HKx0Q5j2p+ovaKb/6ai+bwY5h2muQwPCCeF
bAY+mrwBhli4EJAaNvh6FzbQkifiFAT98rWp0XC2k7981ab0YSltzcEAnUzLuoaCyM47hAK7B0xK
eRNbFNDtKJuD9N9A9QuTRqWJxlwCur7iQdVl4OLcnDcwpaR9LJI93YCFIszjAtoo9+AU7lKK0Alx
3dX+cF55yz5ChqC/8Xbo4FZZUK6nIVQjB7fFHlxB43hInG6u2mmi12W9ujuuPHsdyuGiCfIBkxZD
vYnDaoBlZltQsQfSTO4Whg9cUNZAH7NxgLrhZW4SuQG0XcaPSKYZXpNKVucggH6VVs79B7fyn9Ys
0BWI0gU55vsI0cG9fE/F+mXsMGhSy8rG5KGe6HY/JbPaE29sn1e38NzE4BSQpIWxY/rt68L4lo3T
iDIyWNb6Teje3eiIladhosPHeAggk6hbuh+4fnEolvIBVcEHhGkAfrImbFOIC9W+xb0/9xDsp3Sq
tmIML0rUrmcPjhqJyIUVp7rOZL0OLggglqt1h3xAdllQe3kyoZ48gPKEFQ2dB3wmWPkbQKrb/fuw
1QIQZdNE67UZAOt5ui+/9y2nL5x048dEeONHBekaIO0GWF+noSTMIbtrXhWV+6E3pMuAFc916s9z
tEcgAORD8ATwW06Hfi3+euq+c0P/WK8ulx/JETymsKczxPfGl6n9y+VfoJ9DoWnKB9Q8EcknL/bS
1QzkUSBb4NIaQgUbDSN5Emtja4hVdaKvnVG128Pxg+3FxxycIT8dyhOHg+KLtBEcccmwaJR6nik/
mWDFyVDWesehmckPYvPHM+b/xdrzr04A0lscVnSxgLLwkqr2ywmoTSKCqq7ihzYCweWE524GXVW7
ISqhdh0V1pkSEoS7kEEzm6oa/QUAe/2FQpVy5S1R+R1zD0QGW/svvos9ONEcwCym5xKJirx8Qswz
hGu1qlqe/vXFf9+P/3TxAyD9aBAZiLHgz8e+dAam3GAJH5B+GYKPGsfyO0ZzyQ9gItpn2DO3a+FG
d9vGVu2nDhphkFkqOnLd2FPfAUReILE5tuFijojoI08T8m33COyC2N8Ms7rd+NicY+jq7xaYTVgK
O+T4HVp0xFwmTYCM3WU+Uvi1bCaHzd3BEQMFXwzODXhhCC0IzATIoZvLj6xGchnhhJ/GBv7HEp7t
XTv61U4jzv0T2vdtbxbIyxuoc5FMFSueTYy5b141Yr1iXUBsNmrmFZuvk53fS+SkmQOE7GpA4KbW
R6Srl59UjKmOmsDdvU+9ErL2N1NCFF5EEr+EjrY8bRCTPoDuQPh8B6dplrChfqN63ODpqstPGHmQ
C7fdZQW5XBrYj06IqtquA4poozSA6uAB8U3Q87BOPlEIfv6PvTPbjhTJtu0XUQOM/hXv3SVXL4Xi
haHoMPrOwICvv5OorDqRcU5V3nqvlxyZkSG5O24Ytvdeay46AQzjPvll9tVGRXNqEzmdco3qs+sE
jW2nEDcSEtgWetJ0zayFZ8m/XwgcElmlf1oJIfwzE9c+e/Z6HPzt2MBezTgkH9tHWVgKGJrJDRb9
3JsLmKB4V4DuAvzmA0gMCHuOYs2HJ9TysFjsSRDx+5PEK7OV2GzPbVr0gMpKM6UJgjq3jJKk2isI
m9yulm9+mbWJXDRV6ovQzvh9SH3H2DKwLv1tD88nPVQcx27HSrm70jdn1oFTYbws0JkVeyxatMPx
6wxHoLvTdl6g0E1O+TLpGlOTD8wMQLNID2HrGQ8gJme9ReU0fGtdHiusL7ntamaSk7XgheWuPfpF
uh451++10al666f8SCE0zttJpMsutOc3CwES2qAA7ZU54xFF/FkdwsRhsWaidzbEHvhfcYiXuAfG
/FxbmXkE6jwbkWcv7WFphaxvxYRKZtMMOaaB0U5feyPDZLE02mbWmZbZG2I+ZLdF3uJel5xb6IHY
7Abw2xv5DfGy9WiMej3g4Ak9m8HEo6ovMXAgjk8i6j61U5Nk+tEPOVteUfdcqF7jNAJFNnAbzFIs
8Sbw0IVtCyYuzwnQwhMqVJ46i5XZX6Qdo+xhWN7kCHTUevwJ5wfwZzUlM2X4l7Ko2VdVWzJjZWc3
N0a1WDeJq/PzzEIIIlAy9QXflqw3rmXbnywYMFiSzWF5AO+I5tGib/TYcbY8KqMKcXX1y/KD1mFw
CobF2BUDOseIDgHiO7Nb9I5pELIiRjZyQ1/AZ5RosApTWFU1jpNuq5jS4ONrYnOb2kvxg1nmI2TU
It24HFsR8UOd3BSaMp7Wm7wXpa83PAxCrkw4Lw8/b6T/VrZ/Udmya1BU/uvCdvNBFgUugfTj1+L2
7z/1j9rWcv5m2WtfeQX4u4H7S4dbkH1KxPZKZKUp/nP3+qO2XVUuFgiFNeWJ+AkqgH/WtjZJJza/
0A8oRtHH/Ge17W8YdbrdnBIFrCdIMiZkXue32lbBwGzaYZiuKB4IMdAIUaPahji4yX09PniGO585
iVX5zjRz9a5qZ3zJnX4CnxRW7dsvV+//OHVYf654fr4bh1yOVUpmIvLxftuvnWpu8pBGDxKZyrom
+VLF0eDX+GmmkWFnNGpnePfHhlulKwPVbmAKsUfAJ/QdxKt+9S3koH7H75DoyovCekHUEliH2XPj
7xZ4xOmvzknrRODXJwzXbx0zwcUBBMWh+7ehlpPiDILfpa4AQJNk64ExfRnXenav/Ll2SQKYrGyb
+sygFt9DmTznpn0ox47iuhtr9U1OfW9taAG6W5ygNWaEUppY1Ts3hwxYZ/I+HzB24i/ot0xLwtde
theQp+60S3vDu007OZaHf/89/O+vASmfydkJLQ8tavHbGMSfDfwDTdFf4fyHr3WCdgs5jmBpNEid
7vXUhU9NbBWf/v3Lrmvt12vJmIFi16elzVrkH+vb+uXMSVswcZo+qa5VsFhXgI7DFX4GiMxYvv77
V/pzR4eGEa8Uouha8UgggX9vJzQV5/8Wa+sVWoLzAdG3Kw6xCmYR5Y3cmS2swY1tzigm8MHr8q8W
zboo/vxBWSjCFQ4jSiKDfn95eDIpqkUM036bux9lNrgfebG+Byij/Q79fR3NTEzkQRetZmyT1/53
DDwAYhmiMtjHgoNaI8NcmwG4eLG7RthbGczz98YYm61p4PrduDjguyM5ZsvwV+eq//1FcQ5l24B6
A8kaAeafvyjTG9zKpTl/aw1x+ZGiW2dcY+SqciJ7Br5/1jLNvyRBCOpgaWHvoalNN7gA/B/KX5Z6
M1NZoIDOxu9pZ/vfRreR/vnff8UgmX6/ykCvWURr7qdF+87/rYTxuiA1O6ns28wB0xUGPFPlclhx
xOFejcOwQaxtPozl7A6E2kgf31h16CnYDoXTEIRAS+CxIXxpQg+hkzedcYide3TNjds2L9jUg20M
UG4z1FnGo1vZOBPirK+uujF6fAxI3pPEChE9LJBqNgwTSnrzqngUWXKfYE+fomLw26uK22clSsPe
eiNNQCudBXuDMyxLZOoguymkG7zHJuZJ6QXWzYL6ONxoUyIiZ9GlJyPo8CboOVi2Fo2G7ZJNX5se
FMBgGj7GjVL5+7hvhxNhPuK5lZYGtOwzzYoWmcdfUNrAQ0ir1vg8lGAsmqZHoQ/P4GS1YfEtHRuP
+94u86c0jCc/GpFun7u4GzYz1wExvQjvsOsyE9Rdu7esyUJNh0ATv7yG1bsZhYx3ZW93mBLDOw7b
CfI1q1ZHHjVCb2COcjBSfvFpKk15EV3YPDFxcQ9DmBkCUUu5fARe3e16c0JBh4wp2Rto2j8Ypeof
EIgaF1mTMgckh2JM9pNiDmFrrXdzMg7BvqtjuaXDVB4r/iqMNqerudAALKKszzIDW5JGIl270xI5
qojRcxlViV+K4/9K83rQTLC3ad8Bq8lYSWpvKx32h8n2GTHh3yliGGStKssIMzRe828ylkIs7702
ptW7EyIfyuuvYi4zZXfRQN3XmFeVK1QkeMPa5QC9SMW0YlJIIJko6ieT8JJTNtv2sBn4DmL80OYq
y5KgBRgQxjwPVZHrlvJNJ+amK5QV3yH68QB75LOv5XaeilDdMJ6yWVE6rq1eI4xyjb1nyCy+G7l1
vGRDPwfbjWXnfbmnUdyFEZp3HE+7Ce3RxohDK0SOH4NQ3NR9DGBVhgTv7HXh0/fqY04Fe7dKymUT
LC47ZiVyoBql7IwCWgjynHvMaKAJ6yQNfhgD03Okh7VQsG+CIbi6GPDjc2X7ymfaWk19u8zH3mR3
wyueSB+6ZD8u7R6xTpXu58Ir56PZ9yjKkOZyEPYndy4OHWxpA5WsI96Mplwsmj5ejnApL03jDney
gUZQVdVbhjKxPNldqBDVwS18RCZow7bAyWZdpJY9ylVfCqkOyEzpufIwts8YCwQd+IZ3sKsV8tAd
4/KFg3s2N/q2DMDX7AxulQ4wkjWcO5TJxTaJ7WRYVWJ8nanfcz6p1i79dzweoYd9WWHthrIv25Nl
ps4RxXzuId9E9bZN6zTeLkOcM53UXROC4daZs7FhJzJuBQlnXBghOHuriQF40Hf2m51FdlB9kqml
k10eOpJUD/5eZIW4h1g+CUy5Sad4LtWUGp877DKUbyn3kbiifEthVQWjY9jPc6HFcPWacK63FTPe
W3eoeCQlWAf4gRAPq72HiW5V7xiRK3lukQVO+167S3qxVKKeHdwIH+4U09YJ0Kfa8GEnwGu9R78l
wh+YgeOyqZY3ODN2KUzw90JrThZZko1PvevpL00nbYzJOol3ASFnIBKCmN/jFjVU+KobrSvWb9t5
6JVrPTNy4G9oD/D8RsHSZrAsyiw9djjoIVn4qBPvUsMPXyuzXRdnlrX9wS962d9PTNaDjdlqvhup
K95YzazRuvAEC1/xtrC6S3bJbhtY4VSfVB/GgrkMUJtHESDloi7P9HCrJrUePteuMMWaN+1qXfLS
db0seHNFqRa4LP764de3rtmfeF/4uq6OW/EphhaAbCTzOl82YT5y6zRFkqcPFch0mAUDp4KE/8ee
KlQl75gkz1iN7EaafN26m4bbEhUlKgzapczW1wHbbh5bMFb8N0wJPhEbCB7l9ZysqvIV13J4BlSY
Bgw3aGFvJuAPH7pieI5UJJsfbTWZ/SXhmJtd6gZ83lPA0+LQV6Z1bcOkfScEhwY6RNJUnOsgCYcL
KUdYxubOb2ELwEc8NILLukE7O3/Ni9y9n4YeVyWSjDF/016Z9EdoBeUPqMrrHpK2hdxSBwT2LhWz
7PcNnbY3w4zLfUmrE82hwzY3d1o+pkDHLkjvMnfrik6Aey1ch8eRFOFrR5pWsitExW2yGDEjIqeq
rfZ7yYY8o8dnSe0AzbBGMpcm8R7H87jjIaPbi9UNwkMZWaiRJ609mhy92+xzF0LxMmaO6eclVJ31
DarU3EelZfkj0Bo00ruptFYWkQbKd2r4WvTGwC9FesE4qttp9vHyjgwiAr8/OiWeouOiV8YYOIh+
OTRFXte3lTc5N4g9UEzKtirHSwJ+X24Cty/lMyeR/pu5zuMjts5+jHJJmzEK9Ri0PAXm9qlIWitd
exF2MNLpYGL3gtbUCPll8Hd2kvCD5GzEjf4iE6QyIM/RlZ9STBkPU2/E9BYH/FO7dBlYpKlQmX0/
5cXiXkuvWTkZaMW9W8eSAMBmTjf9DoUw35oOqnQ19Psle0ffFztrsqduOxbwcA5L0LL6aSsm/naO
8QBv4gYqxRvORes5kx1rjSdd+MpaL/v7KqwI1xsEA6F9UEqP0JDhXQQDkvYoz0f/xQWkoZHCJ8qB
dFSQPdLGpJHxcGdF7xp6I+2ewmGeblJb5fWN3zXSvgcKU3gnIjboO6XTZCS3eWc0elv2uOsjTmOD
umW0x/vvwGjv6c7lEuqcaZ7m1uG+n9FO0tREY3H781T6307KX3RS1kqBcu5ft1Le5rokLPXXPsof
P/OPRspPPeAar0onxeQ2E/8jFSSjHKkgRTWSamxBlCv/6KO49FFQAeAWIqYPhOv/9FFWt1BIb3Ed
1ZgmJaD4T6SDv7cBAvo4q27QZfbqMDn7rY0CoslKXQYi16H8lvQFDeMvv1yN/6M18ntJ/vsLeH8u
ubrJxpEx8QIBx2UUfNEQfqTjFfAULIJ//1IuV/JP5Snz9cBlfmXTPHfpXP3W05it3ipcLPu3mVvM
ZgZUx6Bih6YTBiQqup/7n1IbWce47w60+lctTl3ANqzOpm22SfmNRnTgJ3fJ4EhsJpyoEpO0ymr4
ntLVSsubAR+r4VxMr1lORR9mwMKCjGhBD8BF/DxzyM6gBJx7lVn3WVtTXs0ZtRZJVxXn2cDuXKav
o2ewHerRDhV0ibKV+VMbMvhETeFUoNEwtmBqjRgZih6XhTh30O9eOBkPxJu1g79ZRs48e9IpC7u8
+Ar8EZLE5Yp9y9WfDfijUW4k6x6nBEh933XsO8fA1XLJqCSNJw3wyKl29kh+AZNplWdqijlhdGl/
+O+u8TN7+i92DZBNrPN/vWmwquru41v9667x95/556ZBIxU38s+8drKZ107LP/XFxICTzIh/Fssq
bkO2hn/sGmwnrP61NUrngO2Gu/kPZZFNBDXRxSH9Ugj37B7hf7Rr/N4IImoWUQvbUMDLkb+7tjB+
6XiZpWxMwnOMC2yANsOsFYbBPHzqxtCpunNmlj7qzBwbpMwOfo8u372xOTcBZy1xdfgKLeLsNMl5
pVTk9m31x32K4jVZ79vg51oc/r4w8yB10/TGTfSItnPhT+PhSHQDr/UCnES3TOySATWevLHGEs4A
GL7AN9hsDE42I9Pd8swoiCNlbusC300b40h8F1W3hkx6iuHnE5F5BLfu0GJo/yGQ0yDDuzTFCgVo
A1QpVhfG8NQV0CyLoSOjD1WAEa/JUjW16N/bVP991v7FXcN6XjMD//VtcyoKiA5p/+tt88cP/XHf
BP7fcFXz3ETAufpv1/nDH/dNaP2NPj2i/ACz7XrbcEv9475hNIEYDhU9pl7ehMND7Jf7Brk+JOlw
VepxT/0n9w0Dkj8/orDkCvrEPJrIrOY+/Cmd+uXGSb2UvDWrl+cJ0XQa6YZWO5mm3qVpfSp+mu7O
dgXHPDV5i5ZEQVmNN2jm3Wmb9MzRjp1VxswM68I7L4vvxLtirBdCSUxzegA5VDoHK2NtPuQEOb21
ZEi4mE5tmGszvn4O5KKnXNAlDoACaLCIhtJcnCiGUUcED32YdUC5nBgjKyeqsjrcLQVDeKx42SRp
T9XxGVVCM4JiMZACZbP/NcAZsFUQOHbQDLhBOGorchghMrtbWD2OuAmFkts+LL1bjXIsKsfhsS+E
sfd7y4a/W4x41SC/p09Nls0PkzTVlfip8rHMMLXtSIk35CYLVvRn5ZoJgJCseSzcZjysKKAdE+/5
mGgvPIumo6SXwWFKRccGUKc1fR6XJkUvcy6mxmu6nTju4Gf1xRuaZBGldlc8WWLCuyWdz8k4QzSr
Z2LtFtu+H0TWnUa2Knha4l56UDzcyiPIaE49rD9GcW/7BsEqlX4klQevQ1Gg6W4mX371YtEcHL+2
N1iL84tVljDrvKkFJIJsBftvmtz2Q+9ctVxn6WpYhhtT71pRQxlvuvJHNnohXUNn3vcuI9uk8/tH
4YVf3Tiut1ZsxWgvJRRwxiqRdJe30MG/2/llRTXuQqUjitmnk/KUdb39aE/hdLGhY9+nPcSJJgfH
LGz54dae3tKYvRQrNAyEagYOI0ZP7jXGw1hP5VPR5eWmypmpCDunfccVoejMHwBZq6sx5cOG3k//
kk9LHDm9mK4z+SnbZnIxA7q8U4MA3a05xsnzwqZcRgW47AEXQx3ya7OsQ1vXWBebJuCZqfS3gr+/
Hr+KByQulNjzFIePPniEh0CAhEOZlMVRkyzLldaPIrZ6RNhHVtNhMYbqEYivQBM+qBs6es5lRuHS
dDZtJ5b9bT3Zy/vYwTjaMUuXZyeT1rZxaJdHNrijbZvn6NizmDZtO1w8EprOpvRuR2phH1xPRV1Z
BxkttMk44i8AjtmzBrcTuJhoiIneRHD0asDNlv3yGKSzuY+BnI6rrbitPs16yO6l3d0ZqDMtJGXb
sHAecU8UuypovvaN7yOIrF9Jw+EZI/rPJfSLfU5xO2/KVODu1kCD129q/gZElGEnZgiehuabM4Tg
c+YwPjZ6NG41h4pdPDTJNjOddzbD/k405bQ3evBIRZ64lIq98+pwCN1MGaSSMkb9YtiC28o4+7F0
ozgV76Mft7vBL7sDgidxyvozids3qgQvgxcY+g3U3Lin1vRC+KYILcopo8LWTbrPdTYB9cn6R7pg
xUMTuMlpJOUl4tFsn8jrmB7KqVgOlcoFXfuG2jufqNe78UwOjj6BjotxkdP6fUC59Api1DgaBAFf
NSU9rT1C8BxtPlUZUpxw21qdyO5BrNvlja5pAXTBF47xBEx5S/ic2XDVHFHlHAfS+H62g/SO4JkP
whKdE+yfFjKL9eE1IwdzCUPmc9/xkdfzzRZcubgkRVXuGYmxpM2kAB/pFFhSZXE/s+1GcloPBDVz
r41fzZ+XIUwj9Is4F9Ds36TzNH8O54meQ5ma7VPbTU+VSR8KN3l5V5fSYTAcFkNzn7ixdbKB1vW0
oRy/iQqXfk6/ZPUJfF5cM+VQxZbOVvioMv9HU5t6k4jJ2msZFEPkBjQlMZ4r/ILwPCHjOynnIWyt
gwu9H0SdAbFRLvtAKADnskX4gu9IF9PwKonctpzjjLpnhR/KgWeL0X7NjYwQTelkA7ZTqYV3l3fw
/CNMrcExH4JsuZmcznuYeGA/2V3MLZJrlt6pU6P7qScS7iyXksYTg3r3i2L1pxuLpq7cWEbsO7Q/
G/+xLQzo5bFldudamAGdWYBsKsRTw/lOnWAnJneyGIonUufhdnUQGQ5Mfli4IXap9yZwenqnTnm0
4J98BMiRyXQIOqAFyawcYiI7ZkW+0/hetOghPo1NwP1hjyNow2kxHhq29h/g8MCLIjHQtwpzyD0y
MWAUjLynjtZUBQM6c5GGR860DG8g8NqPtjPTd57JCRK9crjt7aW8iwmS+mFOJB9SQsc2wqB8fDPo
SV1LE3u/hVWoLG3vm0umKjM3RLwDDL6x2CWhk55ckEIlu+0GV5uYt4iJKZTDmKvI6EYGr8M4uzeF
1xffjMzM4nM5CEpDYgf1Q9w63ivPkXAHdjfZD/MsYKr6fhNvrBwh5Kmjj/Q1T9PQYTNK4tcwr8b7
Ca8Xq3KWxn2aeX0TCbvs3rM5zq92gVySVawcfyPCcjmFoBG/OcjFUGNVTwXTKyLaETiccot5BdNu
blb4oe3d0oIK2NDqC0D39mlc7mbC5m9RBOp3kOz6OyD59jNGBTw9RgbJ2EjCJIymdjYocbPxvnLZ
byK774yvjjn3d7SNcUfbRgDFz5+b7ugbpI6FyYSakGCs4dRYKLC3WZq11PgI9t5asLlOhPVKPcLP
gFNnTHZ79VRTnLjn0uwwCBO18OygA+Gdhzvb78z3OFSxs6tSopG21mgwwiuc9BG0Isphe/bx+w8V
ONDAyQ5szxkGdgqNjZ0L/2bWqj1bjGXAVznmdh6hGBT0ghi9NvgOSWvdtSZwNi+DJeBKevCR1TcP
1tCrbY8g56YwsFJFflyr7eRnzQlBCM3ysqi697zLVnNAMqCzIOK+/gSro6l2yglnWPGULN89DlC3
samxKArvi5PI8MWXVfkBobfewz0AdcYWHzPhG/PaQByasyOSaWGeUoLob8PF8T+PblccG9nMyUYk
LkiB2Z7tL77u5EXFlv0KARhAXlDakxO13UhHosb3nxDCBpKFaiw4Zngz4DHG7UiUhLQ+gPEJbF0u
UGQnVg9uqBjoZJMw34eFA+QuMTF+NtrsibaofOtb2IoWYHLpJcY5qLP4Uxqq6gXDBtneNsLHy9AP
82HMANhtl44BQenb+SlL8nuTBvCntvKvyTxua1mOG7i5tHkHSIyEijw4KgT36hP1kRAumm7dsBF3
XsHZMCB56oDMEyaA243Ol9CHshI5qOle0VjAnoa66zCMMmxr3lh9ah5gpCTXXollp1HtnQQguQN5
TWq7NHaxH0xzuLEMufOGrvwuM4EZkYhN/7uXIXRhqojMMafWfElcP/7ioYTbjzWMC2IRQjz6kNOG
WymmHGcKU80ojl2Y0GmXZA750072rTHDsaLpyz8aQxZsLba+rZGBvhXxVDyn4DwP5kqpAPU33HQN
NHYWuBdc8m61p5mcEUudkHBRGj0TqRaxZhpSTtOWyj+Rv2VhvokxncLUc8H9NY3wdm28LJfcsJqz
xuh0wycsSMVJ06/xkirSQZQ6llgT90loV6e2SOytyJe3BqX+sEGE0X0wwvPvIeYa3xkYdqf/9pb+
f3pLWM3WDKV/XSW/sizS36R9f/zQH1Wy767eNH6PwJsDiYoW8j+q5MD+G+UuTeeQPhGiv7Xx/EeV
bId/c1zXofGMxxx9FS2kX6pkfhsDRh/MhcBZ7v0nVbJv/Tn6nDfFy9uoiTx64tTKwW86rmD06rqe
E+sYEMBS6GisgxUYhGCimlvoMzAZq/jzXAVYOIYgkS8m592NY9r1BYHScLVrL0W/MDKC9amUdhz6
g3s5J8TDcI5/rqsZfR6dhVMbq2cwsBPPk6H9MO0m76A1coFfeAhVr0JhCW9I/0EXIEDNu3FVX2qZ
hDfOPLkffx/QTqJ3P6At8ZeE54SvyquN7/nkTy85+vHpe0gjzc/OKYfWq6z9XVcySU6m7AIdpwkO
wGyqZw0sGOBIYgzOdVDCWrFdtfFsOJhLkE9U4w6OcBL5bUfVUaats6UJMl0tEu7hSsrgc5EXgbj0
agy4LLUQR4u66yZrLIaquceNzrChRqavtbun6KDi7/MvTrlUl4SkHU6Qi7N1IQB96hAC7VwrdgDC
0DvgLKNfhWDGWtak9Z2cfkgPdVM293G4mORzx9I5mQRbvoPaTrdDP00v0uzZ7NKs4IGxjK3/2vTp
qDZQBpnwLXA7mgiKNSyAOExWOcTiKHEH5ZqJmEEb4BkGqPMxNA7+bK/QzbuTOAGmaMt6xse/XuXc
4lrIOrSew5/T9llo6zlJFUlDRePy65VdmGPU1cq69ijOoWJjEsJ6j9e43AXuyPA+wI+4kj9btCAa
lBHz1ELYm5//WlgZg/e48TovwjXB30Njzs8QHZr7N01FiqtA8E5HUJXx60o1W9XNHlBpBAkEscgE
OUcyueFrUOf0HX+qEa3BAA7QBSNSybBzrGdhuXyMcjWea78eVoVXaJ9sqdyPZoIPeWDW3zHom/rl
ElYzrw+Zs76IxGLunjkLH8hfL4poCWy8qHwp5NkIZt6Attop2flJxtUtx7hBr1AyvkzikQObS42V
Afj0CwfyJ+GXVzjwiGN6FZvJSTUjI1Xkm+obzEkDE+IqgnAIFMNqULfoKoosYy5fG9XIZNczmCXQ
CyITIYLbw78Hi1pn2YKj76bTE3+ytL59crwS9QGtHWr4XjXvXkJ4uGOg2SLHRpj3QTp6Nz9fkbiI
fNqPhmefSEVhbbbYpNNNhrjiVXc5+gfbcZnROlqMDII7y/kwQYYGG4eUlItnds17CwJoJExz6hCp
ZKCHkmwgzcFuZX1K7RSGTuwNtr1pxapcSmyaNod5TT+R9MjeHJXNxuvPd0my8ZAci5kQno1tubxZ
t/FYZbSrrWvYFZSV4LWoAXtPr/3lcmyXJ6VRRkB1W79SYa7XB9WN2V/VHNYXCGH1Ze5q/jskUweS
FwGgXmQgyz9wRGNBhDjFD74u2KH8rO0YwZvWvE8BP/9YFpcVmXnGuqYsBFfggo2gPNQD7Z6Lb5UT
vIImnzaTnyuNbFAsx37x9CNyvOl+RPvzbrPSbKgWgwUUjaMijGUHtaMKhk3duBzcXWG0Y9QLXPJD
WSX2Zu56/+qZfnzJwjl85cv0VoMa5ocMlDn2iK5v3pUz9MS/ZWJ6GlnFhwx62X5hVEfvMnEfhlT1
XzPOUngmeei8FmExPQUePXVfdCxs0emOD8MFuPFMx+DTlaQERkvtVoA/YUvTHwwJQiQVLhmXI0lj
/lGjj/1KqC9KHRzN6DCcWKPfEj0AuYRz0wkPHdd3nmT82tHhvfEIchp5wVLfaZzdOBmwLtMKsnUk
2hhKAwS05mQTAH7AnyflBpJB8lBZTfVIjxVHypgXgMogsYmXsF78PUqn+bsD5O0cdyo9ZmNgfUNA
uLwGyTD5e5Mt8KbtvPS73U4arKE7n5qS4f+codarU+MF9Uf3KoVDunObEz9RhEF6IMYFYvxkFDcW
AHX+bKr2ZlDOuyoxl+8rKYU7QBcQ2lxyRqKRbq9D9Hlsv8+0XC6E0PhEBQnfOg1Ll9+SGY/uRMMo
h+agUIyk8eIzTGmvncdJlRJEEv8cdGMRTXM7nytQ7ddCG48Ww9NpB3WGsJU8GHvrpoA32z4sji1P
oxke1OhN+wWK9rZv8+ZWD1XN3HGI76uxYzeZ/ahCHT48khb2yU40ukoV9guYiiG1b5q8MsVLDPD3
leyF7gnc/b10MTzNAmmShprxiDLNf6p8Gk7FMKngrqVzf0ypq3YmPvBPiJImMoSC5yUR3tuADupQ
T27dHciQAi/G91Y0x7FbY1xsfcSniI+yEfc9mXeRh83S3RWmJCSnXgp64xhGCfSC/j4JMgmKrLPw
FMEdiSRA5WZXEMcMniyW+jNhzyVxQA6tlT3QuqEkG7Ioho1h0Roa7bbeBJOpnmk5Be8p9S8239Q2
74bMGQCPGM1p9GxWtbazzxOP94suhuGqhPlZAyq/xbdGPoClpwaGWxWrG1RoIHacUDzNIZPnGUfj
Ayl56sdI6PLnOUzq9mNSQPYeUvw4yUV1C0VEkdMGbrtPgjL5QUorpvjI44ij4HQzKmxZlPGIczyC
TnrbuOs65e16YQPtnv3ye6H0dNMuKUWZO4sH8hzG9yD14m2C0uU+bEL3bho0sTGYt+igIXForj7j
sFszbkW1leh3H5ycODnfGQjTKAvUTo43nZu+rD6nA7xmt25e6FGa59zsXhWPRGKgWad9Zr5bIjll
OutvDKIrPmmd2JTH+dxtrLi3CD6Q8gLcL7mzaUfdDn53RHSjotwXNPBMdN1IYhvESVoywBiZAm2E
dGzEjY0gBg5UwNVzWCpmKm9KHdRHfKhvcYYeK0GnGZFL4WwqrXIMEUUBvm1kHYjG2cmJPmdih/Gy
TbAHRpXHI3wf4kaYIiEa+yGA2XYfhJ16qqnleNBXI7xmgio3+ULz1VfjLZlabtQMyYtntuC/OyPd
WvbUbADOuwCUyvIpzWoKvIzjx15UVorfrcgI0oEDjBbUc+mg9lLel1Nn73Nk/s9m142XubfNN6Pj
B0cvqW/ZgcZjOvUg7gkUe7AVFAHcD7gwlCAfEUAUrkK3LMbNXPV6N9RVStWHV+880O17wKkMri/G
U6qy4KbOk/nF7IsYd3lJs3CQnzJ0kqQDgosjTm9MXsYmbCO/nxRP3N4+e/Saj5OZYLwIZbD3Bo/v
QXWZJhmqNGExBf7gdXug2C53QkmCHrMCBjLpwNOxkDjQiPgqDo12gtcm5IOPzdQ9xVnt7zHvxNmO
x6E+BlmfbtsVKhPE8WoVtB5l7FV91GXS2S5IeC+1MzsEqcl5DWxz6r3Gfmpj4Q2nW7+ciMXx2W/A
HwzeDyZYepfmnrscJSpXaBh+eww79MTFerRqyr4D7UrTZXGskiZ6mXmwb1py3tHKbpAED7e6sehk
zoXaoGQct7nviwsgp/G69EFjv/B8y28VrHjgAIBGy/sMle6mz936cSBLzXsEbmcvG5eQ+WhUGceC
SjtfckuYyT6ESs4NZHIWzD0rv6Px+wSDb7qp8r7fzUNO+z/rg/ih5xhwK4qmYeed7eSTX45VvV1s
IP4YHd+T4f+xdybLbWNZtP2VF2+ODHQXzeBNSLAVJaqzJHuCkCwLfQ9cNF//FuSsColWSZE1rkFl
ZFbYBAECF+ees/faWnE9octFFxOE6yrpxoOgB3VR5WFF2A/7dHicggyBIm3PBg0OCHq54VITbXMb
9tm+QnVYOtPgoVYB8dMUzU+L1XIDW73ea1L4mzpw7ijUeiZ7yOrs2ryKkaqkCyGThBTCIQvSPdil
XltH5D2Oi94kJxGxRF7gfNet6bojCutpSLIUEy4AKeIO8wzWTj53igx/OiTk12U/Rzk0lwp2waMS
TnW0gn8uuienLW9LoloSOsVRh2dgQ6/DUFDTWZsqNOzrQkvv6dUM4VmeVrZ/MHL1EUl8eT6AFQKD
xL2Azzfy+Z1jyA9OEof29ezTVu+jjH+re6AjuX9ZYFKABkGokZIuAWrcT6FZLE2jdgL7MtDL6pK3
367NeIP22zc7+Q/UVCdyLTzBNtIPNu0O4fXs09mdv9VdJBRLvjXrUgV4VTYdUTwbzbSUyv3zA80f
9Mbp8/tAs/jcYRtM8/DkQHDhTKVKORD8BEw+pYMcvs0rajV+BgIpI/DLbBNmksnEgvv9nx7dUWfx
C5nRaN8g2Lw/zVIh6pPgk2Jbx6V+azFY8FDLj5QSYDYAp3BUq7WpB5U+o4L//ODabNZ7f+5IAJg3
uLo2e7pOz71HausXfl1swQHz6bhBOvPcTir9No8bdlCoCDh5aY7FGQgzyhW1zjv2AHlgp1sYJNrt
519oPtv338eADe5qhjbzhMzT7xO4fTfqAZsZu67NHeEp7oFkQf12Gu3m2WXG8Vu19R8ZCuLEJsWP
bxpYz7F52apJfTjr7N6IFJjn4ztUm2KbZ7VLUhL7tYa38WOi4PHz9KL7CVTDNC8C6XTGrq4tkh6W
Dd3PDOVdjLheYTVfWagP6uOrhDxTrImkVl1z72TYYtdMCu4kCLw+tTps72c1wFhHF8dspxvdUtAA
V0NSbyMsJ9+JHhOPhZB9ewNLTTTrCUYJw3YSzQzzx8QmMiGidmCXHhA6xgYvYAOKi0K7pU9cfu8Z
cD2zTuQvDmixGwOcEFOpquHPo9csv5M1MAwH+tkw7HhhquyqGVFdTUrTNWvikutm4wRFvR3nUIIj
HWLN2tShhmq+0Zzi+2sDJLMq7TcI5X8ioK9EQLBfuN/+c3tzzTw1en58pwH6/Xf+pQFS/+Ij2Jhg
Tjb/Fvr8rQFCHoQr1MIdTf+ZleWN4tZAO6dqbHZxyRsqIh2W3r81QNidhY6ol/khjlk0FuKfdDf/
WFktFHOGqSHDc0l2nHuvbx+uALX25JRFt9VJ+2yZyLs0ksjHpqfYoTlY2KLOD4kFo8JzQ4DNb67V
By+Qk0dbqKQCsKZzfaAN4uw+WdfJ0YMPOg3tpu90ubLHzFppkZ56ox1l2//iUK5D/xbMGZfu5FB0
maSmZaLdmFpN5LuuMWWFnLBCvFX9F2fFpXQNCx8uAQsn74tJGxICx8x2kw5DhMNtqrwaXAKxY3b3
xYuRJvfbxfj1AhqcE81kbgpgf+9/vkFC80wFF9CNfMb3bI8Ia7NeBml5Qe7HSxQ/yqwwpK7FHbH8
/JJyD35wcDjl813MWndyntAkCI4s25ZQEtNazJKsVU742+Hzo/x5jwiE6jqiN9NCSmefHKUJHKOR
ld9tate0au7NHGaUGCpbruK5gfHFSZ0oxLmiYgYF0ICGPKRS3by/ooL+nhFqbbcJRos9XFL/sg39
hTUXbGWanVnkwH3xhv/zMgqGFIgAkeMxz7BOdOJ+CHvcMYhxj1UhljkeGn4st1h9fhlPXtuv56Vj
IiUpB7UfgMD352V2PinhVNkbI5KAVhTlEGCvpY9LvoSaiS/O6aOr+PZoJz8aSkRy0kXabRzZa+j5
iBKTiMhLZgxkELjAupPk6fMTfKXQvClMXs8QJTCTJOSR3JAnS9kYMmDskehstNAyeTWa6V1A7vqO
MEtn2xVB4nXVtS1HZ1mlZvNstWg8wANuu6AuaAO5ctUNOkV1b5c/h4FSfWR+stD9tgKXR5SYHQaI
GKrpi4VJ++D3J3THJsIFwhUzmZM7zmkCSy9aHqOoJ6sKLilQEhJQhFwpCjmshEtUy9Ipes/g6q1g
35o/VDL4Lmma0uhA0QITNHCPmL+CL54F8eFXY32en3DB/06+WuymWHNF2jIMCAl+C4XH+JjUXMdq
V00VNN9oT5LvjNoRPVA65fshj+sDHleZoMBiDy5Jg03MBrkCAWXgfUrf83MHXr0ejGdBp9cX7LOU
3QTE3qtk23qkXJXY7Gr3rsNtSTPG8Zcuxs1ljWdgzfQESRNbGxoFw75NABjTZe2WCFNRbqTiLDST
b13vwIs3RwPtwJSsawPgb6+0x4Kp+raKbORiJjEBg5/6Bzbkc7eikhtIxsqSBtNLMhrXLRFYSDiC
ZNtaYXvkk/P153frnw+IwywRpJwwiaFi//3+cSTmVHSin3/0JgQhi0QAT8dOi4bbbvLLFY087R8/
khwRKx+1srDn9eb9Ed16kGT+Ju2m9v2dRrBTqgU/3dw81AbGZCx3D5+f4Z/rtjObiWzE/2yd2MG8
P14ToA7gt2k38UiGtS7NfhcUzEodvR69zw/1523qCDAnugqkAFbfPJB+V8QgXYp7KCAb15HiDMGY
tiv6zv7iAn54FPY7lCmGYXAN3x8lw2KQMU3hdWfVak1jyFW2aMicy89P5nTDxzrG2Tia5lAt4s86
3e8kmIw1q3SbzTBohYfnPF5b9CqgJNPSNv2GMafBjQ/0EoCAc4+Hc1OY4By/+BonU+/Xr0EJA0FY
w8WkvWrH32y7qqowp0jaDP6G1F71GOjXdGvatdm3CIANczJ3Wk4/u1aLX2nR29dJG/cbWNryPJsm
Y49b3//iF9A//E5M4tGJsgMVpxVHYCoKGY9GsyE9Md+ptVi5aodjNm+rC78pmTfZbNFSbMTLlOC7
YzdH0VkRyX2uQ/PJztNfqTbIi8QZvGnqf3SwEZZV1JY3Y95BOm0jmKRB2O/zMb1Q1Par4uLjE2AM
ykSKueArh/ftneprtZuNTs9FRaSEiBogam8G30JWMTrkduzRVVZRFFktb6w622NKf3Qi+7apLXfX
lWg5EXHRnlYL94qhT3HrmNOvCSHA3mCEvMbrOxKiFCu8K9p0jam//OKVoJ1YBn7fFm/O4OQp6Ftm
I0ExNpuR8eDen9x834ohhxqueu1MrjM6LG5xrO6MglifpiRw9vM70/jwLiCKYvZP0BQ5fdydkbUE
2kgzB7KjOu4Y4j1RVl3aZoP+1VWfi1QO97auhT/h3rSdDJZxoSMCmMXMMmjWOt0Ej54SvDD8/jT0
9a5chhxwMwjkmmYcaL/GXNNYKu0b1F0rocbQLhT3Ht1DvaW5qB4UoaXbqSgeyZG6sUYOFJjIG0qg
FuKLa/5n6UaAL75IOjnEO7Bber/wCAiZZEazIFRxep/jjUO+7CkTifFE8xhf1IkfLNsWNTA7T9Pm
g2cLzNs7tEkTi3AWDelvkL+4QIN4axPxhN7U/eJI8ye9r9c4LVwsuksXCYHfSY1IuG5Hzq3gTqqD
W4Lqg3t0DrO9aWQ3IcaETq1qgXT0LTDCn99CH7x9mdzq0LpQ0s5BeO9Psg2iSvdjtdkg5PwOsWhW
oF6rpv+S2u0TW17rixfUa+35x7kKDG+azobbOl3TCQ1vhijilmUbntNXpu4ZYfqOOR14Q06/cOrf
FlGKrWYsKW5M2JmygV+nUq18fuof3kx0bXmzGDaggZPXMvMuKeioNRvGTa2nzmpkaJakFERFsBRh
/PL54T54aeI0xjI40yPndvH7K225cRIg/uZHHmsSvEqMIlPnhF/sET+8vhqdDO4kLi+KrfeHiRst
KDSoVxv2yPXSkQMx4jkoYct3lF3fMDQOIEN4CsPRVe+DOKYbkMJnUc6myfpqjfxzU+5Y9Gp1NuXw
5cTp89qPnZjCJuHLSGKSYDRhja+n81Eiag0yTVnOk8dNaLf6okhQtH9+xbWPnmCqIS42dTvIvJPl
ooVZrDNMqJndm+FTadeKWDBwb49NpAkIR1ZhWWjx+YCFwhSXgtqqUuHhdMSAlFV2mCx7ZezPZWig
d9bbttOWIhDN8+ff84OvSQKdBY6c0cFMyH3/k4UKphTsS9XGGvwaPDsoCbOp3NVsMvviknxwKGAM
JqwyrKaY504e9wiqMeNnu9q0k5+9mIioryZmxUi+LfW/OC1qUOYh1txS+2NVK4nAa7ECVBuhR/UV
TndrXYyzXKVu6SL+u9H4QfPsg0WMI9EWoURk+HK6b0T2G8RFx5EY6AeeD3/7Jgug3/J2A3k1ZCYC
4nD8Yvn48FKyvzaJhNJMvL3vf7UgUHNc2wLoKxyyZSYGEjviTPdqFQvA5+fnvhKGT1ZNKg0VQSLW
XuOVVfD2XeQkZtEhXuMWMWsEetY4tuiYwfJPHswXQlWsuiHTg5o8XVaG7JU1O8duWE0Ac7KrzBE8
XDTgJ3dHCEZ6p5cSD1eNFKLzAHMgysQuHD4W0L7OEwNaCFGKKSKdhmE3WmROCWCsVQCLcqVgStjD
2xvPhBK6mwhUy7SCDBcik0xC7dbqdFR2qYnTbB0jfbJWhluG+oML0SBDdk2zJFiU7GDCsyGsDX8O
/a7Db01aaOMuzemubWAPZeZKUUttn03QNjaAWmVzITICzM7Nthv9KxT2ab7mvxUM91DWEyImTSwU
Xg74Jjh3bDwLXieMIl53okpvyIix/H2dK8VWm4eFizGodYarYXSXNcwrwISAj9uB4A8IiOwKlGJj
gqhnlZUguA6xZDtJeKmLOWfTNAj2PQAs40B+PDirMwaavkrfISsxTmXYCRYyQuD7aENNwZJM6NFy
cohIuyEdBq8M4Jl4vEQQJG/yyAR8PyqVa1+rkKKDVTfKoNtRxA7ryhnciEC9AIMoruwJqHoDhH5W
KBSr1J/bf6qiM2yvGuF8I8J7DtfJsDY2ZohAgsgbQRpgd0Wfd91JUd77pZ4+YO5Rr9vcAi6XxcNW
Qfa0Mir32KXjOq+a9UC45bVv00Q1QwhQIJ02upn0XuIm2Tro5N6QY7/Uy+YxTixzgVnV97qYGT5E
p2fTUPqVhGzDd6jtjdX06gonDYB0d0JI1RNeA982OGvMcniyW1AsZjcSpWjLx6myxFZiAFrIAb0b
aQGQTleWYlWXws3qlabm0SWaoWnZqZF25mRpeA6XLd2wW4gW+FruBjxNG6FoiCUYBIJR8nc+dHns
dElHUdHYy5S3hNc09nRFkviuak1wDhOJ7dGUHBO6SwOT7z15ULo3qUm1GlpcbXHog922k+ysN0Iv
4pe99B3zGlbSsNJ6J1wTKzgtR6XtPF9HwjJRul77QVr+IBVSPeShDQS4rSwciW39YilVvlRaqIoO
DeuNXRRiV6dgZVAVDTtDjfRdM9rE9Qxyr4MXxQmhrRMxPmRQmR7yyN/awryJuvEBMla+6lWXRl3n
P2QkftQ8gZmzk52dI9SsIH8J5Ra3P95g3yDrKSgcoj+xT6SY8xdm7GKKYt9wHdWKvKyC2rluuoH3
otEc2hGGcDoA8xqV/FcDJn7rGIjpMJECvssc+WI2bQehrgeq7CUyaqcRcGGFPZetua7WILcK/CK3
SeGgF9a5ee4zXTUGz67YR/AyZZGIg67/XnLtL6qeuwybEwmtibZTu2AEg9YWa0ubnDP+Bf0XDwSy
J12MzcEZ0TI030GYM2sGEO6DQ/cmSIvfFc1Yq3EAhE4BG1VubEUvfg72lJRbI0l1UORObcvFWGgI
DxWceTEKJQcNXjpKoexpzzJn9Isq2tY1V2rRJnnqTU4mb+GqD5fIfvRbP8uTaNfHVr0S4PYutF53
1sQ69/C3K5pxIVbeJ0v1qSfp75Yre1LTM+ID6p9t4wQWNsUADGgvUNsNQ2PdmDLxX1ya+92SKiBj
8z0HM0+jg2KbULaXukQcj8a40X7AP6s9tmji6BL49R0bMcxuQN6blorl1hnN+Lts+JxRSYGHtXq1
nwr209GQmzumys09XTjGIDFaj5lYyZ0QGm71EIJVRLJpJsSPKdUDvlJUk1AYUlSXbbLGMtvcA1TA
T2sXfe9Zvshar5saHg7s4gICFREOgYUsPabg2nUQxD2bFvKKXalbI4nCloUlBSDpokUoelf5/Uy+
ExFiVzeYwxsL1SSNAR2SsSvzMJ3vQaXfB24c3uD5xFlq1x3sRi6ncodXi1O0Z7DvWaBPfFUrkXdS
R/p2HhBScYyciqxWlbTggnjkA9FyfKpRRhtTjawb2eoQ86lEKjRRYXgEQ1X+oHWnr2iciWNQ86iu
8iKb1lNHWk5fDGa2sW3oM2laSnuJkF0ceYgqHip+XZrw1T6BnnG0yRZ+qmVQX5lTrd02Edf7NVdn
ghm2cUIuKobc8Uzh1rwqRV0+iXmHybx8wq6cVHFECquItmLI+FgFLq5Wm9X+Nalnkk2JW7OsH2TI
dZ0QQv0stADq/9SFXFZYX/4+oBux6dwW8UHfiKM5VaSIycINjgOkjpJ6N8vGZ9CBJuG+pY63AQlP
r/njQeO1XHq9GwdLhaRwnLB5GOesUJ1PUG3ByL7URnGMROF/K60wuLBEV/ywAkKl2w7S/UIHSaot
pEMRiSlTXwWtU2EaVpEmwmk8qzNOHm/J8A3HKOti4EdbnBn4E1UlOHYQ6PHsOoIKPMd0cjSNKt3V
yQz+a12aOB6ZiP4+zFr+AGG30NODPm29eCpxvk4857Sx8uZ+HGlaO7Zsnu3AJNYQ2ddOq9v5Lu/C
OWcJKeNNlIXyzixacD19wZdMhZpcO21dPhpxaN0o7gTeocz78DhaWY7KEHDKQzqHLjhW092p5ZBc
R/PPrde+cxCkEF9XpuRACfEjrm3PkEGlCI9mw1VzkGJfqoEyEl4Brl9BWApwr3aI8SDidVepIaHJ
Rs8nFlNyTck+fEMD0jxPPYaFPRKqJlwpWTi+2CVtvqXfhXiO6bc0RMvgE89BDRRgJs0Y+xjIZ8u/
NkO2XIgZm2rcZVJaSAg77qRJweTs0UDiTmPNCo+kGRbaMoPRcKkYMU1c9GD81mrjhHJnQfDPl27T
vhSOwp5Jqlm8rLK+elGKWLszA8hnsm+0X6Ssg73l0auuWC2ml0KPS2hJej4mBJKL7hfktQnfOri5
LZ4CLovFm7zZqH2Cse3VOjLpqXLttgg+ItuSv4bSqa5aP6fxX+nlRSvRxmNKqa601gmOvoUGn+wZ
ZEeNA9G0CWdym8PznStBe19FUa6SyOc0rPFFkoldAZzyhYraPmdP7K8JC6lZxFDH0TdtjY6BsOH8
QArYXvjZnNSXpnL7aomoeG0eDIw3uLjtILq0zKZcg3luvtWlBKZIyG0bFPxfTVmWni9L40m4gVib
Jf6KEgmShw8oXwqyjTYa12vBRNP0krbmOYQdi2Qqq4dLipB+kZuxf6engUnwXXED2OYcjz/h3aoa
sZepa6+HXHtR0f9Ru1Du46ysOWxiHdUe9GMING9DeALjdTVSzgdLKY/oVv0bQBeEUw0Rmtc2IlxR
yxk2VppQdyJq93Ic4V7wbJ6rQV8fkEjlBHzn44JSnxLQZfxHC/XRFVBFSQYYrpNCGs8yNfdVpGob
3k78w2iqVW5pJHK35tkwxOY99TaJHXAfntx+njMV7Tqks4yfq7CZloUUpBID+72DC+pazUMUiUO5
tYq08txewZAfkTjh9NMj/b/se5LZ04zS5SLpihmw0LPDWdrjaMIdSZJmlyiqgSVagdCemQRWdx2D
L60rPSrU/hL/j7ohQLG56SrFYqlzg+uu4SCd8O3LDhLigsb0LK32zUfoptYdfNt0G0X23QAqaUO7
FGMrSdB04qKxIHuiD88jh8YNKqmdb0zaU6j6/Rpvq7rBHDZ5TtQZXi95GJsybMlUoFUYjFBkKC7M
+9gUm1wMBfL0mAW4iNmdBlZFEEzqui8y6fT7oTQxsGTuhGohM2/LcIiXkDbMtWDtOsv8BkaFsO2r
UfIrCYnydm1TFy7qtgbzMgzlr4lREy5fsiguKvIub6KcOHHs1nnJslaO4cLM4mY5lOBCGCCQD9Lq
y862KOjNIH6MR0J1gj7ftiSxxgthKodijIerSdXv20jJ1jyKaxxhxMwzY6Mgs7uLzBRzOmpBmYGD
HIWtGi9Kp42uHYIpCAY3nLMGlNvSV8NVKNJkkYBbO2algM4Q9q7G0CKdduNYyHNLKLx2yM9JeOCs
fF9ix4O5a4TFAmDtDDHFeR4vUsJSZpVjL89dv40fMlyVG6HRgKe1hg2omkpaGl2kDJcuYIADnsCY
XZ0to2QBSiXZu32kXgvb3NexPWx9THDSaZJzIFTFWZODb27MImU4ioCdyO0WflU8QnSJtxpWuQeX
mSn7nMe6IIUyg/GyrEqS1UGnh85CIuN/gAdL0I9uPxFC8wvFYvWDijX9kTYQv+OmUb7ZKehkQ3bB
qrW77Gq0qFjSsdYYervttAxQr5WUQ8MWBK2M9opR9CbCXbWxt3aiodEDIFQclZ7ILzTFdnGkfUOI
Cel6uCi6NGURKrCx/ciyOL/SKye7siL6yAT6soDGYd8+k6ynPuUI4Z8rX50IElb4wAoVwF7UcXFD
trbTP9RUPPxuiErXOAzIaXq1f6UlrqWJGLPvvC3pnU2phpUPnT0BgyBKbqmP2ZkmcDT2QTI0z3iG
2mdUezQRSAPKXhJzlrY3xBv/UJtYe0peIZ7owofLBgTGDz2p2YSbfqSQAjP5qARFCaFGn6Rrr6ZE
ADuoiFMj7oUom7Ud4FNYm25PRwPWGLdHqHcUOEUO+Dq0OrT9mDH8H+RE8ndcLHy1R5RbIjwzV7mN
cmPEViAbviUwV+RSXo5Ky2YTM3DQGCJfcxZNomXfqOZSC5c94TcBOmOofrBhnaHYmT3tRy/E/69s
lHEuAVompAiAB8Ic41A1cw9PD0Uren1+JWXiVbcE8uH/kLUMQyhpETQaCMzZi951HLWrDOIceviQ
P35fTCGVoFvgJtai5dSoKNNsbRqKBfuJYoNQN1gaFQD5Jb0gLj2A8fxGoB8jQw27592sLAC4kScE
9pQaXaCjjglPW7diEpje2uJG9Cgq+AmZty57v+L8ElvQD6lLNYnPGlQMcpONCD/OXdnKF2nRG110
Opj9c0vRwttklPoGsW1+n2H/ukpsF+JEWTrqLYTXZtwOtOH9o9lx0ltdqnxHqnK+dZT7/HgwPXKF
+V8hQOmo0ZzAUzrh6NGX4SpKpeXPT7nePEfsXqIFX9Y9jI1sfkUQ19ON29W4Mjt35khg7tKHZary
/CwQDKvE4tL/2/dRo6gL7kMqOhGaZbxTrZomSs1sBe9YFYmaR91kw81LmPfXMutUnwxop0NWpU+E
cBxDaajEg1BCpnaOqSVFG/iN/CJ9VaWFumcmXW/BjhhXGZrVA1qm6G6awv5bDx/p9xjsfxrUrzSo
5JzQ+/13a9h7bB//z+/8+IvH7Nf/+7+IGd4LUH//hb8FqK761/xyRDj/m+n6LwCd9ReiDLq4OgoN
ZEfzZOZfADpjBtARITIjH+dhCtOUv8WnpvoXqkaXEDBgdrOW5B9Z63lyaRe/6fCys53lp5Y+54uh
cn0d9b4RGYxZ28rcjijyqmw4U+KG/ViiJ9eDIZLnLJfTrn9Fv/DmAAOTvBJhXtkw8YyJ8e1GuQSd
ATwGYoi8NI3Wv0smOiNn1cyZCdsoDnbFKwiG7GRDWbKCQqXRfJhUqBruRtH2V11dGlh14LCz24qd
9FnOfBtZdc5dOBQx3J1XAE7LbG/08pmLg0lzF86kHDkzc+JXfI71itLJZ6qOM/N1ckA7AW+ki9gd
JFVEZV7DCgLI08nSf2lnSk+gyPMk7eibwq+Kv2OarB5N4ibvh6Di+cNd9aIYBsgfSmx2p/VgX/LG
dTNvGI3mMiYY8nyya4SsGLip9zNFuSpyhDALW2bBhVR0tG+vuKEAkA8+7MIwD+TSJii24gmHKWSM
8HFizrtNLb9ZCemH3yHOB8OSrHBn08wDJgzAVnozarQMOtGBBkJIt436NNiwoDp7VPtyoxbg5Mm6
zqybDLN5tGG4gsluJFCMFxJvSba5Sa4FXm4W7vPIfq8EyFfb6hImTHdmYVNb6n5S7SH2xytmeeyL
Ac/xsqgG96ym1fYKJSSEzS2dC3YZtIfZXHXX0s6qbUCa2JaSuHkKFVC6SzcihmxpMta7qdK+3dPz
AkHEa+2qcNO0XSjY7o+a7dsq75EpPgK2LXiP41N7SDuVgqczWwduX0HoRziNw/yKst095F6/pTzt
41XKonfMw5mpMkSwfgyrrDCAD9RrhE62+zbOjHBhhUNwiQvohbbT2G3VdqoiT0Ho+UL9AoyAli4s
icic2p95bVjKlmTF9M7vhngnyR1cTe4Yz30hSz6WmutcWn0NVQaQzRpzVk3shlEZa61wYRYOqBiO
E/Ex8V2lJv4g8Qs4UQFRfIItt7E1GV33o41XT3dHLX3m19V7E+QxGffJgvi8UGkOBE2ORXSB6Dzz
L4Kmcj38/TpcCuyWveix4CEW/RY4HIMYFI9Z/Q0BVgDhc7zoRAdoMt/6+FzXsIczYI2xtZQYf/dj
S4eNOiPj8WYOS+QtdXrS82JmMwzMtSCSpMzQ/Gn+Og6TcYE7kfBSQkYXNW5LL020M711tXMaMugi
C5NBvbvFAisOU2n6pMfVQMHUfNzCM+S6d+wHMrr4o+/lTs0daOaVeqGAUbTogWM3hw/mrqN4avd6
VmerCGokHT+3P3TsJ72+ygg6FV3XLuiGVWdWU3V7Pe6y61HLzXwRFZbYWHHeXituczWFPJhJEb9M
jvGN5GgQEU7y7NSF6bFtQ6DBu/pW6fQUE/NgL5sc9kU0CO2GPTarlpPB8XPBZaF0gFLnEw61wLHm
0FygRy+75NIw8zvXrNNlQHcEY76xjdvg2rLycJWRI7gE5wzNKFKlWAxNSjTnZGXLIbHmq130t6jl
Qk8Fx7ezkXMhHrXkhlgC/dqiWeKxPCUrinaxo7ue0dRzxbAIgGqcCzdRMb3Ew2HMoDkaqWli4APt
jCAaazYdxL3dtfatbYvurOytdGCRwg/DtpW1YwHEW/mpUqoxj0iC6ajS8oMaF8SXk2RtTILS2RaT
aW47xY0Pvaa4wypogmHt6xNqzlzNlvTymJZHSXWRzUwKm6Ay6EH6IxrAcdEFkVwTkTEtCBluicWR
KunVXJQr6uFk5U8QEZdWkHK1dSPmQXUU1/0ZMdmasdcSPF00MJ0iRSc/RAD4jjgW+2epEr9KGsu0
yVpdXakOqY54cbt13TjZQ8Ug8DLEYkUEIj//Q+yItS465UIkQ37U8JFDSgvUW5SX6Uszmu13WwvM
G7sa8quqYqY0apW6TkvQSnJqnR08xGYGNijIixxUvUsjjLqbyDSKvRM2xqNBUsLWMKr+AAIuP3e0
stkOdMGOTSMY7rRVx1PVjzeBllkObHEtom9EWo3q+vLQiNTfqiGBMBKTmFcgKFn7aXDUXLZzEUmd
5JJ3trNIpGODpzOCWTCmw/Rvw2mvpiU7H/yiF3gx/G9hDt6O2BTR/Bgjnc3kpMjooMuk2Ta6XzUL
DA9PGUaE5WSU060hDXbifmzjUk0jICN21XyrCPk+TDCdDjC3JIMHS42536rwWliddgNuXCfxIS69
kQwgJHtjG96XVdlcGpM1XIZN4QcLFqZqyxt9eAzZpt8aoUlce2dpw6rvDbIydBMQCXclW7n2qu3G
JqatbWht+6BW1gxXHa1eS9QHYtnSfFswVIjuUU/48NDbwup4EyWqEx+nIpTsNI0uW3WaVXmjIQci
EtRhenaADKz8ZMzJXo1YgkOMNYBd6h7zMc7eTa9mt/1AIiqdW0aaQeTv+ClTjx1CemWUI47v3N53
gVJ6FYX4/+rj31XuV/WxiyD3s/r4UHTEVT/m74vk33/rXy4t5y+qMtwRlLyvZS2imX8Vyibsc2Ii
BdYCtHdUef8ulA3jLwRsuoozlDIaIRtl+t+Fss4HAiIHy4/UWsUuqP0Tl9Zs93pbJ2uahlBttmnZ
cNZtqqr3sgvkBn1XRFq9E7nPYJXALe1aDavpnByacl1UsYMnprTVp0ax/VubBvFuzHJ/r9QRY9Ca
oGA7JT0aGH++SZDaLHX0T9nCcRLl1sFR7tk0KaNVobbuUgvj4ajlRK3HcxQ5zYX0ztRZZss50jkI
M59XsRkOXq7b0qsrXupaoNb9ps2UaVtUlIEd+YZfRLHPwpI3OwWuANou3M1cBq4pIq/3VyCmYATM
UJa7odaGS+pVF4cOyel6287nxfd+c4t8oK45Ebq8Ho/MNsNEyYOI/VQHqSuUqUGSlLteqTELBOnT
/AaGV8I1+PxIJzqe+UiIxShDUcgxcPvDLsYSNjX0mdjqVI2nA51euKNQNg5xuzdST83NSNjY9ecH
/eD0ZqrabDrBg4eU9uRyItfps7xJd50VjslCoUG4aNiiCbpJAvXGPz8arDbUaBouLqxc748WuE4f
5VnMvEjtRXKe18wZB4utC/IL9/bzY50qlOfrCS6Og9gGTif2ve8PNiRBGmaJGu2qcEgp90L6x15V
ZYXn1BpbkTEcjl3daYeeTOstQHHmmVFjfSVf+vMKz6w4hFkkgPLPU3lrqjX2SGMk3lUdTUFvaMYG
LYLv37oWxNwvLvCf95BQNQ0f2WwdMM1TVWeNOt9oayuGQTpNV4VTw9dQeIIhaSYhcYsRpZudu0Qw
f36xPzpJ29IYFFuWS6bMybqUBDFdQYvGUt5XEhc6vyboqZ7xTtTF/+xYJgZDKntXU1lUsdOe6t3M
SOk1GbrRLtKqwKuIhkoWpVrjIxp749vn53Wy3r4eS2g6lxJ5oolI7/09FGetpdQK99A0wofwCt/O
9mlkSM37/Dgn/Y/fxzGsWQj5ervq74/TWSnK/mKIiNnGw+INPZHBC3PMqcSkIW7CKMI1N9CrBFxW
l7G/UoFl/A5T+o8G+5N7Z/4O7B9Z6IgbQDZ6eu/IUUuiSrR8ByTHXqmRfbYIJsKefOL19sTW0gO2
jPGL9fz1Er5Z0OfD6ixB2OIdg3foqWRXBhbMat+OdiFc7vs6trI9nc/xoozzcFMDx8MXrxQDVONx
IObUBzsgd72VD8+0V6r6Z0knZJ/4ub8NVCXb/3/2zms5ciPbol8EBTyQr4XyxaK3/YIgqSa8z4T7
+rvAkSbU7InW1TzPi2yTVYUCMvOcs/faIYRf7AipdvPrb+g/vU+HMOVFhIgfGx/Bj19R5ljhMHua
tteR275Nk7LboAfcwleUu4O7Bx5c0+xINQ8SfzWAHerJVYQSgs1KZZV9AjgbHsbEty6F5nbe1u3j
KoUPK7x+9+v3+vNdu4AqLB3HDicS9+tbZbQHdDAfkgPgAGbRGS3ZLCi7Tm5+/Tpfnnq+Ov8TSYFt
jYyMnzwCiYaeJtS6hMZkNd+IZOmzlxCWTnlnO3e/fq2vy/nniwFEw5TrOGRl+F+u/+R3TmePKcs5
xKJ15If9mgKFqQKPCvUipM16HKaTAeTsRYMRtxsrXN5/9yY+VdM/3q64vgj/Q6XKF41r/cfbIG9r
zeTJQIimhnY6eLnJYirFaNUHfAzzjWa5+psTM8JG5//Zy4/RlSSoPEmIKHTn1KHLPgqlpmvKNFOt
umZRDTS5hEVuZsV8zuOOBiTOhNs5t8KPflT5oz/l85n+I7Ng0bTuUk1mtC1859S3OgsuFaB568DU
vAMCou+lQbJtDDJYrfU6gdjpDfPNRJKmWpE12YO/0OVrTpzc28yk5txp9TSvQLqFH0wfnfpYFg01
dUmHcj/DYe+2qYeIZAWWejkjVLDJV2Vj2q8xNPD3UhXWw0CDssFL+Tn9BeT+kffSJiGOeOB406EE
OUcWT7btsLQYbZ+8qZjFu8L++BFV8NZh63FsxPWs+1EwJCJSW2IO7N1g6xyGSo9Bmu8pc1Omjffi
N1DJAOek3G88/RHKrUrw8nXdaje+ScQmUg7lvcx26KzHTERnb/nZzql4G5NjQb9Oho7WU5Jr96Ky
pjP7TP7YNNNw9Xl5Q3eQG7OM9ZsaPGN2xGKVx4fQiFzraCLJOmeQm9WmmeMUhdvnaqWM6dTKmRXK
Z0z6rawy7shKH7FxEZw+71VSc+0mx086oLF6fE+Gs/2kyMHVAhM19fUC7l76DPyeIU6YLEnCErrG
S95aVI7lKmzbKdqJWeSIF/F136WRZT34YO1M5H5c2wJT7BsxgObWoO/0mjoN4EEeGgaXIRKIG4cE
XUrcDOWF3jfjVTLZfQwMzUi+5S6JuSNBpGRA6ADjrOU+LJZYFV/RhwI0ykR7PY8GBxhYU/O27HPu
JY9MznM0oJ0Bl5l000qSMHtTOJquBwtmfw3fizZJygcg6zEdZjjs3GAbSKz1a0zWLtW3z93rkG94
3YZ02fcqpmJwHSizLj1AvsfIns6RlqfHzM83YtaQHrf2eIWwr9mSOmCQsTJXGwIaHXR/VXsTyTg5
6H5bnlBJ2gFNYKSfZqefDaucj6rR3T0AjvA+kh66bZW9Nm6ZnSdeDcmU410Vs7fLEkbCZFGPANlS
68VHr7HCv0aDGwoeDRNrrWvjHJjUfIGBiG1LrCm0jLbMs4Craj6KpL9KAKgdU0Ns45gGLS326sgU
hEaYpmrGw4NYNQUfK88wqsRZBuwCiAOgSBvZl2O/IO60zsSlXbVQBpmrox3t0foEbDjwg5vkwQ1d
oI1dbZ5Ilwt0Jr1BLcthB7lDh+6GVyqedXctakTHiYhvu3h6AzT+Wiut26RageuIYLdlrmweNN1/
ZoKKALW3asCDo8+uBpfwW2HZxxk0BqDh5DJ2E3TQtnvf9+GpIhL2WdaAx2NG10dUiyzA9nJGKszp
0k0s6yznDuVSkndHrUcTicPmIvOayUfOXRDxIZgwNmbUfadXXe8noyIUgoEooKspstKjUdkVyAAt
8i6UA0Z4VeVw7VawLeYHB9zjdhzyUG1kb4oTXefmioOSTeyky3qReXqOVGmKHqC4DndThTORfI4l
nrnu5+mceaSJg3b3tjbo1t/TAg74mLvjIW4EhmvQC9aZkL1bYJbDrTdM08aaldos+w/91arusWnX
TQFRy5sDjyctP9gaaDCUvsRctBNnEayl7IWl2wUYbBKWIqiZgOfZEbxIePs6pfRR3H/rgmPeFiWB
vVPo3uqgrc3iqtPlo5cDDDEGYgntZibiJcoJellLF/D6Ioihs4sOalummXOt46zaup6KnmQaDSdL
jXgww+GYDkon2s8fxDcrHbtw5TBHxlLGOnkoRRsfaSuiCDJxyu/nvuDGTDk7UCLk2g2CDG9TTO0z
GFMH0Q7tf2WX/oe0R5rzLqTXe7NwvKdxmAXJvEj7oVUPTEkqxXmsHJt9Pc/iEkmtSyxPNwVWVdVo
vxtvTwUt9mI0mCPXhmq/16bvb+ohnY6NtODg2TrKlpZkGVsYF5hPSo4wpYdJLxc3ZA0i3Amt0KL4
B6tHmwK5qZZodB9kLo58qeJudBiwsQkz5im13n4fZ7278SSYy7Epu7VfNebad7kFaODXqwntwW7w
yMhx6extBtIaHrKpq64j2VmrIjTSQ5g25pkrmKwtcP5NHxq73nG4sUV5dmkfBGEhzOsI/9TeQeF9
IaKIUWI9O3eh0xhoeoZqlyM02eZz57+qJXqAhYY0926AuOdL4EKrLHT8XdyXZo7sxuhWUReC/ddH
61LpfnWlzyHHfmFV7qruEAptpgzeCq6bHvpxVnov6Glp4lRNdKI97FfrMLTzwwSQ7rukHL9gWKlu
kIOOPsRp0XfE68JfZPIyIMKteueSir3eITrzKACM6pgbk+TpkvV5SIuciaMjr3xA2nurQXgYJMLf
F+PcHga/BIdohCjVka+cU1X6Ozvqi7esbDx3kwFifLIZXG5dN80+hFMQHVZ7dXUgGoleUpq3jx4a
5IJfvWkbaB2BcJBFBl049696TTQ0i0CnHaJacZb1DV2ipCvRr6SzOiHfTeAGpxu+8WSTFeb7oIl6
nWCRZlgorA4+bTSdPaGqN88o++M8Yor2BXsg8L15h2Y2XKOUk9eG3ndvaZuxZjc5uwaLQJtBQsL6
0mTOg9RV6UEWRBhkr5C0jPFHjIswkEmXI2GxZUmZJLWPxo1LyH21eZkMjnogE6l/s9vEh3MoSNAo
S6GRfgFraYl4YNTsFahAinKvufZ0hGhOXlnh9k+TpI2vZ0XDpLDPMbM06DQSdKMBp6jocjInby3z
hq4GkGCmsfkIVNKW494uU/1sD0nOvGxgz6jMaSoCYK54/VicYgWfpxn3RrhMRNuiVmtpmxXL2TRH
d76VmlOAdYkBLzhIPTDoDnFf5oLVp5u1+wRX9VYgJNnUbAo7S6/lsZ4T9V5TG1FhxPm61AquQusn
30JzuZXpKOnn2KtN8uDNdty7uhU+To5pvWpmrX2YrhouQn+K7h1i3QOj4teO9igejDLpV6ZyWtC2
dsJxUhcB6coPHIxDvIGuzkSpuXWtxyha0kFmlldAHtxUxaPuwBjRfe3W68dshTBtJm7U39ozMsi2
ZKzAzK3A8gR81EO2jjYUC4RPjU23HzgSqtE33BIxRhXqZDLRZMVWGe0ZHZtb5Q7fQa2IHbW8HTSt
KbYZCoogK9yj2RVOYCR4jwpHbcnzxkhLROPaC7md9XQ0TpODrnI2GLbzi+NK+TtzajIQpFO+s2Uy
3jWuGQcIuKIzEM8PrUbg2cxFuXL73jwmNHbBrcTjMWmnfC902gPmuFB86lbtkFzqb5lk9kaNz67D
Qehoq8redEiecYlJRrtyTC8yY9xlbsRpngNXQFHtruUwXg04zklWGt290zZxoBe9T2lSr3NcumwQ
VXg9Gp2+knlab33ZfZetVm1qCOE7w00q/KLiWzshkWyn2j3Jmt7BHOkgc7sb9BaviWtvK6LdOaeI
y7LojoXWvAzFfKWy8MjU5aFuwzNLLg0jZkUnt50/0iZ6hChy66HjqjlNk8uWvwo9GcjloknpSfGG
nLcL5jZSa6EZzkOVJwS3VeYbIe0crLSIRT42D7nbyrUw9W2qakx33sDY0H0vegGNBORqtHI0KoJo
UOpptub3sU8OborfovHyZAgmMUVPet1FMwMePzvaKKCRNEwMgEFyG/Omb5LnEfTnXsn4wmkedL9X
942PgzXuEqgBUbz3cMwFwGXUs2bCrBmHXu57apgLBTh0347p8phP+tGxEu/ZRXO/S4oGTV0XD+0h
aVzao/BRKSc8EY+7ijnphuSSzGbi5s7g/R2t3cbFeOuYrvidwT3JRVoNGpbQb9H5+s7ssTucpF9g
oFs1cT9e52a7/D6zydJX9CW44Sa0/BLsoeSO9oasbld0Ne0Ujx3JkFuji1A1ZJyH9p6lPO1SMvVN
1h2KeCK+BE1TtxsoOTORBHhVwhc/wtbThS4PIK/KiMFB1dByFKGQWpt+RVkUcdurdcXyQp9pmWmg
vwhfVESBEGoNNUaF6DdN5hEpb08J3ITTmegJquTE0zZyalz9MtWcpN9IoKs3hfJYlgb42EFpLNUJ
EJ3+ezqbw1XqTgTFEFCwxTSSHWP8FC9RodHkjmzPuDU6RzKEbKlEornX36pqcJ2zjPul5BWymoIY
yP5TQ7bA2s/xCu9qw2oPnO351Zpbapu4okAH4xzNWyzO1FeDK7+5OX7YpF381XZcXzvY5DLEEQfC
u9JgZss/mFnHRtpZ4dGKHZoCHUW+rzx6BMuk5vP1+trWNlPltocQQPeOOgGdjWcXz59/RPiFeau7
lP0Vos6d58AKJqmnfu0KojeDsTXpEvgWaPmZY49GscmsZy7dO5FxMWE4OaCIZbP9bBTX+cgYZaz8
tQKotM5hmEKdSnC5aoK3WMRDdnRnWe7cwumeqkTyAdBXFivWkfmmo/FyjW3ReEY8yLdewtA+hMPY
HlqnROs/LpYiLdb3c6bm81jj4UXkz+dC5Bje1w5lX9PHdRU4U4pBW6up7ZXKcXxhEBsA4c50RWhe
shgoFMChTlZhZfcOAv0QRSj3vz5rF6KK6leafwlSyJSOok9IRYs5GGabkLRkSFbB0RvN1VYSDGdf
5BDWLx1jgBaUzkzIZofmVThnx8/7TkvKedvjduL4L/NHAhnmm1h2aBj6UVveX4yESyvprqEmsucb
KEdck1wxZTP4V76r8bLyei4bTcrANvBkAdAud9XSiutUOZ89EgKv0P/g2KqSeeva3AHSXtIZRL/8
wjx17yJTaJtP6GKdV/Tzvdpfj6WnPxc6P5KBMz14Ze8vaWdcLcMduWENy5vOPb9oM82tcNbNoOnP
MfkCKS6MDN9yx30faxyvDY8+KxFJFPwGSrGPGbf3qU+5m6yZX0qsZPVKK7EkRqk0+wdJvt+FMDAk
9bhxXsNYH0k5jHl0tJhH2LYUs8lBhsewNqrXjJTlg2hGDQZX13+mn+ShcUtxwCcsITkpRFVRxgk4
HMqdKBPzgrqlfZJiubyFnmdHSODzue8q8xZ7Nybr5YElTSH+vZiL+pVkNV56VF1/zDFtHiQtVwTE
vta9gtsmYYqOnGz4OYHP+sTi+6acrg9iI6H0kPU7hiuBUixE5da34VGXfDtShjzsI09gqCZBx6Ik
VaDt5Saq3Ols0QI/1+SXvLSDM5H9487GKY9M46q08Fg7+aLRlVQ+zrpkOdzBCKD5wVjUXzvLXTDU
tOacejHMg7HAWutLasJBKO4SvJJvS9I04hZfI7wxrnmmq9YJ1xXV6VZBsXsRNlcqIpTsfqYg+PDC
mg8s5HIPtjqgHc+pw2MSmUiHfWua95qHX8jzPco+3437775LnQxM3hifuyoZv0EDYwrVcSBvaaXW
EUwhzJUrkyS3C6Pry0vk8uo+Iavj97qHjJJUoziCDsmnVTSwM9nJ0Gwnx5uQJ6LkOvRon19S18Hq
1bVIrNYevLV+nddJNf2r/fw/IfDfCB1MJia/FDpcfy9LQAb965e8rT9+8M+8Lfs3+Ig+4CRC0/Hj
L9HTfxJp9d8wjDDO4xEELGv9Retgm7/xn1xGxaYF2pS7999aB6K4PGaPLrRTA4osguF/onVg5EQr
/a+tdoTH9hLZgmLHM5ah8ZdWe2F1POP6tHcQ709rQPGJsXbywbo0w5EMaGGmZEYUNG+K7SCxEtE9
a1mDltPFdm7aIUVYqmOjaDA2OeuYSZS26jKOi61gbCRDDr3udCpQoq4h/Y94ceioc3rXINinBvnK
s5vzLGgWFGmMzBOpV2Yc4pWF5z/vNMOsHttuao/sWPElE29942nz/BCamkX8EH6BTSv0OuV4UDR3
EY3Xcq83ArOLMeoe2xRKNY4EFeyIyrU4g+k1ZAUoORAF4nIPoTD5rhnQ+QYGK+eRn3l2JrpknHaF
fRGjUyZNz+t0GrEgeskccyJzU2mDcy38KD/1lkDVWsXyjFtR2xlhSnqUTlNgVcl+3PhDCPyeOKY+
cLgowYgMmMxcjnJ5QRgAXpGQblvu0GNuucyG5uGgUWasH0tikjYldsq9aTbRxhRceTuxjSOdoOJa
MgHZSncubvQ5r65T5bdXMcgAEyNlVh7h6dXEZtMKzobY26KSo6Bv/eJM5mKkbybPRWTWZjXFILHa
T4bnyQuqmGdkgPLO6Dq6Cz7CzXxtwh0jM0D5GUgIZT2OeQZyQ1n+Di8jIsqe5fFsVxlyPEvHG7Ls
Iw6msdsF5YHoDLfxEZu1/tFxhNvYhUG5eF2IvFx3AzAVO9KvbaWSKmDvsS4NwNuIouvoASvLeNV3
qRMgid5ouCcDp8i0lRfLYmeVY34UeRteCOaXN44u7XNmm0/JYLvrrNIzKkm1gCai8A48ULNxNafY
oxejiWEQypGl6W1Ik/qKJq23DscFlojHJUstf1PYwxDESqezM1fFckKown0qQoeitKCzMgzvCNq1
bWXb+GRjmRu33OTRisZKc+hmo0DALogl4hAPAs20127p3FTcbYHhiVOFaYSYWkANWtw9z0WCvQf4
+DbGO0CnwudddrETRAoWkKGM5Jj3sfZs4ww/EKXa3DokPJwnmnVHz19kwVo8bVDo9EEOHOXS6knS
Lrlth9XoTuYOKx4GoTJOljjohUrsKmfDOHO8nQaJ5TZK7CrauXZB3N6DH+Zjsu04ddA+d4zZdtU6
HeIo9m8HAlHgNtHl8tWdaWbOcOd0LqSvldOAY3nE9xqlG91JE2pK3buRPoyrp9GeGacrAk2sbSkq
NmwgMBOv3yeXwp/MJ2Et0ow8ZVIVtKEVtxvbqDTneSRTMj0MQOQIQ65mWlNYJWnt7tqKqJO7Pkns
4U5miaK7E0XonC8JROnTlwzr61yuUbCXgLxipzMDymQAFH1njqxsKomil4K84Dwg/nvpsmtVwe05
VBOa5mk2KNcpZ/j4PvrtaJ2nJR3TprBkFu0n6dsvHJMG+e5lgnjNF66RUD0BRbI6JrK0UPOWYSaJ
Cy7dkIxSvXK0chXrSob3ZaZcyvIGtDMaqhaaCZKn8X879f9Lkmhyp/1ypz6/dt3re6zol8jur/D4
P37yj63aFb+xU6OvoYJbNkTBVvjHVu19mnQsx0HyAzOYvfrfskS26kX8BE7ac/TPSM1/b9W28ZuJ
qQculW+5AqjnP/LvfNUBQCllIO5ZmAh5MUQSP27UwppcLas1IClJ/hFXERWjD/QTku3wD7U/yyuZ
OkEQALXQyllfXilHeW8zhuSVzHmgQKi/1ThxVkNIQvivR/3/6TPxGvTu4R8i/1n+/18cSZHUQpQ2
DKZAvSoqAf2q64t05Tbz4z9+oUX4YiMsdflYXyWdvZcbompnJmBd9pHl2Qeq7I+Uv/83L+OgvPP4
xn/6juAXIy50sJuH2sDRacFcLGLDIMMj/88vHfeqQDJF4h0A2y+iqagmk6KK+UQ9466LkdEkQyHT
v2jLv6MKLr/phxMiWkniAhh5EpDweeD84UvyeqbJUkDniQdaBOyst1M0Phra9Fj3FK+/voKLsuOn
FyNjFt0iJ2AOiz/eEXQYK57Nqt6LpqOk6op2n9KUWrF/vKJaoJFvoxA1plD+N9fTxt666AfR1325
6d22wjgSl/W+bpLqTqG0ZbShZY9ayj/9+jN+VQ7xfAFOR86Duw/UqPdFZDOrVE1JVdR7TTXtnoHg
tElNPbz79av8h2frh1dhyfrrs+XTOu81RRAefg+Hqnx87IuhPJZAd/6bS/eXz/Pl0g0oLsku45Xi
XOGoHdPXTyTQ/+Px+lTK/nh7CJ9FljvDE7ZpftV5YnZy/IIM2n3dmxVol15D7lFLvOKcYjYi5Nxm
iNbYNsJx9no7VlinLKLeG7s89o3DfGaAErHxx0gFeOuHdy9OMDqnoXVY9Ltb5WUfn7APSHj9uQau
tgwYSek0RdWsqpo/wqGq2OjZANPAtZy9NzaY61thPpFDVx2cMMVyXfSQgYvR2YdwoQAB0dwg1s5n
ZD66UYBDHQM201t/3TeRfZAyLjeQush3R51yJ7XUPhKXNrxDbRU7Q0Ip6F2DV0nt6sQUuafk8vy4
wk2U629pFgNm6Xg/cNrs14KqDViWRKhO3A2JYXO1lo7tYBCzwqWWQQQ8rhpLMl0J23rb6OG4If7K
p3NZawAB+HRzwcKFeoDgXlmaAQSGbBUTPM15ni0AnRC+brqIzO1ILjra4AN2aTuTo6szxfGXEFNf
oDPyct18imIo4WNkpN8iv8ofoWskO8LiSGp1C/Mp5LPXK28w6pe6sElNddEm5CtGWUIGlkVeLUdZ
m7Ojhi3rsRvQYtF2Km7oXMlvIZfmFKdNfeWq9EM3+E5V6ppPKOc/xm4I7yiQqsOwLI1xt2Sv5ibM
vTbXIRqQE5PH12nijrcpGqEDK7oMEFYluz6CvcAxAH4ANK+SNg8qwJWNweQyYqZLnxtWL3hi4xIx
BRdRwavnODf4PqGlkLDyLkLOoYdEyrpcsgwg9hNUHbrRYKiDoqmje382+UiRl2TfxEyPqmgg8ofw
YDHgQRoArDC3br5LSlOvz4bqa7F2IcQ9x2FNjLJp9ETeon0indfVIQdqdDWffK107scyw9/voYLh
MxIbKlk5mTA0e5s++mNFlXFvMYZOA6dFSxC0NulsAApjDPKfIIEWbylEMZOvQIYj8IERyR84oAjG
t5664rFrWh47my4wM1u2uHkS/k5adQ/Dhrzm+FFCyel3yi/TVzGY2pZ2FcwND5AU+hiG6B2J27dD
K/pniHbZzqkV6GxU/2ayTWvLmTdz6mfYbztGRSsGG8bbLOrud3Pm2bK1EGRBPjjdQ4+O/IWkV+fk
TeSCFWPFm22VRgihbicTBlGUEkbGN+HEUfatiUziEsKohHlHWcBo68ME4X0RGmjNeCPMXqJiglgL
hW4dF258GRGth6koF3Cv+YYUBCX+wtcb+y1NRjR5d2nfoiyJ6zH+XpKLuS8zl6GVGzMtsg31DJOg
31lFReNRkOizmZnhHwemrF2IJa7RpE5uFmSBNvouVeut4268Q6qzl1WPbm9KjkXpmhtFFPWJrdC7
iRUPJYSdcaMbeX/uZQv4JeM5t30JObb2sidsa/NJF+MW2cNiYhxrGRRDhvONPNpkZcmcm5pVEZNX
XmOvVqm4sjhUbhuNpz6DzrjukSOuLNiRm7lldWOi2e+MZd+tbT43SKlXMAf+lQ/44DUfO/8G7K5x
WUWDcZ/aoXUcFXdUxoL6TYmQgWwOpqgv+fhOh2tzqX3FlSzV8N5pLaOqqGPNie3MvzFcSGO2nr+i
+PDXbcv64cYa7NiEpquJLG9NuC1QTcdS/k1YZe2FMShWss+TFmP/BulHQcmKNjgoTAVBfOCl24r4
rmRpH5iGMbzHTonJNy9Xkeh07mDICm2SX1k1HMB4sABsdEV91TXLuboyCaUkBY6VvInh1RcGwQ0e
V4fwHzSXOOkwMrDqoiN8kZlvfNcHVqt+uUdgQhiXWQgfJ3XGaNtjKWGN4ySx0jTpXKZAnDqUFUFf
tWbgLGClRlZLM8WtHpKRKzR7YYmAwSOBR+uGQPENg6TRW0Kt2Q3u+zoKaTSXJRps0C6dYu3RIlaP
QfDQZz3ui15UamshmoKzRsFthaBYhKHkqdcQsmWVuvKzLt9TxpPGQZ76rhCRdoYddWWhvH/WQBpd
kZ8szzS0nhLdGp78bPLXPq7lHQgPZz+jRN6QHllc1VobXufZCwn1xTqx4o8qCqOASfsDz/Nj2+tM
9f2K+V1UIOXQrfrKnjpECxVKSxb3N9zCSPI8Nj1EpPZBS2JUooA+QKmy4uiFb9AZNxhaEWc91f9a
ZD9ZWTPfwZbaC/WEi9+XfbsMYIzB/yhMx253ZUyz0ojrAcmkACdEHCWLWUqR13CLpKJYrFTZ4qbQ
mefX3qKrbosWjWAz46esraRYWRHDK+aqOJVXdWE+dIVZHIfGQqvvSb0OKl81RyvvFJ3TYiJNK2zG
ynNP02AyjGPzyVvWv8IbYLiZA00HRmaxtrOTvoiPQEbwOzIgD3v/aPe0F1ZLOrlnBZzFiZZazaL1
PropBfrjE+D+vXbciB5F5B1G36sNhAWCRHOrcfAPdyPr+gS9HrGObKW8Ll0vIhTVVkIFUCHTjazj
lnarpYy+YO3pvgGvymTA2ONuSK0ReJPhwrbhcG1DiPSm/ljmabZmQvlm+wo1HeGk2kQmrw2Wd2ti
5V+zcPQ3jpNqi/JTQzhHvip7tTnBXlemtQJAhYE49+XebJTcjE34SvprtvEGM4OdzBi08hqmmUy8
LhV7tLEao1aHXWAqLUAgOF/yuEbvEX46tcqMDq6oxwA1zTXtgLVb92HzFKxvANVY9CNOJ1RL9L8G
W9CMrvnA+0wNsGz8yfk7A8DSn/+xVsFrSO2PRQbsOMCbLyfsbp4jss/1fM+0n/XGhBUlI8Uk2m85
J0iOlpeTRWgx8k/OFZloqxMPvHOSVgEvyxB/V6h99Zb4y/uhQ2B4dCgodr+08j0yzXkGeD9tYTwq
Hal0xpo6eLg1c3Ub0uHa/rrE+KkyBPStUxriZlkMG19tex2T4SIa6hydBYewMiSB+TOmsyzj6qTB
jjj8+vW+0tZtPqGhezgT8HpalvXVnlDS3Ecam+UsKAxbQVKyzicdEvp12havOFhI/Eb2fOU6/nD9
ue3gmSC0MTYhSscGKvCQBLfXaiaDaOzY13/9/j5zvX4oT3h/OJkwTIIgo5P0pXqtxwSZPXrTfVxA
BFJ9V3xUVsMzNcgBpNKiTR03oLN4kOLUkJf48ylmM95xbXDQZsbyylGmPPrwtNaTSeXZJcTgBjlt
7JNtJuKibMl8ytwOdDuaGEB/KnT2EVDZnTVSuG7IpA/vLFu3X0numfuV4C87XzO8mykktGoVTiPQ
4yRJv33uimWpCz8Y5oWF8Otr8ZOVZPmumFPhIHMXlsFPNkQ1kK2tdUuqU7rIf7pqhTIK34FlPxMM
pe01jo0rTAvm1mF6HkBFPf76LfxUZwsGZAT78EYwemLX+7EClljQ3Toxkr2g3t45WlSdEE//3TLw
U8eCV6FRYbqWZ4OG//qdq0T1xE9XyR78i7ViaoPBonbRT0LNxkefVYzlU4oH5tT9868/oPnT8E5w
RCEdyV/miEs24I+fEDOZ3bf5EO/tbojCfQ7y5UILQ5BeiqMxSi9nuhKaIx5xqTxmYoKuWTsDsp4e
3oOsGA0s6y1cqgYFmgVSteY4aZO+yvkbrFhVdqDbFsmSFnYUrp/v/n+T5b+bLC9LxF++6J8QU+eE
nU61yQ+t6n/90J8OevEbm46gaQoUyqTz86d93vnNW6zxDJv5j38SpvTfWIoMzIacheBfLy/+h3He
ckk+tU36vJD/SXn6Z8NkuuQ/7oi0pwn6ocnK084phe33x/uxBfLbqCaKj7Ojjw1ICnyHcNhANk+r
2rX7Fz0qPPAwZJ/j1Ckv50GwivuFbgSlUOnG8BL9LpXZzFjLHLMrHDEpLUetRFvitTtQ9daR6oHp
MU78Zu34I0taBbwSsXo2ePRmnPjU50N1oUcCgE1l5hecAbJrD1LKDvZzvAuBEe1smEASbZwWruH+
u7s5idtDBjvrrDq0yjNdXC2wFAkIq2LwzZM3VsM31KcTxhiPw60VK47NmonCsKzC26qxOXNgmR0P
CnloNhNUlOX+ec5Q0K/a0Zcb/gD0nt4dtyCD3KshHOHwG0T5wWUKK8LoOHTtQa5o70PVNsB4E0oz
BlDgDov2ezTC/gAhVBvXSVwrKm6rvbU7G/MBLgwWmCxFgIyw+DtjJz0giRlALwdYCo4pci9xPkWn
rp61d6bKPO0cps1LbW7Kw5Q0z70Ym9t0MN1dFvv9Q1xLeQdVHEp7rs3tmx3iQWm1LBOBcmxMCZwR
QSKX8OQp8w90Uzg4m0glDzEgGy8wTaN9bSYG3fA+hye0DyYXuczf0JzKvZgTuTXsJHmfdZVfJHp7
pc2Rc8xaSUp0OM+nOsx7ptJet/VGn8SJlqkhVeukyFKozCh7BqMKaoarpPhtyAi2ZmflJ2LDMYVU
hcsHHQX+eiNUF0biaHsQffGOk2d+X5V2/JTJZAldKWsLSMkI9r1wndRYa6Gj4xtC2NetEu69Q9Pa
6qzIFOiAzuvw5CejD7cxKoFVHoErB5qDpiufLVobCLmHjyQ1gd/Uo1VSSOTdvKvTuLxOXAaDdjN5
FyRf4pcAT0U5yyi+ps93gYjBmNA1DxCkoVN6hBJUdfRI2xDtslCR/daQF4CViZP/zstb/hSN//1c
44Fb956Nu88vjcu5cMRNFE6QIxF2AoJHfTX1ECGdS9Tk/XsJD/+gt6SmD6mmEdfTqWkHiWokkUe6
OA+FLB9ElYbPWoHq6Rg2ZpNuBGqB35sBlx9jzAECGDiZcNNPmfEiBdkQQVQ26sZQZYMqWTcDUQ/G
a4YeqacMk9NtN3hAkmwrG7Bp+KLaJ2DW/o+9M1luHEmz9auU9bqRBodjNLt9FwRHiaIkatYGppgw
D44ZePr7QZGZN4asis59LsqqyiIUJCHC4X7+c74D40yO5sK+4eFDT6p8lL0eXcKpNj90tqLCUph8
aX2nnrM9uDT3NaHT5iq1xkk/jF7q3TPgLYnBJA7kKxOoWbauwqbculGRv9En5z3UMYdKfajWdlVL
9DN7+mxV9cQsRoiy2ARuUDzTC9AIP6uT1uGXVdQvrUO0bDU5SXVwA8qacq3vckJilneErNauq7a+
FQ2iOiRH7mf0M8VpqzY3blbNHCdB8c89mKfRrOK1GXkdgk8Ltp0agAsc1A68Hnh3XAcz2ZVdx4pW
y8nxCVLoMKHN+GxwMt9RDpCOa81rA5OtXK2/GGmEymaymPaIgZPvFQuCEvUrO0ASUlRvBh1Uq1K2
Z+IAJhfWyZMn5B5QaUq0cmAxC7pDEI6F69NkUr32Doz3vQnBes+5F6OBpU8NLPFa+1haDmpVI5L+
ZlL4m5N05ghdaomHhoWPbqu5kXrlFD58Vlk0vExmIa5kQxh8w/7WxSNvTTUVorD1rqPJC9K1a1Q5
2uUQHCIkUoJ8eoVHB/Cgm3rDZb1wefIsVbgknAtzYfb0C73HWzg+2BOCQ7KwfSibUqCn8/uwsLpd
sxCA4ncYUPMOBtIWRpDXQgtSCzdofkcI9QKaULlwhfR3xFC20IbGRTnrLs2MOGJLlHCo4iey9wCK
JsfES/vsTqkNuyj6SjIiPgzWKBgDDfk/sa9FMgRb8pv12c4z/WwLJ7xhWRx3jpvOhz4cHi2zKM6K
48u5E01gQKiDuz3QrfAstdoleecUw0U0hemji7jHIjVwW7ls8ZdwWX7DCEJtm5CAQxun5snjaOuX
/WxsEotKqZXgaeeP+RSfOsPrtsp1VLKWtGWAPdTb585ONTzkWdSvmkyruNU9w1yJurGPSvD2qf42
MOcUASZ7wLh3plvbhwR60j17VletIpCEn+VMkyMabpdjD1blcdKn4OSVVXU38x0/hHzwj1WsUDam
2qKpFjDWGKj5lbzciEKjgNKEgpaXxJyM1Ui180a1BAjT1mI96mIxg5ebnQPZ2xJpMrlh41ljIzHk
dVASaGeRTYMzGdZDSV/AFQMciiyK2VzUnY6s2OzEu+V63tflYpFNZgoCTepuElVr12lKgnNjGIN1
S9tJ9AmYZbyPR42TYq1GzPY4haaLaXamW/i/w86bPO/Qi655rIMyv+mF1e+5n2hU5FxZE/hwvJxf
UdjDg5gmGhcx8SLGUWdxO0g9pxAmkZ7PiVwAnY71PZkmk6wFWe/Z8cZDw4MRHcUYToXnftSpKvko
GmmUK6ux1HPcZdGrjj3s0JRatSskHV2rGM49Pdh1xEOa2lzLl7rubOM+SW8Cjy1I5TjYVlphvxhl
7F4bU8GdFy2L5uBlBizIYUBCr2vDKO+KyXsGz0tJSh+5UYWIrOgW0wuX8AuTQO8l1oL0Dodio27s
uokbIrue0lazbZNyzROh9KNhtzHPMU8UOoFRQr+Vz4OfK18a83RXEy7HrONOWxmR8qw82/GjAveL
Tz7ydsa5l1y2pBJzUhta9Gyh78dvhs0t7k9GqlubeiBXYi/qnZrtKyFGKtZ3dEfHenfBV9YgRuD0
tBA0byqYX9j2jk9pqhUfk34k/ku/wj1wkupCqfheFc60yaXKDxDQKt/pkLigup/tbIb12X0x4+gt
ae0XgALdB1kS8FmB4sO3ZXUvdMsmewbS2Y2ip24wc+3IL8dYZBzUwbRVX+Rs9cWKwE2arhD/3HgV
dzE6C1HlW2kNKb00nRmRja/JJN67dldv8tnAx05qE6My57Bc+3q+/uf09KvTE0QIzjb/HtB7+ty/
fXr77uz09Ud+PzsJAWOMDAN9ccyR3105fxyfxHLA/uPUZHA0cqTjLBwsPEHiGwuuxR8B/UBtYwaN
WfVv+XrQIn44NfGgWF7GQNLywLT86HmICPv2RV0RyqVv+HEaTOswSaGxXs2Zvp4iprHrsSovsIMo
AeNV9Rt9DpvNYLvZrjMadbQCvTOerYiao5JdItupsZcmBVpqhDFVc/iXvdk/tynqdhuCoYDgC8Pa
613wgFWbtOuRSCVzu2ES50425UvRB/01qYZgZNdQMItLZ0rYKLOoh22cm+neqZPc7+qUyZ/Dg3tn
A2svVxU4s9SnJYYMBFLxeGNOmE230egO4d4zxdyBikgYWneElWlEStNPytEUOX6rp5GHmfl1EACs
WOHd5LPnVQ6egAFt6hzKqTZJt5CAqXYNSrvOo48I6AU5vomcqUUbScgMNFmTeBq1C5c3WF6aAeyN
FZi0XN4ablXeevTNnuck7a/h1VLX4lDyMkSUovlBU3KmG2pnv/hTlc+wfYa+C7ryhkc3tW+MoEeC
uiAkHtBJCKWDT8Zw0Kp9IKy42+WBEUpn51pFGm7hHeqzvh6TvC4gBRBfOUmHkKHwEV+0g9mIkrF0
FarI9hNMN0WRbmJyT9n41FSZ2cgzNkbSBnRG40e04oCUS6p60ws2wBZqj26HEEd25VbE7TvJ0ZUc
pAa67DoQk7btA1plB99qWkkVnuqYlx4bXQNFESqya+VeJ0kW4AqJsmCtzKZfvjg0tpPcteatNiaM
OznvDll/0bZdV+knMeVJK2smsw01VNgXBmNoxHMYRIYxv4xxRofdp3ZQbU4MLZ1pUrj9Ry4q2rid
frHgCXz5rBj/fsE7fHqLym/Xu99/4s/1TsBU5BsAnQ1usr2MKX6Xi1jWcChCDDZ/lIzQlxhrED+w
AQGZ4Mf/lIwwNaJ2eqhJ2CEZpujy7+QP4D3+sPgt/8IiEQPFYoLyk6SfikB1lhPYJ5j55M8DYkuX
PMsnmr1cCqEYYY1GnkrG95Ahs7s5riwyqYbzOaKP+c50UnZJopT3NmxSLDhafIlsxSYqM1yIKRCd
IeRyhvfKtSbnqT1TXRKy1w2HQT3ohWJvz3w0k/klqcpm1/do8yfHiDwGJypzt9QjFYc8mCinTDrG
htNC1s4zc02lvLWNYmGwO/e6WxL4iEUJG7pjJqvq2HRGu5vsXl0YXj184tTwauZQMEwGzy8IVM4O
ZlD1WsPO800rtylEat5knSAmUENHXSE57uhyBp+316vSZNrmaqci0YKROHW/jcBScdLCdhT2te+Q
1sv7LRSaBW4SD8k1UyfjqZ/Go9nJao2rufKbONLPE7X257ZTxbpv9afMir2HkZP19ViMclcZ3tM4
uvam1yc/kH1+ayYa3pGuNk51ntcHNOIAH0gcH/O+HA6WHcVXRO3fvBaGM9e62lg0bl0CdfZ2Wan1
H9gCB4cpsCQJOpF9XlauxeAhPiNSMoR1m7rce0b8uUPc2dCYMj5bwgXDE4KSXymWNiqhMvfVMDq4
vU4ScW3KpzzOn5TGSxeqons1GnpapTVrI7G2bMw0dnyrcohzOwNZUnIWPWkTGXv5nTOPlF3TEVMd
lm/kg+obe0vXDqYIDtE80oxOxXiPnJZ33zuk7DlP7HT6lSYqTJfkhp2K8GymIr2Zpma+DoYI+W42
1TGShoZupI8WryLLzWIy3JlgFyaCLjK+G+wmO1oUfR6jyZZXmC2TLZae4WaoVb2FGjZ+xGCOMUHo
svW7VKu+eOSIO+JfptjlTjIc65lGs9EqKE4MXIouR3sIP0VUW/mEAqx9JNoiXE1d5VyKyiNHHLeO
fhqKSV/ZtTdnhPINvfAVTPtV6FIzJkdIIhjBJoP2vFSBJAChsjbwa237yKBxD8YAmRko5pd9no8J
21+TgrAeMtjWG8ZjrHhTjrIrAp1T8xDWTgEJnEHSl7IDFuS6mbfH4WQfa0v7ZCMIr2QULRPkgC2/
rFEDVvQDoFpWsto6ie49xUhLq752kACp4cxdKmGy0NI/YH7LtkYs7I8p5wDoEjloGLuPbI6CVIfV
oh2evdKUYJYDhxZvN9hiygcMUKSwyspBQ+t1EXUuXDtFFcoDLdogJ843jgUQfVZwQmx7LNZgtGjG
5Gh4zpC4d242dI9WZJV0fRZ0+ybBEkDxwhgmjESoywkGc/rjI9kgn2nGybzGZ9JPYV7dT+Dg+4QD
cjBt4sGdH/pRjat+UMwh0c3JSYGtozguuIrcor6xUSuge9T3carZZ092+7qQ8zVkmYH5PApSx229
SjJjPKC2DPRX2aR+ckPbCCgmI+4Fd7rD0FFd5U0PMwb57jXWBZF3OyUDMtQDRPk4Cg7M+5y7EdCK
75WNL8dKv8oJeutFOdyGpqqPU1IlPounfmpQqfzSKiKwYbFkUYBSH8pBP8xKfCLNa58qEwkZO5px
yBvcCrFowKEXlUFSNwh3xByidRBX9xobRNpwDdnezV40fcZRzjlSc6b9lOTmrTMpztK1iPq1lBxO
EW3TncM2bx0HLOS6MbeXMcSqhyLTza2qitC33d6+0scCOZQc+cELo2EdUKf2Iks92k806PramHmb
2mwnbZ00lv3CQ3DeQ7zUPsPm0KhjiKQPm6n7kgRaeSLxXp4bZQt8Tqh+pdLfwjkPNxwICUGVPTPU
HscSqG0VvRhz2B7rPDs3ZdldRB4BM1nX1SUFa+3NXFjldhjd+UYXaPgN0we1TGnnjRna9Q7TNtl6
ifWzSV0UEScyP4dTARDHGT9y6iSrypoJGIXgll/blnaMNFOh+lrDE7p2/B5wPtvAhtYtlJoXwBHc
G9KuKGJ1Qb7G6XhFW4LGghVig7Bi85WENFVajopPIiiK3UwI6m3IQ3M9tsToOpZ0Y5iMvdXboPx1
dPC7OBYj5trZhW2YnWddHBg46cR78YdvUp3DO7liy1s7cX87VGn4pI0WLe9d3uB/K7BVsrkvVhoc
8kc9tBVILuVchIgQ0PnSwNuzblJf1urHxtHkeZ67G9yVyxCSFtOOC8a+tevukwmrDZPtFbdEvCsQ
IY72HEYHD+hIOuHeGYe6hLMjF7dREbrs1e1uG7pttmkQ/nzdDY5UDqW70m5QQHXU12Km8G7AaXrg
hoq2Xc7cPGyBpxpjRhWvG+TH0KpZvodgeItivdppvW5fzn3jfBROln2o8audrKa+bWRu3VG4/KBP
ZnNKvUAdh0E6h7rV5h14AXQvSi6wC0XdhWXnb8mctIeIJOBWpXG568Hs7DtwuPZq1MLmIjYQycw4
NM9NWJQ381Jv6vLk6ldJcivCynihinE4oqz24BJE0D+JONb22dxbx7yKkwsjtralTBRkdprqbPMR
2QuGDg3GG2LlATysPrsnsVjtutZV15XbCn9sKqpsVfDZhfwEyySKdm4DsGNAft03ZTYfI8ZWl5WV
hgyJGuqdGnwu1UyTnmlb8xeIXPdRjppjpIlzlwa8hVZgKOL9MSZK5BXjroJphHgNGuYbeWlShVqV
x4zGe1oEqTsIhPmQKQKLisbQjUm8awcvgcKIMQ1e624adwD86tdRK2wse523KXujPzhD0m0zu3kd
mJqtPD0X25C+htQM8w0NL29aZ03rmkDiynGT+cKjw8CBU3w5tpdOCVyIqvYc3ldWhrg5dRridCd7
WBgTd2yq0stCuTzqLUE7MTAgZOOybMXOc8LqlIXmNrdltXNHvb7CyUAZ+Ag9OkrMHJSiER4J+rPs
UGGBKSMh3tdT4nujrArqmQniY3Q7/GUJucbBHF4bwVpL76xV7YZBzNfV4CR+atUCFmJdbDGxjG+d
C9Nj1UBBZE1obGuVZqGCVTMpc22V8/ixwD7yahNKxzLevOWhF6x5I1/yLlfbhFh96U+FBvej0V1U
vVQDDFantg9wiaSNMNPiqhqN1JcYaxhQ5mBp6EFEO60N2svmgUcaaBcmXDoFjWlyzb4XdVrHtEvl
11YPKp6gQyAuZtYBn4dwtQYIoe8DqelfXMe1Vi0Z6lXX4nAu7ZaZ59K9xdaj3jRZemvhj8fkok/j
ZRBgyVSFkRyY3XavnF8XGhA4LqfoKkBdJHcu6qZrgKJrDayFrGMUwzD3WUV67W0FSA/4Ffotvjgq
BYYpTKhNbsXHsXIytG+ahHT43r6k92MbFDM18HfuGHRJQLUmZvqPgER7usYpCfHye2eEFmheAAuD
aNCODK/uh6nnqlEzB5UCaHjBTnmV1ODE6YTJhMPMEk/smrrm1EGzCdELMG3SKxJO4+eKGuBPA6Tl
FXsE65mfKV81Wom3k9FXh2AKxnolendc640b4xty1ZWq+NtlY5cvDFhWMp3qLa+oXaWep9ZdSLwz
hkJQrsJqLD7VgU5lSzy6B5uOSO5g5v8np7Pv5wh7vaot+5OZVYQZZlSLy8Dyho2Ft/Bc51iMgAHX
FxpSy60+RNGaZlYwA2U0dHszg4rIaoAtWJUGJBC2MJz68THRFbK368zc0BVlXOpFQ8+hXrMFoO2S
iRi8esuecrkiql1dQh4sH8a4N58aCu3GxdOUU60nNGOloE+gSQ/JGfet5cfwJei/Ca7DxOWy6kQV
7kY6Ndc9DprAb7tZvyIebPhJ2zTrWmbMxRoLvRXCRYUrmadwAjZEdVQg0ju7ajBPXYx5ktyHbta+
tGw9OTM1/WkqIHFRttJs3eViB3mUAGBpl1GukUcnXI0D0+Zi7Dc24sdhShp1FwS53q7JeifgpTzr
kDZ1cW5DZmOhEuoR0V48i8qlQb1kgps7+tE06PFjVK5re2lU1AMXJNVXXa9fMlmo7uhZbgoIclXh
XFEraN5ip31z5pr+ymoeSaNCcpl9d9B57Md4Dcmu0+53nWZT9pQQeX9wGUjtXMMTwEPhtew4CrUP
ad3RrqKRJq/o26RYL6wo0gqLbVIn3IRjXTD/sZnHMBShqbZVQHDXQWQNH2Z2fez4NYtxbTkiqjHX
itaFl8XnOvTYiWGLZQ4JtmnTYCnbGM7sHYaUaq5onpOjFQF1yslXnWie5ACLpLi2de1D5pbzQ4T1
zVrZ0KTpjplYNHQrnZ5SlgqwMf0AyjRx5mttYkSewZXbtUafnYtlnyTJQjCwoqKHiUR4ERhp7OPE
JfMSM1IukkBQ1Cow9nIZ2cgKqz5aks01Pb1L/+IcbvA9DQ5tkHGSq+eyHdz8WqRJI6lJB5h9pQRP
AUqsm8j1u8huyFMiicyftKnQhxvxPhwALsA/2GvTU1uM1Xg/4+bm+YqbG6vXTac30sGr3zmGU608
CUH4kktSu5S2vyt8sA0Wue+/c7NvIrPVxtMcjrtAc9R9luXj4zfyz81Xv+G/AP7elHHRNv/zX+IH
S5pOfwYCtYsvDHFFWD8Kyqi+A7EnMZxCrbGYJmPuEwZNZWN+0Fx3HYSvRi53fWJcyNTaomturUhs
XCe4qrp500Ce46NCwYVjQ5bnP7+5H2JpX9+bbejCtB1iXD8mMXPRq0IPGIpVVX1yKvaKwR765t9/
ESosliYRKOI/KepW0o4cevuBTh3oSvzHhjtZOOX2/WX+mcH8QpI06HpAx/v3kuTp8/Cv/VteNVFc
f/5Wmvz9J3+XJp13ZxpdMESjv3GxOcZvFnHCBXeOjQwfKbbGP6Yy1m9omIJ0Fjbn34PYPMva6H/+
iyA2FBX++kIzsYDc/y1h8ifvKD46KcGhLFOepYDxeyebqdn0Aroo4mlhRb6cbSI2dviLG/WHe4Hs
Li/iMYVaAuf8F8a8byOaJH20yvNcuNWpAdfbaeZ15PSOX6XmryjyTKu+96rzUiaXBUkDrjp+9e9f
qiQWqGBZz3vIe+0qzhZQk8G5gKgtPi9OX/tc1NpunKE6QGcoN9/8+v9iSfrpcrqCyMUyCqc4gyWJ
3+i3n9TIYHEOtqH2STHcG7nzBKF7/Z9fYvknvvNeLy9hUXLn6fzevoJuvsmS17U2Uagq1N4Sw/1o
yUdYFqXf0QWz0mfFt/TPr/NffB7p/qBbE0IVGCddngSsMiwyP5j/yYWY9ohGtzcHqSghzgVhEI9u
hNSiGyHrzQfzPTRifg2Q0Fqec8D1CJbk7yETWrY4UBmh8LCCu+mhG9gTkAgC7eSP70GV5j20YihB
gCXHh1Pj5zgYSS4/GMmwC/um/VKYLna0utWNx4mTm69NXpfDtSjkKVKdt5ZRKtcdu+vHKQnqY2yH
Q7iShlNHaxMI871tZeFTTLkzrqxa3gZhaV1bbZGeER7YSJnsD7qwDU9dT6ltmHO0WPIuKwvz07bv
5vmQAtHsEq3fyjz/YjrZuYzNj/bs3rZY8TjjuPlFpY+vIWFBXiIB5WLxb+YyobW7mtUuVUsMsYA4
1CTDZ45+6oDMe13BOljzeAcJYoCAH2AFnsaR3jFKHYILxmyPjiaCiySK8Vk3PHPjvv9MraNHAhJ8
8CQQ8WdPhfctsDcfeg2Hoz6EkoXdaRwCimjiLNgk+hhdFY3FU5+YJHzU4dIKdTvdICsCMA05Q3iH
1k26cRtDhbxXDnH3iHmwb7ixc6z0JNEvi0oEYluMdW0/mOxAnqK0p7CyFPw77jga96VI+8usjmml
lOysYuzWFE0rjKpBruqrEq0RCr5KoYdiN1G5whRTQpdLhkJgtoORyXxCfwSyQyQApLyP9G10L12s
K/Z9OtBFbXbC+5iCqk0RLzRvOzfXEaRxvAqx8A4z+axjEET1bTUjNeZ1cwy8Sb7Au27vmQ+ke9R0
cSVGae9zHpLAUO0YBbUYdzSsvkRpzV4R3EoIyEgCv21i71bHBLrDwF9fzaFW3izJQQNP4VU4lpXC
CJjpW8hQ6qW0lyrZ2KZXVYxWvKs9s7sEmg2sYI7smxiXZxBINldB64gVG9nXpKNDhx97GvuQaHGw
jL6HW7D+DwknwpXWJ6SnKKu9BBEIsDBC4qfjfLjVgkHsDIkNB49ZtqfsFpGnatTlBHQnA3Fvldc5
zQAG32iGKYtCqd/KQE1v8DWpD+CmOfZhol22oW0QpvDYvGYa0V7O0FQfBMpZK52JwQqSXsn9omnS
p+g02AZVNF2MmguOM22poAdJu6N5aLgcyUtxYOwG3/a0aNf0esC9jxEETEW4wrdHBbSVeitpZ8PF
bETiuJhptkFiE9Uty8TP05hWbyd6w0X85AlM0WHb6ucYJ+Te6OWrw+9Vc7PwDuYRRi+HKy3j+aI1
qVjtg5QuXVNr18HQp2vl0ipuz8mVBm72NsEMuy7U/ClmEuBi7oQ17tKFewAE322Ept9yQN+2mK/2
iYY6Ru/DAoRdmlsDWz3UYKowRjUDKiN54G1nlPIN8iBJ96iyN82ISBvKe8uqPCihaQ2N0+mbmw7Z
HPuP7h7ifGCuIqLMHxk1bKKo4zdkmdV8CrK0NYDmVtNDKdzsyII0HwR9ofiorJe6xElqoP+tBuR8
5h4B1mI9OoZusYt4AGAL1/GbhyFcviwXxYkihEPWGw8QCtDnA4Fl1a2hy7oatkjM3yj67lUYpJ8D
LMO415qN09G40elmhUVB9teV2eQe0WbuPZYEmzoHWjo95hEH0uv1HicQfY/DPDyX4yBX7IZ4Zd1L
psmn7aEgCleMyRcv0bInQcrwHl+veSvnxF7LzBM+rXBJs6KSXOLtjcCjLgMrgTL2CQ8DfjZFYSkw
LvLKTrJMIvApejTNQkTOOl+Yo4lJgdUjcxU+kNmBtCkBBWJcm2kf4Yi2F+xsfKWcj4yYMRD2RHLX
KrCSg5u4zn3WjGJXWHGOYGVOvtNP8d4ApLXBlx7RpVGSVxs7YOu4YK/tWBBr0sLw1bU25NemXUbl
8LrhEPsgWLnWhum5Wy5Sdi/dUPgWkU3A1G1q3JnK3tiE8J7aKTVhIRKvtmt7fmrgXZJi54icVHV9
6kTVbhGl+OZhw93j0SeEafMls6jxLVL4ooGq0y21Xs2BIOdw6BPJmvE1b9l+TV8aSxLz/VH/zyb/
l5v8d/LPn7uin2Iqyyb/6vMYf/zOfGDI9x/7w3yg09qoowYvjB+8B8tW/g/zgY7JwKKox2Tf5jnf
dqJLhx9iG+9RRIQ1CrPWn/YDKX6TCBo2bgHcsIRN3L9jP7B+2JfqhBaXXTH8C4svNXvj7/elKoEF
O4RFcqyNLp7ezJLunFVhOq250SNPK1idmZ0l0z7GM5hrhwVKZtVLyJRS0yHWd5gTp0+1xC/ra3pl
+WMy9fPlSPb2M3eps445Bdez2hc8VpBvUW+HybzTqKl2u5Anl2FAN8icouYRNYVs3zd4Z5LIu9Zj
rXVu+7LrhdwgMlC0cSff4S02Kg8eAjlk8bQs8QYok6jUUbpiDN4+yWAeMX1uTaBHwpnC3OiI55Jp
+l2EYlMCbCQKRPJd5GbLdpRyhry5b4DVIAEkpsz0p1g57dztiqp3DZLCel7ol+ToUjztuvqI/Fpv
HVVNN5aRFRjbpyHhR+1JmwFFMUT+Wpn2zw34ixsQdgpfx39//5FsJY//sf1X+eVffpl1+Yf4O9vj
15//46ht/waPCpeN6cL0Wo5Kf96IjvMbRiDOZtxyfxgifz9uSxezD0NRDtWCqkPH5vb9/bjNHy0h
XKra3ilDBn/0f//PdzV4zQ///zvJajl/fnt6w2tk4VIiMUp22ZbLJ//2gEjddyqiadT3KTbyPPyS
hdr1CGs4Qa8qhmKfx/pFowcgfrpnwRw+kb86P3o/qGac4ZbliNpZ8pwYot5VtW8OkKVl25XrLn1J
pFlOgfk8efh4+nRT5NswBVGq43an6ics8GYjlQE93EEaKzaD8WL2hj+jlVY0+QFHgR7hblu6dypH
nLD4BUTme2JXmCJ7dF29+mgSr0JKXvCMlB29Jg3yIf9zIsEBv+ShmUvw9M2qgS1teXsTlyEFGJgp
lN4X3PWAdhaOaCNpSYKcNsnicXKxC/Kd2I9LQzXqOeWulyHHStpL5luzbfARZljMmSEQ2Gdu2lLc
0aRHU+tuAV91mxH/iIEIfmt7L0JqmyYEn9rwDvCCrzxb+ih68GuoT4+iTVeS0GCmAgLlPGrBfQJp
n+x1voE8BPrD0Hdx1t2EjXOZiOLDDJqHJB/ukyHb2TNvY2jbpbav+JiPpg56k/DIpA8fCxJNod01
x6IZGJYAWKjshhebt3Eqr8Oc/PA/T/f/jauQx7SNZPHvV5fl6f5Cyd/36t37D/2xpIjfOOtSJrDg
7n6PnP7+bHe83xwcgiZu5q8GQuSo/6/gocG7CNQgjKVrO6wEfyh4+m+sNcCOWfho55WO9XeWlJ/E
NcsmEW0BT9YBBvzUzyh6W/W6HpaH3tUYGaRFaF1LIj+ndxL8N5fmL+Sgn7QnXsv1iNCyjJpMQH9Q
C3ustTNHrOLgyIE0HqUQJ44P3uPEFTgqNXu/kNN+XKoWCiW5XcOhhQDbuPvDallraDiVq/N6OZCj
1aBXnDsSuuVO7WjKQ0F1i9wwPBH3gx0b9//5w/6kfFm2RWKY7Ty/PVSwHz6s0vRmLJl9HWYoI5/y
LGdbkzG9PE5iHs9jMHuP0GZ+9ZH/4hJbXC1pgovEbbJ8bb59QLRNm9SD6+QH4BY0HXBc+tTjS6JR
MaZnKNSnv/2CyMzL1pVXRFH8aYiS0D5Xgbr2OPQE5aWDw4qxbuttcldqrzLo7Zf/fFnFT9cVgOii
XCJuc3GpOPr+E06NwNUfjP2+K0f6ajpqt43reWbFB0hrQoGYyE+dXPCcB4cM5ln1VvFYVJUDsNhO
6ecJncY5txNuyVXdW12/gn/SHDk9j8+T4f7iW2A5f/F+hTC499FBPW72H95vgf8N5lDbQQ6XoXmv
Ad0JKN7MyLCFJfyKXIVioGEumjJyNq0l7rkHp7MGuXlv0DtpX4CgkId8qqy3UDZM+UBl8l0iOFde
5rMrTmMcQcnpdSPLN0Xdi1OOhTH3qYqaxZrgA2ANOteXYb8xu9vKGsVJqx2t3nSODutBm8azaO3x
Jog5+C6uvNL64PYS9BV7cma7kMaM5LKWFh3nrBL2Ooay4+0TsIJPSQbj60z3UM1XjmYyiaG0mWBI
QHOJBA5W0ki0umHDScar1vR683YspuFY6FEW+0SKB47bJmaT94WgnnLu07FvxhttaMcbL6W9ySc5
V710iVG9zLUuD3ZP1ghJpK9e3Fz2NzqYgNz31MzyNeqJBy69tt7cGidGWWf0c1CQUL3IqB3PmtLE
vdVC8Yvn2HrDuG2gukze+GKXLQcEXOElu4kA9nNn1nxSRgyoylnDC9IIETwaSZrW684dwHp1XEd3
psAmqE1x33n80ma4XY+Dmq03m8nIOQ4BkCg5YOwFCNW61DlpGA3e4W5fv6v0scrOj9Ajuis8aZxx
kgUBbVp8WGPqq2bXDH02+xplp9GF51CeeUiVpkBG2yg8VA6aRvQU9YP36Fasp+s27QA35pPJ94RM
mPlWNm71EmF/oBEu947eVHuP1DRgHDaLmG/GmIIWMxEkL2syjGw2qnK86TrMgevefh8iG031MpLQ
yP2wTOdF0aaMDByekAd4fcBVhmr5rAtLaOWGgMTer785tuTyOtfcRKnjrFGjogbfiqef3v9OGxCM
zic9Yd2Yo73GZ72NnLZfD6HnbTvV8AWOltvDphyl2mPyDYJLgThY+X0zdExccZucYdiKWq5aDmod
dVDM5U8tim5lrdw8Nca7yi50+rSCkjLYbZboE2V9Gj9AsZPQD4NoaeVCsNeK6KJp2ljbTTodo2sV
alNwrqrCgrFYItCt8Aq2wdGYvemF+RTGgUlTPdHRZo5vhkkzBuIo8Mt2TUE8qKGva2DzmYIEdHuN
5tUUMqPVW1zn5r6i62ozLmH9oPCmrScRqiI1HpiPmARV/h9759Elt5Fm0V8EHZiA22YibWV5wyI3
OEVSRMADARfAr5+LUreapGak1qy16NO2Oh0Q+Mx798HpJjCPyeQ4HZk/awattX7yygEBVsMuxLON
GR0m0qTOl9ZrZ9ptxGjV2/Sztm4NT/YPk2wZAffx6H7qRU40mHS6ydkmYaqvRt8Yj6QSJKwsTLum
na6Xm0ANyde249j0ytQ/V6lEtGpWIZLYRcwXq0IHSSTvyqZZUJjQ8S7915BR+kTqEprEiIs7PIu4
Rx0MTrULmbL68YtTdX0VWYZ47mWCEEG1b5XlZzcZs3xxbDGHUuz7DhcducFcUnPudl+lxb/ZcC7r
Bx5zXMt2DH/l6BkxT+lFpYe5g2noWn34Us6SqaufBKW7ccdRPyxaxi9aUls0wmo+IoWC1jXm05uu
g+Qlcz0OzNrOnzLDzD6A4uTGCmfXQfTYpeiEHOcUNKEpQTvCleMxWrP5AfOZZnD4+RjJ3nIIZSBX
ZTHDD0vXWJ9KZRjLaZFiCE5OqRZn2loNk11HIZE7e7hKKOpH19upKj8XxBhcJqNJ7lSXyVMShE9E
vrUvRa/e5lKvp39qvTBJhc838D0xbOWcdxsA91iL7U+DETMlx1FuXjfh5D8yn0dElY5YDJzBQBaM
bHrLfenj56pVAFTSrm71YOthvxAEW8qgIbylI4MVqtoUYT1u/Y1RrD1X6cTVDWsZ8bmwHP73RIL2
6hl+ox1/DoMpVZu2beJ6vwR1WmzASwxQ/rrcuOBVGPjqyhjiXO8mr7MfADAgm/PWl46JprhPD77V
IFad7bj7WOuAWqTp3eDirOxJQqj4WdswVLsUXzOHhSgSdaOCbsbclwU3hp7DF1WyFowMtIxfzSIL
8fG5HG+5t3DRtANXSpegFU9osLiUhgTeBAlh1g1dOWcpMXac6Rku5pfR5t14PURLiISOQxhyyDlY
DgQsoYGcYZMQ8ZgQ5ldxCWoHto9HVkwZJcD83yDUqeMsEflvwQJ13QEqc0C0As6CDMJ4sRLzOLTY
YOu7xuHlPRdrzOEdvFkrXtiJF/G2zBkH/vsR6DPPV6R0JOulDwFP3vVTFVSboSEMigQ4k2m3C5sK
rWz3tXLQL24sR3FF2Ohe33Dk6bsudTmnS6KukEu2NXFmRQ/a+5xijPQOv70tq3JVcWhlRiURGwaP
Lx+/+FVbgElkb6aJ/qb2JRU0RItfkBNsI1kk6H6YS6GvQd3ZzhblYP1xsttG3truyLtOy4bPOo0L
L1kpVqMPom0Kcn0YwSEb3RQyaYnomAJz9P1tgqHkPOQdutu0dedHpOTuR09aHKyzAu8xNUqjXy6G
DK39YCVPEwO4mXOz8C5icYKOc9G3HvHKmOdmkMa3XrXhQQ4TYEveM1VOavjhi43S2aN7Z0i5bVGp
PTlqZX8lKw5tr3yRL7yTdP1GW1Cwm8KdeawPTeDywFQcVeSj8otmaGzflqFcKbOQ9m4Mq6Vr6O3F
hLjnImxO2STgJF3R3gIZAI9Kf3r0nNQYHlHyrhEQ6W+BEKxDQuIh8Dwta1pC0s7pfs5TgxiJLKBa
hus49e4GmYbGSlG7u/Q9fyIm7SzqCRTeTGs8RfmeVIHXyjzn7/EVZT9u0zXSgn+w9hPEXBTZ0rAi
le0DcSLylK9xGNoI07PRs8pFTMWjZ43NYKVnQXMhSqMYpveNiBchM2LUQuoGuMkYI5FznwQc6Q5R
hnvLTKwI7msJnYfgjnqN8EjWMI/qPdeDMoTB6EherJVTkfRr9IeRChe1IHEg4XsySN8ihuYOnECS
V98qoD1GAW1LkybCdU1hMJAwEvaNeeuWsA9G4ke8bi6PbFTaHbVx/IhcHVDCmleStXLaaSFuhdmL
aw12+J5fm+fymnTCk69k5bmaTwzMQQGBKElYXA+56DbgBedbE0nkc2N4AwsyUlRqEPr11klMCkgN
FnVNW/HGO4fwFSq/ageIw/zmviez4AoGUYDFJwMhUPmTiIOjkS2/uq1HnogYuIX3aFcmSWCOWdQU
2sa4xgvH7KnmYVxPELluV3lecRr2GG6H1jZOpHe1zXWXF1ykpeS0SZEQt9sFtDMh5rqQ3d2cTxkZ
yZTd0Z+3UWvX8f0gMYDISMMBgc+2GEG85x19N8UjaDsLeeLBcXffi/5RozBUa+H756/zh+6HF4K5
xiyDtl/QuP3YrYWxxDdQ982xAFAAyQYy3FPbKdLghbbqK0+srcv7cfjnr/uH1n/9gEwqPaSJQtAp
/vi6tOSFk9VEDOis8EAeAsgn1bfQeySOnF91Wc0PYLo5i9txrXL//NX/ICPi1RneCYJXPd7Ez7A7
eChMTyyvPiLSpQFZAmU/Beupm/nEG236BBU4401FW7JW3rbA9LF5fwv/rAP+Yh1gM6/9033ArUx/
3MT99gf/mtYFa9rYOuO20UNaISKs3xcAgfiFxA+EWf/JKfl9Wofb14dtyPwfQgEbMpzI/1kAoOU1
SdxyOFz9dej108D/TxcAP4/r4IdazD7cdSjIVOHn6Uc8wQ0ncdo9ccM25ONkS/4ApZqwvzXAz5nd
jsCgbNk3ijxGa9LxGUV38xE7rX52K1pB4WXdB5PS/EPCLf83B268O9vk4/MG7XVH8NP0KSRfK2bL
LU7ZKOo3rMr6DmJVdalcvVZiuN8PgJzGbUeIrvjtgv9hV/L9bgSW7M9nGkNMBm2sSE1kgsL5aeKG
xb5ovCFtwTjFr2UbO1soJmmIF0DVHpQr178gVas8vibPv9IiTJ+tTKWf9FItX/2ha0dcO7NzTgqo
ETnE+kNfMLjfUS549z7VM+ZP7BMkiZb9xWrwYwoywRmYAHTNdIlSgd6nvJX2TJfqU9myQWwBTE10
Q9EwLCXyEaqXlp2Ch8kRBv9HJBnIQegGNksXMD6jON8pllgPsuqqfQ05akQc4AT5PqFIljCjIOQ7
qTA/GAg5mMz4T4NGCr8VS8uR4ntNdaOETqgNDLw+qnbG42yUBJwZCxaGpR/YivjTCO869uS2kdgW
S1vPr1W2dlEGYsCLO2H28NTcfwim2F/tusVEhrUl9Qi5KvCOATaL/SQLD9KgneKDweywQbraPoSD
kd3TTJGNlyUt29fa9KKafFBF+rEOd9PgqHQ/MnIls5hbiTFokGgEC63H4EnI/skaagmQ358GDGxh
gYvcrvoHcmECHI/OhDcj9UjUY54b41OL+5zKyvUaMvFEsjhXCMzQpeO7sKFdQxfDerIIftbMEDj3
bNvYFMIj4tJ1X/1sDgASedVdDjAXnlQLOW8ADgLxBoTRJjHJb0C7pvaqn9w7UhGMA9J/GmVpj/vc
TPfAtMaIOzXETuKXDwsDG2YR9ZCdMW9nUeD2/hszjea4kAe7C4umP84pdLt9b/cJHUdmz8hORiYl
2IWr7gDF0bqKjUCfQ+zWL3AKBxysciLfy3flr2Iyx1urRiCGxt4vf7WpaNcxG94U5IG4itGFYcxm
se4CWPWVl0Xce4+03swUht+CwLIYWsWjpUqs7tiCCDnAwR63yTbTMdrFoOnzr1Um4zTY9Co72GY9
fYUXVVq00eDy5OpeH83rriXD9A3BHWkmYTUK+7briCxdhsWBdOhk4+s69Qsvs2vXbwvlGKlF4aCx
4FsQ/b+AQM6KSOGHR23V1yLd9YMiurhGXHjNFKua2ab7vbUbRmNJH2esNphgx5a63ogrqvG6UmUS
qYG51icRTqgC0KWR8kk3XykUiTnRvvA1eRT01UXJKW2i1nTqt672nZNFYDmXujbr00wP+2D5HJqJ
lnz+fEmr22wZ/BvQ+G24RoXwamr9bOSZuI+QF60Jy2IXd3DARPehT71MbFQ68u51gg66rfVyTOup
+cgUkZ5ptElcDd2xGSM5cSPviEjUBrMXPXw2MzWY11mqXPMmjCdqkcZu6jfVFQS2NkaxMBziKA/5
5HIrVj9JT9+wGj37kaGvvbwUHQmvNemFzpJ3Bx2TSAE7UQhrfnOHQZnNORhTk3/KmarBRyxmKxEI
1axlGl+rRBdpB2vfrd5geJZcOmrpYG8v3k2L545ivB5rYz8NfZptcB02hzawi9u5IrUbM3dqMyq1
Mn1PYpx9K2qCoYH+B8Wtcou23FaEBbqQ8MfxBOoduRqaM1leSkbPgJ55B1y7ZSNOFYsibIYt0eOb
xXHjIao65X8yxmrCTE60eLgtkgXta412wiTnGJzgRrb+9LG2sCRLD49rFHhZvYmxOZwSW9u7HGfX
587qnx09ecTAhpl7YGI03Q+QpIvIAF+GVVkGLXrAIC3HjV2HMYCJLMYgZ+bX0hnjNYVgri6ymNST
nQ/aI1VxcL9AuPLQ/DqW3NdTTiJRbSzbghbuIpjdXhE/LC8D7qQOyxBOY90GDWmCWllXRB4QQAwG
xgdtFhtPeC05BRYnBMketrQNNJq+zUy8Q2w41Dbgu7n3q/lQTQ7ISjZ1mUK0vECwSVwBT44Dvyud
7sM/heN/tepdV4Tflfl/EHLhGIMgU/4gHqHaXP/oX8VjKH5Bm8F5wdoYWwTk4d+LR+td4eV5NF32
ux6L/+rf6pFVxrUuYSlcbOq9fxeODjxiF0YwZC17/bu/VTgi1PqxOiIKD6UYOhTqV8Lq/rB8VWMe
VNqz2vNqrIocURBONPYo0vvg3qUOIJQphAy16RFdIa9S3mA8y97NkF29T9A0B8DCzL4kovpgkCGj
noa5La4Q8qbZXe9V6hOTAP+juxDEJC2MxP2U2eTDMnFqQamXZ2TA6BLhe0f9mFWXrGkNCFqyqTnz
h2Y5QI05JNMyEski7WZfjpMKP47MsoJjYEpCGvp29l7HSQ/B3Wy7PkL1VF64A5GhOe+8PKKcAp5L
K0ZveCfq1aqGMtWs9OJLD+C2T/ZGUZpiy12eSg22OCUY46aQtHL+HoHo0tzU7JM43jWn0Jbbj7yW
IyJq3Gq7EuAB1oUKnRxm49aOQ9uNWLiU8U1gg8+bNjGInL7dpHM5TO0WB6k5RcM4+ohYCes1v0xT
0U3LLpepS02Vo6pHWlZlNbGj5aCASm68oWKHBn7QwLnfh4KxgQyWVqD9z8h13+bemFTNVmF2l34O
GB7VR/Z1iSGtuPm2L5PZhQmKvwDXhBiTg53rGAdZ2Rsnc0LXjr8ff2toOJsJ48ImW8E90jDGQwIl
7BGGABkuTmcyI2bsf28RI7T3wmZ+85sMxX8xFNs5nyX+zo5NEFuWizJShxR5UZ4wgA+HvBpbGAVV
zbZ7LIZTMGowgxLdflnVkePJ5Na1QYmMstCRJ5I8Ej31CnFR9bFbwvhelVP5Ia6MHpxvjARmYZZy
S/b8c16XyT2Gku5ukqN/XzT5+BEkmY5gWMdn1Uh9z/VQ7+exTnkyatJW7BrzpGwM4meGgVLHJ1J0
slL/Jgzz+EUCIT5q6Rm3hl4RGowlwv3oK+cSe3FxMDIjXSLLVzkRfi0WbYAT3jPwi+qxm4lc2pSx
TPTWzVpHb7Fr+3pbz5g9KoUKbBP2qHxAg/SniQL9MBV58sJuzbkKF7LUETm505MILfBuQcPiNBpy
VXyzJkEhDAEN+29SV8Ri2fUC7NN27+jnwCZMLhIiPwJ5IwjbcrR/sZhqJTwnGd1uYjWMt0OS2Fcw
IusjcxG2YtnMbw1HTt1TsVcvqtPVYYz95vPE5tBqoRCzOAvO/NLlbm7A4c1dA5ObgJj72OvkuRJa
PSWWs7wOzlKWK9TG/pLVyrwylopHeds6/nkqdLgXWfPrGrl+RDHQ7qTOF35BP3sM82B4Nb2s+DBT
YH1wpj51t24b5PCJqjDCGhuz3+nVgW2eDRNo6vcpcU5TnXlbQsoKUtMcaKth5Z4n3SFyrwB5E4Vd
hQaw2TTfLC5aUNoAM72r4kxjM2ioNSFkEjRkseOUENBxujJvjITRzrt6GuC+gtdYv5d+46Mq3yaG
uW3cbjrXZlhFNNL2i2CQeNsb6jld1GPWGP5X7dZwbzHJmPnGhWPhbm3CoZ9g6ImrkvXphblkA9Oh
I2o+TU6h6PzrGXYRt8bQPSLoKiJXmfUXbzCDTTMt9Z0Th8tncs1wDFtQ7XD/TM1VkiXiOZHC3Xpt
AZx2KtsZJX6YXAvbGj72roFVuYDFl5c4gnPLWqjf1XlIm+Stc2T6azFRKndje7GHGA+7N+lIjoPz
SmJ4enQMMhc3eprmi62Ra4jco3/re9vgjhMShl2rjb2iumITZgb1PSZgkNhNb4VwI1h6j11KwlQR
p2xJJHRafbTX5Xo9CQLX8mRyHskzDz7nU8mYj+AHFghAgsId5pr5gXSy4FKPlfs2gBC5CknX86hz
LM65wYSEmFgVuyTaPSwMkzCvfSIdnmYir298eAfzJhmANVuOi+odVNepLqlwN81sBZc1A/0GQGvO
JerW297UX1qeeQ8WY/RTQjTDlv/TZJtkCONdhvKHvhX6YvS0sCGylS+iVu632hBfYebbFwsvRr+F
uQN/Mcx2rSIwKy2N/HrSMrgOnTy/SBP6Lk31F8kSdvXo1ww19XNtqkdIreYWTAZQoJgOIh08uU8Z
LR3MdAnvWwt4iuHZsHVEN3XHxJA3RT4mezGkcaQqZaEtdsWBBCxzz/3+JVuq4KG1GaJLCsWnhI3a
xpKqIRopx5bA3La4dmt8Ti4pL9d1RZYUlP2ZbXHp9QekWPU9V27JrD+c7tK5Vl9b3Rl4PRqroOwR
wUvixeLMO8SgNDUrz6hhOVPkbnkHB8rdFzYpNVbV21uTSVIEJSO9GCrxN6Rr1Yd+0EMkBt1/tBWe
OZzs1Wb08099Z33O2ibfLjweLyNbZNhg3STvREBOVNXV5ASUkvxpR3ffLAcN6WDNw2Nmeu4OKxxj
2oTJB9tq7O3KiB/T0epuGP70hyl0Wt5Fqm4xIznWLgPTsEo5ywCphDRO03AF3lxu3Wr6rExRfMLr
DfRmCvKvJauk3bygBeDY+ySD4leVp90JXYC/Nf0cE5DLv4pdP9zMyJ2OGEHNk5nBshtTy96zQrQu
S2NkX8IMFENfEFPVuyCWRBcX91lfOGe7y9I9uND2hCik2Q34GY+OqFdSP5WXMdXuAf7XeJWWNYP+
QhPR0FuGEZnz0m91U487x++qL707pVve+xOeMms7zNI7TqPDCs29XgSaiIplB0Pk0N7XlvulNZv7
gaSBDSlyGd3icuCINjYkK71aKXkEkphF1KELFUZhrniiGlu5uvdNFpldCxK5HDZmmZO8JasHkmzz
cwbYcw9wNdi06Jo2pDSChJEoJZYi2ceiuHZKw3gIOz0dCm9AfUt+C7FZpE7m1d2sUrnvSxOuQ21A
zSnm+3AcrChPc9IN+4a0zaWpyKICTeTKAYPN6LCeM3zn1ui1DQLC8J8Qt6THJcPDFLrWr23sGTt3
xiCaQm0B4Ne4PMhyyfPAGe4n2wq/pOXcslHl8qs74+jBi733jDHgYQwXZnRXsHPYDCddolfLqsSA
oLcE57Kf74vU/USEw/M/vdR/00shJrWZ/f7fstmXX9nZV/33qtl//c1/VLMCwQV6adN6H6j/Zw7v
O3RZwl+1layuLJqm31spAXIYbbwd2D6CS8ED+Pd2Ct+7j1odZT8tlYXAxP87c/h1ffTd+szGim5h
rucd8iJCmOt//936LLCw9SJed49BQAFRSpLnGHj+VQLyH5ZYqOz5jEhIoTDzTfw80B4YeTmYcY9D
VjGdGgmh2gDjqT9VPbKz0mOYVTD3VVG9MOP/7vf4X7S66+/1/UfEAMFTFJsh8dxkwPBl//gRERkW
WImD8JiIkDxYX3UowjSi0tI184eMh+1bAp4l3HRV6kTADdNftdFTs2Jac6JCWRSuKCsO/RiAE0Kz
hgKglrddkFUoJoqYs3NWDfL5ZCFOxo8fSgye0f/jQ6zaX1AIrOEQxPz4IUxF2FTZL+GxXRgLaVjF
+9KAa5b60/zcIkDaxlbuOzuD3fPWMnXzcWKJATGKNgp+U4jisbL1HSK6gPkVCZQM4Rf6npzJTjjm
LLon66lMh34PKqdHZ1lWf5ME8v47BDBA6NhXa8nK3v7+UuuEgxrPn0K8VWg9lAmjUo9qPvj1XwXj
/UE7zC8OxMGBQIDyHN3yj6/k8nQlOodXGtmKHxFH8ON5QXtWvdPemy4Qyj//dX66id4/GdiRgPEG
Ql5MMj++nm2hlqNE5PWSVN1zonSbZWBq/Oevwi3/83UswKis8V+k/ZHp9uOrhFD+qT6N4KjsicRl
vrXGCdNj3v2V1Pc9KO27Q2H9PK5NkJvPjcfS+edDIUssO0Q7ExztBefr4mNWkYDtD/MqpgTzxJja
ApwDjLHPH8gWCy5N4dH/Zlb8IIdquSpdt71XmPop3EYcdii/KLFHeq9jsu74auQ5h5Rr83lMmEzA
2zABxiUZuriNSHgR3ay21ICnZmd73YfJW9Ljn3+bv4nmf/iUoD7Y6DNFWlkcobtu/L87+tYZ8yAX
pY+EYdIDrw5Tf/WaGqvrtM7xn4LG+qYJ4Ync1ZvKxZsdEZwO+/Hdubp6WJt3O2uPsZWIEfODxQb+
xg1n8clf/a/IKnbKmuxHKyxbFF1TYW0VHfmTbeYh0ULYvfvVTws9zI6q1WPLjIc0luQTxxnArR4f
bjLYLqUb3lyeLvJY4oHeOYmXHukaURatbl6JaPvQOXXwRP2cnTIDxU9ltZLpRRJ/QZ1E98m2/oTh
GodzgTN5My64h8sAWRdhdu6uGW2BZrhBODx4GI4BY9XHnJHTS48duVh9ydXqUHYZoHydmdAgTsK/
TByxc3Bjgak58yh/l7zxImP1PLto5p6aoSs/+InMvzWWrPUmN0OM0qGSNF1TTYwVgXT61WdzGPmr
u3rN6D5lq+MaRqt3CzoqiPogXU2ZZTrdQihoP1cZeY4mxm1D4+CWWLmN1dNtVIVBDZayL/TVuSxB
dBaMCBk7hCc9GtVNHZPka+tqwi6+OscNvzqA1AKmiKe8LrJmC7jF2BChhyMbCoIrvYkmSJonUB/l
RcQ41I13s7rFDuzGQsKIDGZ1s5s8X7bZ6nBn9h6cEJo6b4qBwx2u8K469eYQblu/c55ysWdGyBWx
OueH1nHe6tVNn5OUEzmNhltd25V6ruZu2NY5xSjR2UTGrK78CXu+lM69HUPH4GwbT31R46AyNMA2
Je2vkKTLSHlWQzR9cZ2SLb5lbZozQCtIql3ZABLl/laZ6M5slIFmgvEsC3XyWGXJNZi0T3KlDMge
3kBsQR7IlPdh7vM3G95jNCHz3Borp6B34wBNqLIuvh4mBojwDEisgWxg4kAbVtJqv3IPiNiQHFGo
PK3yvYqv9ZXBgPWQM7XZzis9wVg5Cs1KVJCY0LeQS8AsqHfkAg8jaMxLn+/ThNjjKJvSFAYenAaF
P+3KXer6QvinuVXand8yojZZ3XQ+e9R34INpZ83t8o6BsDoLIsRsiZNEWnW0Vl6EX3O7eKDHmH2E
rb1gc0UpKAFBk+ix9DJexffVFzWK5BXa2PDV87v51RnVdC6DYESUBhttTBpxoS9hldTn8RYZ3Xga
QACDNMvp+ot5TpyNiUrGOlVp6C/gfluv3JUE4kEAXfSzGM1qjy1Xnohub3bQKXH3zyzgQwdtleW1
1SXFdrOpTARpbs2/zaohh5Hr6faM9iCPvHqYD4YXdJu2M3M4EuP8bezVVN/gLCaYeNUnLCObJlRi
edTQUkZpwpPDWtg42+bQ7Mxxsnd8YnX2vd4Gg0LeHfK8+Wrpze7DEk7i1uZGvZlhjyD/i3tv9TLW
I0hdNUVk2S0QfTP1RfqkXrNH81/e95SEuVlPhkl9UdQILfN8ojoZKflg94LmSkJ2pjEov3YzWCg3
NAiWB0ib7SuKxTzKzWVCBkldaLgN1IEcef4k4KU0jE1e6r4rTm2KvnqBlncsMkRxmeJDgqBYrr2i
ZnlLBupxnp3mxpFLfPZJjTrMzLisreeAWSXlstmFauSTMzm/BSc6Re7g2Lu2J3kJIWRCHHcTd4yQ
Fv7GDguWqp4HNUahq57yISTAa0S6GBse/MCeISfZmnkGkDyU7q3FwUBoDjrsBqnl0cy8Yhv6Q3ym
VnHhCXvhhjpSnUe8Vshg5fyNGnh8SUfFuV7b7TmDn8no1BX2wTLL9sAEmQhhVRsPMy8g39XDm4Vw
dN42+YefJjTEOANWvbzpw11hmzY8KAY5kVp19TjvrrrcwroK0/HQZfayQsBN58rVJoMjDgVLDc4N
/Tii/VW+j9/A24LFZy24Cvzraniy4nXw3PcpSQ+oLQltvFNxFYJglcl4UO+GAb5+P/+iGIjIi+pK
TAXZ7CKl1BWzrr5EcqocG4ljGJcMZISeUfazHBDyRk/v0dnvj/d/VGN/qRpz/9zneUt6ZF1936/a
4v1P/tWvWpb3Cw44OiU79J3VO/6f1Z8tflmNjwH8hJAVtPedy9P7xcanw9/RzprQ/L/rV9cACaJL
fcyfwheeGf6dfhWt2Y9lMA3vKvZEmbUmUgTmz21E3g1LPg1hepflqArCrUO3024UZunbMG6EuBde
q7oDnKVKARuik3bZEKXeNo8JMdA3LeCDBkAwljs0/VQwD4zO1hwWF4sL6QweuK5NM1Y54NwVCNkX
rfm1NJsJPQ7TrDTYgi4HIGkPVo23u+bpFYyHOhTJrpRtdi6zyvrmoN0HGtS1wWdjVWXi0U7Ofi5a
zsBkYR8GOgvcb3xIFgiYDkcpx2SKiKVyvGHYtLjQ2AYUjXLZqwvj2YerGayAzXIFdVUrdNOT4DfT
FcSpVySnz1ToE6BkjjBGaR74f08+qHeiZ7fCPenz45CnwFSqndPwiZFwLT0yjrZoIrwi8qplqUn2
GYdZMnmfU6gTzx3sluzGtbURAXH1b1NGkNNmTrVMqa/WzhLfB/6fkB4Sqm+fzo++2+OV4ZeYX+OZ
+ZXBkmFAqh0nj75gSUCJNbMknHn7p9SLybyYtH5FlsxM2ROaeqtyxl0IPKPamlYG69nnsYMijK7x
w6xYhyRJi7w+8MfybHSViTfJDahcy3iBCEsq7LBxCsElkS0pygNfSzB7mYuuB8CTP39EOdZCouKE
NLc2iiDNgwx+bWoODpoWZvjEIMhv/gq7lSv2tkvFsJ8Sx4vcNqWYqqV/3y5I0/BS5Ulkzz2LhRWp
O9cCGFDZWvckME8gNUt8CsKfSaNbgbwTsWqRZmdO3MjK7JVzXUqIHTMaqX1bGc1FJGY2X5vVwDl+
piaagoZ5YUXLvuOLEM0W3VLV3Im8Zce9VKkF8NtJZ/gEMkBxvYHHjt8iJnqDVIuKNhweAf2kiMqF
b+9+6CB+bxZr9B8xPaRT5FNDNy/YQXwQb3W3Rk+xxaAGQzxAVID2u8izk65mgBorLCRNIr+WLXGS
TD383GfsPBOdNrq4A8FgaXYWRpBexqqXV15cTdSO0mMTg8uNfRz9w0knPLC23VrmYtfxVnQ/EQdE
gjActja9xfaEbPLE6I+mKv09HVF6B/2KrZBsR4ncR8Uld3YMuRR735z2EZlP1JhN3IzjZVnSoY1s
QwDqkvyaUTOWq3QRGvayyWiXEmYgZtptFVNX/1ovJfvyzjUPKveHSCZOMnPFCYMnl882qTD89Mao
64J8jDguWMtZpqci8kmmVzvtWBaQo5uchdlh1+pBLqAZ/GIsYcU9ZXg1OVouT8CbvnY6hHIt9fc+
Geb6lbEX9K5gHuTTwjqhPtBbqOrAf0hdDoKG0FxOovkRYJ+uT7broaRHn0ZcbwFxnB41i52TUzfq
G0EXz+6A08OhHloeyeIYm+OUS6vGwTrrKGgMxDpdZ14vcWbfi2rifoxFmJW7LOE0cwdcAPncZodF
O8E5M4jDjILJ0PqirQkRp9NVS8Qr5QfiNLpdYSUxuyN+q3qfsC6MbHqde6OZTXiAgywiL8zsq9qD
iO4EmRHujLQpIQ9KbT01i0gj0ylsfmfA7dln1frZW2b2xjPjhPEjy5hRoRgVgntN6DHCluDsSot1
6kklidgWDqaancfiS13xPxADa0akZfCbvQZ+tRcs6O9FZ8Bz3s5wAhpzQyWFZFKzstranQeDzfUU
VXmFhu1Ik09sS9yXE5ys2iU/nW1TMzCWrOjPLar3F2KvPgguYfCZnUaiFFamfSSJwb/3XHShCVEf
UW9LCIYhwtAd/Yq9gyBHOgFwMP1QAcG/KUobXzYr9dK6Jr2gvl76xcsOQVs7r22vXxOtyWfpvRTr
j5WiEsAuafZ4lsZMD9cwuqELzFb3gMMjYxHM8yu5tzTGJXzGopiX+Vg6fu+7LEoA3MXnlozo4EYE
ubX/p576rxYAYGepZf7vBcDTr/qt+76ccn77i38rqZxfXAbPDmWG92+01e9ALO8X6iugDgjgGVKu
lda/lVTUYCEJgT4DRcZvVGK/j/9t95cAOgFLAUC14CcgbP0dGT7i/R/rKYtaTdjQgBgSreIte7WA
fDcG4w406AyIJJ+oOj6MhgDVXsxfAm0XN4tloH8wrG6jyzp/8KfgusMf/OqNWfvY1MZja6ruPPAw
36zw3GtRDwb5T44XH8Y6k3dERRtvWGUohbzaJFoqiAFzo7lPurvKd2fnXog0t0skEIXlnxZLBfYN
7ZtZP3cFKlnm0ISrk1SV901zjb7EJDCBrhW8/wb5VV+SfxznmdgvS2L6ABAmpdrnIqh6dCfkExUW
cS3agzuPxKnf+dIU3V4WcNrPPdOigruoyhkTbrQ9A5RIy2yxzn49I5mYk44KcamtmipHxDoAvO7P
7glMnsuAI59TP3uKZ8Pg/rb8fGwjDNb1W1bFwdfEy4jrXuxOd+1uZXWRJBB0a9a9XlTWRD1voTtA
PrKvmGIvBI4z2ruKM+YHtFm+2+1H9NrjbqmRdkdMeo9MJ/GuVyko0aJyejCNOthN9HYfGb/yNHES
eUy79DFByMyPNWTXrV3Vx8yeXrIaWVOGhI25VpgcCVj+H/bObDluI9uiX4QOIDG/FmrmPIgU9YKg
RAkzkJgz8fV3oWzfttVu+/Z97nCErbBNVhUKyDx5zt5rowxvqyR9zVRG2rKmjMTqedM43VWKuuiV
QOI6Qk9yb1eKwqueiAiZEu/boOIZV+r8tlBNRQJVcaHsU6KKF2JcidIOrfxM5/9rksFxJXZhJC9l
pIFBIuNh5JIa5HVtXB+0JIZvNGqiPqDyI2U8e/FK8aMhL/5qoQG3CYvkdkEYi5JseGuq/kz6WH0k
x10iRrG3bNxi02uENVKa1r5rl/s0qZpNIYoXaRp0ijqj2RXV9J1Jr3dTeUt8P4fIuNhjDELW6bH0
drwt9FgcnMmxiKWa7kROgTfhvY4SFByRM6N+JSSsuwkGeiQrZfmESC8D/Lq4G3xyabSsxT2akOlQ
UQJ9JSkbvU6n9U62rvGYSO2gh0u+o0pv7lxjeHKHTD1RBZX0HZEo15nMjnWBwAqyKwFZjXaJpnOB
IXL6OrEupPuuE+GedGgnclMjPEze/L1xi+o0pEOzRQKGczgZMxCkKvvaMJfHzks+cJLQDqCr0W+b
xgbbWYO2dRcD/7U5lcA+SZcIhHq23JrOUFm8GGV8WhZ8/lUvqQMH49XVMeFdhcrPaeuiHZdO9sNG
5PIF5mSUW8OGlG6H09PUkp8xarMgHq4YrzwMyQAXuqBFlLkYPxqklOiWsNURbAG5HZ17Pi06wiFu
wJ00x0dt0eh7Kp1C3mPtI8KNuNHsVgJ73tvkHe9i4j56qJlj/tx71YASxlqSQ5Y34lyPxGGitxh4
NW4sFFrxPBCo1OLxjafpnkBLi72U2yIJJ4pL0Lz6o5UsqrvEd/QZKXh9FMOsZ+Qz3FpgdrVnqgiq
j7saWebhh9W2oCpJ7ZB7T41j+oNUiJBnbYbQsXHMVs63hMX2b73L3UKIuEPDy5oq8yqtw+qAHlNS
thriAJ2AT1ZQuencO/hpwypBzyNqzAQZgM3pCIDn6qJr7R0iKizOCXgEESyfFQavFz+T6rbMDaiw
xatYMhPoQ9HgKB3OJHY7t7lJd68rAZvURvYR90G3zYTMXqouR8eDWSi7EZ2emHBgathigbXu8QF/
Qo9VoCeAV34taT6erRAJrW9P1xPqq0fHDo0nDKc+RbybbZMCSvVShV0OTTflMUY6J3YxgRl7XWrz
xuOotxvioacqGgaq6rTZ8Xsw/himPnTrU4s2znuolsnexy0+ZYNAeWzh0z2K1WyX6f44W5S3cIER
OLTBEmx07NUPCMbfCOd2j85Uhd860T/4ykEo0Rf4gexg+OxdZBSmaeyEPZ0oTQN0rCDfOE3I4UdM
PbnLjcG40hhiGHIi3KhN8EywQXAJJMGq/7BYDwJ9m6GpuVsMc7rRWcgZW48gCWoUHKrHXjsRFrhD
xpEc0tBRG3MWQFDynBREqzuAielYg4cbPMDwEW1NXgxjwsik+3Wi3CUIY+YkDx7ncQwWsSmCptg1
q+qFz8ZIV6mDodvw1JlTHOGLIcjIC6tvxGaQ/Lt6gMdVVSP7ooVOvEptAGn2z6iVIX4HhSbQtQy3
oF1OoRGiLiZMULX+JwgYZPWEyIXMXmbRrEPwKw4JeLTCycIaK3U2ivZjKpabksx2pJYl3qXZbYmD
8+s7AEAEgiu+2NrU+X5e1UPLqiMyXBRFxLKR3VfXGQgA/PEcHfRmLHKQClXBetd6X5ZVmVSvGqW0
GL6IpiiuXBlDoNdMk2IbT4TUOXOEcoINs0qc5qL4ga0h3Cu5fEkkv7W4iKE4RcU35NvGAqsZS38R
Jl/X8W5kwpu4J94njtJVTwV9nKDMEnAftT6eCveHDNvvzpCV+9KlYJiU81phtYGz3MOqCPhVS4dy
WKL3+tGNDikzfc4Uk0WURg/iLkC9+UMoGuIjL7KvYuAyoAYbq9jcspg2rNrZ9BpoJmbOYBOjxthp
ShRmLVI1N6OXlV8xfQmMaYjORqfy9vnk6whJUL3HWVtdC0vMu0EvTjTZ+mufkqM1IaHfzCHvYSaS
aGeGbfACG2W5L4hp5oKSRAM4yR8Zo8yF5O1P9J7feOyL4WbFLkAtd/lZ29RP2PlOHjmWEaPphON/
Od+7ZBS9+bn3hN+YpMEyuXVEQxI8ocp2pNKcRM8+5kKnWep8Cun2RopDE7LGYOcssSdW+nrCNz3N
6DhXSWHmTdgFk0Z8uLWq3a3me17VeM3dZC2c4xflH33lBl/mojffcAt9y2U83C2mbeS7aUqnYy4H
G8u8N0FtyBWsRVMOE1IqJoViCmkuuS53hFk9tkHoPs4a3V7EqmlQYggpItfpyx99ZwfO+qAmfKe4
qZuNxjZ2kNJyeWRqrFnHrg+XMULC6W053D3JTI+RTyQdOoL8cw8S7GudtOdyTmO6RU1KEmlifwDq
cJ9qkGrfUN+iY1/oiRJ2mI3qJC9S16xIcyKuXa2+masoVl7ksatQNl4ls+ALykNYe/dYCa5izEM+
XADRqKNlLDm3szf5H3HiQwgSvQ88wM1eXdk5N9aYuVv04+XOpe0VyYYQti0n5mrXkAL42NlOl0Wa
S3GrChEwlIkbVN2DHNGtdcFQoW/pERqvkuPE6vJ9vEqR8fSKneR9HYbOMw45JqHq0Ppl9spqVryy
xY2fy1mZT0U+xAwu/OxkujMVb9x655aEmHyTGX1cbDRUx5dEZLm+IiFnjdtlghQaggciNbESyawM
z2IVZKeVsoqNcmoJkSAxwcmi3h5ol7yawTJ+uHKejkHfhFdNng93TpJ2nxrb7Qqev4aQcrv1tkXl
ojKnulpeQkj6Tc7xoZ/RcbPCRpyTSD1YQml7MDqlnnZZzvNwhXiqqnbBKnOfCU/1PifFKoEncYud
NRidkAexQyivO2I/yJB1vFsPLsnb5M8eGZP++FQutba2eAqMm7JW2RtTi3rfxQGo/WpR5QlBPFCY
IE+CjeMwgd70q9rfjFX8AIq3PioiVM9dFT5hsa0pwtrxa736BozUJwl2WJKr7uIsuJgMhmqqnq0U
GTccKHEgsKi4zldfgq6GdEukUBlJYyn7jdtJdz+vfgZgN123dZe4gluRFbspt8brql5GtKN5fYSd
ldwLCE36MfDzrrkjXopo+BCrdOsVNE+hL2UflSSWdPVo/YIlptzMVkpxwWzJeWqGXwjG9KwCNFPH
PExBo8NGhndcKseAbgEGGJ9J3W1tYi83jLDRfRNhZh+H1HNfCU2oxi24Zekfu4Jn8Sugv3hrGnmc
XGfTlLUbbuEu3+FFnek0jqAmCsMnJzZl3HWN+UUeR3y8j6odOAtguDwsLi3wiYzPM/hReeq4J7fj
YGfXMidXIhaj/6Oih/TNrBne4WbE/3pQlXzuCWzM3izLoU2MzfKGJgwRmf2yuFuP9ur3JpDJ0Rtp
rm+sgazKNuv8lyWfzV3msTrvQrLr9r3ol3eTwvpqBmG3KTkfN740Dw2/Fp5/OzxIIp4/p8qpHufZ
cs+LzOZI0LjdEreEvddKKxvNBDo7ZtNUB+1qdSxoUXa0MW8dp622mLKcTz1V5G5QKmSOaOW7hL2O
4hy5vxLdsBtL/2TIeto2HNzJI8vCfVeY4t2lKXYka0QyAUSEz+g1oGnepIcssadt16ykoqzy+Hr7
dP5ahjhlkOTf2SoNPxiV3E28E5xJpoikEPpIEmpLKTUm1wVHWvA0oTMTGeW1exkqd9eCdt/U3JTm
BudCupuJVMMZzDYeK/i2PTU9MQJ+dTSy2EYqzE5Sz15Nf60cetDZhkbaa9v7JiZ/tQ59426wF/0o
5/Q4qqK8UQVhtC6zANLWZqMkuitNv0vpOTdxnGUstG1yjBvM0kXPwj+Sq6hL8gVwkCMjL4aJTWfW
D+lghreTSrA31pl3LLyM7A3aqBuTKNdzZlr3QYBpsu9RWQDQwXTg1zmWBJQPFHZtcFvQJ4xUZRY7
q4xRTJSh/YZLx9/g4IYbVGVphZChf8M6UmCkDQ4OUEKT+Nbpw2R6fwwycznpahVMcfDMkO4O4wbw
7mo+suk++Al+/qV8h46a7lD5pBsQMJ9BfV6lCfzJpcXEXH7u82m930az2SGCwSutbHvnMRvblJAO
z3nWu+8IK4ibIM4koma2zGhNIigB/bPn0S5tr1H419wtvc9UufAj0TnZdZkkxT39B9Pcjg5mtN2E
ZuC2H6i3c3MS23Zt/6igl6ewbUtyHyf0W3lgfp9rjmj5kE9HmOLjdjZagWLcpyMgu29DqoazX2G1
RcTkn5l4bNNUS5BkHpQiYRRnTObTw8LweJ9k7VfOa5Rius6wjy55dSL+cSqiZOr1K/YLDPnTfGPb
VfxCKfWcGW0b+d3gX6WePUetWigcmxSUAWkOG4Jwu209jV9Cq70hLZSIhly81IQiR4AcGHB7UBih
GAav9KSrjd12jKrMYIqwl7jPS1PAX1sKcVXr9Doz6rdB+v1R9+kT0pofNivpftZUR3UisaM3AhYj
+jh7qp2PHh/H1kw6pg5G9aKQ8P2QsjKWfVIHdJDpelB8K5hPm8WrHgM90I5ukhzOoQziL5M5FoC6
pgllUqjnxxYnTMN8JY5pOw3zvHd7R2cU/5XFGUchux/t8JHIOCbs0nYbj48XM/gKunQweBKqnWcW
3VnUlJJLBphAJ/GWr0r6NwgV5B3BlzQJ4GqvtvsiszaewHa1Q5hgQV8mMP0W2E5w4g/8p6IOfohE
PDp5w+IRZOAbkZ+ctcvmCsngW1zIkWQfo0h2EI6w6/lokdxSnZfML3jUrRfyUdFjWRjhRrH2AtdI
Z5KLfIhR3orIG6jy1vmfcKmEk16wJHiqm+Yj050juoUvSbCcGaES25JJ81Qkxk0c9tQ6JWglbCVn
aWEAne3C3/mFV56lS/sPrX9PIjiGHypTEcWktnfJ9ACK7sOELo4qSru7UNUPrYN+n8aMf6odTFG+
MaSEJmsaiEtl3M3CeWXS1l8NsSFRQnlZlJQ2+SOmTHZZU1mAeTicde7Yw+FNTDoXQ7MxC/dDznH4
MBombbgYA0Ta6C9FYtE5G7S99wtgU/lgf41Rqz7NAcIUT+GwirBBzt/d3p+eWPuQIHrED/jIb86k
N94ETEQj1BjOTUmmCX2WLBO7ziyKY+jVN85QMohbbGfcigz5785PLII3czMtzoAVIguQ1b7ItHwn
nrB5c9Gdr+FRy/INF0esIksXxnvDKPPON0vjCKO87/Dw+eoYFHl3zfhaRGQ45OkWJsK5gyO4syut
v1Jn8WglsnrPciu4a2Y7Zs6Rjt+MzPuRdBj7gGwa/bmlDf2wKAe5FLLlOpKZOX8KlDveC5E6y22n
ggYIp181B7qgFaatgXhZ7GLe3moyy996RUZOtchAI2SLlpjrkG05ZmzcWlnnTpHLZnDM4ulZJ+4n
KgT3qSXiCuKIHo48B3rndb3F4Sp4mYmG3wANEU+JWcqoT+27wOrj94qMccR8cRChjxDZtlw5XFcz
4yP7uqxprbYINq+oIQa1T7yuibo888azU7P+bLwBRSFZQLNam0RMDGd6YdQ0lWdtag43lHczwd6R
7zXdSyed9qptEZRB5iTjbDOa9Pi0zOOIKFsLjivpQLczAavPDJItbxu04/I6FmDUeYxjmkY0qGHE
Ixe8sUc5XvurPy9Cp4CpqK0zrD0kLm7ZsJgvwRKkYtKIHy0xoCfrhrUSYpV5qwrP/wKNLeDRHvPh
KInG3bSGInK4DxxcOIlRTpET2OrJHeVA84l0Vw8wGJxCCT3+pQTL++GmOP1QsMaJ2tJT04+6mBQZ
wzxou6Vd/Vt+z8FbCbZoStBKbidb/pgpr6Hgtw/aoKxfGNGdZeENW1eO5J1lcfugkkm85jkVODAI
Fuylc637vm0YcJftFDz2bsd+ylrW3JfYa18NJxvPNiqMcVMtYXDTaWN4hQtr3qLy0gchAyvk8Nrb
Dz3ReY+hEXN86aw4vDKMVHzVxOSdhz6YnsjKoxkKmI2ntKlZVjeVG2AbCnoUWExbGcZBT2PHGme6
ghu7C4kfpsO/Sh+ITS+h4Avt7gdvdvmmq5xJY5fkW1X090vSQ67wtBToMCCimqR5nXOHpbIuUYOV
zPzeYqunUFu8AaoyDabbNAxhDyd51r6O3po3b7DrJo3DZsYtteWwk+3MpM8P0oBUiMK1uupi5Z+m
2Rx2kuCsa2nVoBAL3zKvGzJBPgGGGWBfKJBuKcnhkdc5McvJYDzIopW3rp6DY4X5fddPC2nVPU5z
WxbcJUY3DzdBWdmf6d4abGKzfDap7667pp1JEaP6p53p06Ux0ked5lMUhAlTWGYZUSL76mYcwm/G
ZFk7Fifssqk7bA29WDfhxKMBKibdZa19alIruMfmD05Wu9PZQ1U8b5BOY7Lm1DFSMUb0m7tzDxvn
BsdbcY3G+2sdKDLUYo3ZMNDvia6Y/DrIb2JywclEjSt6ZZ1+wegd4wOx0p0UTJkNbvRDOsk+mjot
yPkFoYwCt9aCRhsRjbaytp5l+pvBbahlzaV7y0oClDgqIDTslAcCx+rH+8Bv6ANbYUnYlrvm2So3
JZyOXHn0J0VT0M+aimtCYLezy/iGHqtFpdGke6sI4JrDr3WLhX9vxsTNK303DzV94Kl4CXvx2U5Y
rF2j3mWOvWzplLyHNWIVSAck3INpBGBbmlvIp81eWIVznB0ggkkOyRn+CTE3bhSOmOExqdxhrLU3
Zd6+EpeW33vJeETfx0S8HQ4TkKEvhmIMIvDb2SaEInOhQlatgaAR7smGRPP3Kszbh3lsH4B7lHpj
NgFbu7UeBNPSuMMDpKN4Vba2TMyvncn4cAx/vLnIPjrW/03GGIxGT+h8HmZ3hFusridJZHpXtv9l
gHz/P42tHW8Vzv37sfWn4T39w9T6lx/4TQR4yWoyUfqZqxUED8g/RYCW8w/TMzGOWWTtogJkNP1b
1IPAtLaS4X7nVrtEO5mmjWlpJX+swsD/YFx9ocL9zrMBeREciYn35TKp9n6mMDbwTqmjgCuFjBUX
Ghmz1HoPCip8qSrHPhUKsz492EReMZbpPyyts4NCM32v27o7dhjUr0ATqft8HMNdlVnqMdXavWeV
7VdDQqkA/5BYPZsjZx18BIR6Phq+VjVHl3AiDeITlRJuseNYIS4jXxOk0RrTbdyFhD1X56bL6TRG
Aqdy8MOWviYHciZfQU2nxB+ReJxizLM5BPSgnZ7kxEV+MuqGNGnppMLZ4YHpliuupUNFUlCUYR+A
VpVIZoRJJRJ4Z86ih8euciqocGV2G1dVShuPhSyaay9+riuBsgjZEV4Rq9mWy2h8ndMqeybsiQIB
RU7+oBqESYou5YJ4a5828fgeWlhcu76K6fJRm0aemdtR2Ey69KG9L76ozznqQNdnXyoY/+zm2Zza
KxKmqppEblbe2zQpJuOkSO/U26IwEv1kaGtc6JUnRb5OWqQr/INAPTjibTCboT3CZY0tQMwVA/RC
PeLozbobiUqu5luoMEhW0+m/Qpb/04pAOY/19N+vCK/vpDfXyfBHcTAS2/XHflsXEAeT1sJwwCUi
iu4qD/9vahbEwb/ohS/i39+WBDLf1qiINVHDc5wLhfJXLBAWV/AyFkFxFoA3x+Jl/oOV4Y/mOLTz
9A6t0GJhQMVyiYn7g4oFFW07Gv3IiHEqqyWqMzU+AM4ZPPgQbf/ldxfmTyylCHN+58S7vBgCaaTO
ZujAhnR/8vslrnJKPx2ch9TQ8q12GvGshyl8KTI665ylTfmGHMV5D6e8O/4/Xto20f5AfsWvsKqj
f6fWyYzCUgMdx4clxONZh5BedpOewcv7o2c92xRAiCPMDlRFHy/47/765f8ovl4/OTohYZkBzEK+
uJ9fXthZUmPfsB9KCBLM/owJdaI5jIs8Z836cgqLzN/4HsUfgU+/vii3isPe4sHR/+ly1xLMXgIe
4AEuuXiuoemfBKqOdo+EPXyRA51NJ4Mfh51kRPkNqHf48CQOjBI0hR21OFMO0k/Ae/SgHuLdssAv
J5iF1gCnb9O6mmRMsz/D4E/+prTQLCpUNvbfuER5Nn66a5Bk4OR2PcHe+S/+zWAO7FH5qXjAPMa9
MpbOSZVjofYBuZzPhPs1V2oNDvjrb2yVb/1zx/zl4gEyRX3GXi745x9vGM9AMqXcznrI4Xg+07HN
2Czq9IeZKw5eFgk+riOtW2a6yIIuXOe/fv1/fTB928KwSj4UW0jw87MCsq5Gaq8s+AVruMb6wND6
AY8ytdbtX7+U9Sc3CrwynqzA5AXdn32/sfaH2jRH68HB8PyIwQxcOqwLnHqxbfcf6OSd98n01qfT
hH4v/ZmHxch9yoGCrv9fv5s/++C26bBaslujnPjprhWO0YStGWNNw2XTRg7Qpeaa07c5Qb0s/s4c
/GcPyYoK4LnkL+wRq0f5dwsDWXMkSNqTeOh6To00MMmEuKShjGs2DmIQh0ZlDy6/zbjLQ1jzt9WE
ATBiCG/MNPGX5srwyJ5IkGckYDVEcD1gddtdEnXSdMJvBEOMp4yDsJrPIRLrcv/Xl+yCk/7pZvUF
3x8yaxcPw885V3mZxGOAkOwhjnNihRYftP/lvlFDJd+6rjIi5Nese5oLeCH9w70gfqfXYXuUl8yd
DJNFCQVkoR9rkYfxccnP+ev3+SeroE9NjATT4c265k9ObIO+wARmxnpwF58LcrnMlgSCbRFI/0wg
wd/d2VTJf3yKPdPlrmbPhQqBXPTnV6yGROSkNvcPM4kMV+5Que+YLta/2ajGRxPeUGd7RCrEWQwV
3JzytN4ARgqfMoCpkuQ9PXzYDaa63GQFMA0egsx2WDjXe+JyidCJs3lZWUqoxOQ3V5csMwMK/on8
+FWGPDZXf30Z+QQ/fyw+Cd8z3jtHgAT4GQK9BEXotzgYHpDZM++Xeum2uW/kd61d0rOr0QfMqPEn
ZsHCxTEQZROssn2IMSMnLZBjR6QVqdMiFyhlqsHfTxf7AOZ0ECm1lTABMGKXkT4yS6QxZjobkPOr
ZNiaftPAz704EpzQT/sthhCejHy1K7AFrM6FVUDlBLJ+gH6WXgV9lV/jomxupxz7HbrMzkT/I0rA
NNovINrq8ptZ9NYWJSMdIwFDTfL+pvRDu432zoNO6202sH+fzdCtoN3aubyHK43dgincmhq5ujBc
H54n2CHfkC9jXRLjY8e+/xSGbYrNMcfotOnE1CIrdxOcDZiydBfh3wy+tgZt4aiu+qE4Lgo9+qYd
R6c7CQIbjFMMcvpaJCPjdDnFZ/DX4ZOeJwsdBHy97sGYUTYT/jHULjIPUSCUSRMp7/2kKhmChU4a
b4Ock1aSjmy7BfeIj4YS7X2DdrYliSXZURqEO98ayKaoyBt6RzBHmVAHrDaUgCzE0xqx1GeaH9N+
T+hGbNNxDUAOMcaz8JVcMzMqRnZmiw6QZAJ6ccPYF2sMfvz2GtMKhplEX9wzMlPBCSVvekuQ1/AN
K7mH4g8PK3wqIKOhXSW3nXBAH4c08lpEtLNpLp+tPsjOAjnANqAO+IqFp6En3fYHwJPxnqNU86UK
e/dzYxsuuSsy/eBGUd+TMc6HzYJdf2uOfD34z4f6AMHQ3VaWP0XcWBcfdFwrhYAN7OomaIYPp2Uq
pzhpyWfDJUH8aqqDvnDOdV2G1bM/YQgJuQFK3fjbyq+IL9wMWBjWFrVDqIHgn+iEhEsr2ckMK91k
GrEirNjCCuVnI508m7db5PRfdKurYE9iH8UP7L1H1Dhc6dqYmiszASrBam847y0mBsxOJYdnRoZx
+YlEJL4xHQ9sCjhnCW3y10AZWlLZIdPclTiMSGzdOzUcl4j5JyD2rueb9TATA6TLGyMyzS7YzuHM
7VUnDCT7YmLJzhyUR34AD2rRhHjF7gzVOjOpV4H1sRpVBJBdIgRnqBkfPQFEJ2+1tBgO65DvVBzS
O1KgNi1PaACz0+bX69blzXHiIPMNYsPL6JEqUeiquSrqQjy35qoYQZQVXg/DxPrMcoburHRCUMuW
NfBvkmW1Vk8ZhY9AOwjbyac/tw9cLk4n2Kk34K/4P7rUym/pULPEILsKrpNL8pjfqMdffTkXm/K6
RlLDBdcxzvQrP287RtNB/9GG66UMO8d67vtxpSKv77Zipp4zegQp31B2ClDdmb4HA8wfi5LB3F3N
FP+YJOTf4dCDUudQGWoxW89IqsIdOF39OGYcN+wyF895DNYFat1K5lirRy249hawBjD1PL85Ht2p
/0C0rh7z9U+0OBljJGDAMJ5PxMutQDuaLv2HXIN02jBp32CxUf2qrNePl0JhKVridC4BFEJR3+d9
yVfb8maUCPIPMqR9PEqwRE4NaZG3gLdQhzSxedsjMG6uuY347sT6buumZePpm+4IVVo9mrlJEd5A
qN65ViHfUFyzm+tCkOkXi5AqvV+gzk2Nh4COtA3eOcp4KiicMFpdt0bHEP5S4DA/DYnSzoePXw4/
lzgKneN12hKP4yDQQ+uIGxCuvnMzuzq4ThFWQzXHfXRg2+ENwiLIl01g1HO+owkffy2NlBevL4+Q
BVlD7Sd6JpRB7DxYz+aHwJkJugt7viMJDBA5cf8Roh/vdrXjsrY161EF3Dieew38j2WA0D++6du6
t/0TH6e5QsjmPaJFQz5ppCXvFtlsd5xndlz07tTlGCNuTcRnqCGdNWYJBaECOwcq4EbO8Pbo0sec
AS0P3xJM6SWwd7T1eDNQu4EhosPg71YQItLP/Oe8gPmxG1qTFKdLqBSiCfcd9iHXVDGn4AiwLgJF
aatHnWE9jMoiw/qnCRdrQ54w6a0vX81DEOXrU1+is33LGSdehQnfKuV+eySwgG8VqjYmOjZyrsNM
CRqusYPE16h7pRPvHZkaz6tZotMSGfL0bUJI13XX9byTy53oqNxCapOxBLgWNfrOQuQMZzBpk/4+
BBE+n4Jm/YLy1mFpEk3cHqvOCl8yBGbMvDiO9jtGKGvOVICmeSPmpHoiqM99t/PcehZGwBmATjZb
kwqs5xkyH757wVhjwzpPBiA6YPnmJZLqvbVmQhzXT8hORI3c4/CAqwBZ4HLgXQhDe1uAFT/DtEWk
wNJtbmaOtM9wPqxn5nt8LcNapS2YfomMWcNSLtumXkzuKFkaePqClM++uDK8rgUsEry8MD3WVLDL
VevkpEJQGBZkdKAyPPQen6LIYuddooGyozoFOVQWNY8V4Q+AO+3F3qP6tADT9QnLEcS6jHnIGtGS
9h2s2pRbfuQGj+mCZjERsjNWUND+LgICNxxL91F1oHZR7qyRU0Znuu8Y91lZ+L/Dl1qZHFvL0SHI
scFxQXL4XOLV8PhpyDqifbJMMXOLQPdEOrneV1l+WfuUyI1Dk1gs8pQiyXokZ3aNy7PinrhcgF/W
ovXgPuWCdWFdWKE0suNc7l3mjGxrapDdUfmZ/gqjK3643J8OSo5DTiPgMNWtU9z4Y8AtEphjdyRr
cDqnie6gX1xuCBR7wQ/pI3yKqo5MNCPHuVhe4kmJBHm+3BWeKngo0BgTg0bO5MFqa7J+3bXbUPQr
sh5upAVr2oUAFemlMCK/FTQhOnfNYsvWD2TMFXcfA+oy6pyZ/6YphDrwvcK6tRw+Arec9QxwpoEH
WiY8WX7cssP4JLvtG8lNQ/AQq72dWXfAjDCapsxKNyaY0DEacDyh9uP5cooBMGYT+1xstArr9k0E
d8IAf+axWTcgPDqJrbHLTgOLQpN0U7xvjYDIuvqSHJePA4+Z3WpeF/+KevwlfVNyVHsJ1/i6xGXa
hONjYsY4C/DbW1rKCtUYtdDyNEGgV8dhnOr0zupzUgnq1b+IqJ134QYD1wNrEHe7acVL9zy4I0VI
YhThiznLNYsRVdOeR2W+d5CJPI2Bqu5AAHxLjZh8PXQbR3D8SOPX+KG5SPIfCYrojS9azMA4fYpo
amweYMX2SJgnO5LOEN0MtDxDKhTtvRS55jpnki+0cfGQAf/O7b1Zg/bfJG0zIOBS1SmTMr+xnd6y
InbN6sTJXh1rpls6KqWsUaJDhQpVSb3gCcViSJG5RisINNJK9YN5btfF/4zKkUYkxA5qqpFA960o
6/JkNIIuDF028ppKQnCekpxZM5Zkyd/b0OIi2e6i7ukAzlgKZhacbl3824kap1pLujYN1GORkMMH
QsWIxnWkcTkoF0SvXc12yKMapi2MJZOss/t48Wk2IWInJzGeeafqspnEKes23f+mwFO0BmcVoSRw
dt3DLQSaL3EQcwddDoaJCaf7XMJIWsnlrGmNp/wYtq/qjrhZSPsKE+e02ttvE+WGxMkN/YdYcK6h
qSXHgNvJ3teeYP9ELcHdWiWsVguq6ueJV44u62aYFyyOIRvm7jKpEeVab8o4DK6rDiEpOBvaV7Ny
5FuBpH3TDKx7XcsjNJBseMhiZGWE8e291Xu3WRbUsxFnu/QomMF+dybP7LEfjDxxg4Fuzi3a8Nr4
pcJoSTEz2JkrhE7OyfcX0z9xYFPDsed8g1x47A5gZ8Y9vkFcH3ASIVAVi/WMs4mWnRuyKtHn4ZL4
OWHHOBIFJ4nKY2PxJu09p3SsEcv79kkiDrztlmRdDi4ls2tWP7xEKHw4dWXuQU35wc7Tg9jzyulz
2o3qE1zv5TpF/vUJeXex7XlCWJ057Sx7NsRVROVViDa1I4377mI8J5EbE7rd2eooEtf4Nkrb/cjD
cfmO4G/CaKf6l1nMpDRTV4HYlr15ba2O9nL1tq82UZKBL5b3tq3zdkcUSHt2bZXdZqsxPsm97LWS
Q/LkUeOraKxK5j2rkV4Hrr4NbRl/Sg1gMA2UezTKF889ajr898vFi1+ayWyt4nvsRF04/Rqs/V/0
y9+gX2zv0kD5iwlP1n9rIA/9gf7y60/9OuAJvH9c2sQMfRHAXNzFvw14QvEPbmggL6GDmWLNePjn
4Nf/hxnYVA5gFx3h0xv7X7uyI3Ay2z79DM8R69jA+U+mPD833lZKn2szULL5bda/jH8ZTKQFRi7v
l2Kzq4B4uhZz3UUDZI+GjqPPX7eo/uwF6doz51n7bp71U1e14FNLISv3ynZFsMWumB2WtXvtlUF7
TIhw/5sW9s99vvUDwsjhejFewRL+U2cxzP+HvfNorhtJ1/Rfmbh7VMADORF3Mcfx0EsUxZa0QVCk
BG8zkTC/fp4k1XNFqoacmvXddDWLrAOctJ95TbhKQbvsPGqz8L4wqcVTsCoD/Z4c5+vaG49iqmkJ
0JBAs+e1nTtmQlk6lo5/XpocHDYzAnxq5WgK3ZRTFdjdXVQWnFcmUXt7VP/mW7KSaCGCL6CN9tpV
cOpLZMmswT+XLmVpzNxMGR5Tt11N+PyeOKfzuivAF2UFwgdB5ohyzusi49xWso7m3EeHn2YeKSAR
CTwGm2BYq4jboqEMl53VXN7xdhlIkjkDjQUtrkKUNdzmvVr9n18fL8U4DCnkorAJ+f5lqb7AQWOk
0u2fx5PP10Ub0lRkS/7n/+9ZYDJovLKEWTivFhSa4vjxLouPDghu0qOPA2+k6vnmyYX+7Vk1e+H3
4r0QIXV7I0sc2Syt152enGic62f0z3WS/QQ7KvYkMP+0q/L0EBq8T//klHq1ISls+5FyK/8cnyhc
KGNNMhOHOL87xN7vdTsdMzqvv5KHBDN9O9O7ft1QihPP0avleOeFmxNcPzVQgN8SfVeD7L7GPXbK
friwSU3DackUfHiNPMvbA/s3Kzi0fY4922xVE2S8XDCJ67hJEpb++Rwr98xD4MeCKk1o1FmSFUri
U+/L0h3wH1hHOplPmzcwHVBOkPc60H+3en3fE8CzmGl64C9fpqxEONcwD88l+pQ3T3HqBI31nExG
7N/+4n/3KGxPYzpoXC1/9NnxdCDFjnrvPA8YXiFStixKXRz1ccjsv/2wl0c9xzd8VnqHwudmofP0
evl2kOqrvu+sM+CDZAgWLkFfG49C1zpRqNTgbON3OoTOyyPYPBIeQGRzBbN1jKzZy6HsyhVFYScS
Zza89xPQtgT6cpDgYBDhuckl0J79UzaQxdTOkFmiGkr34DyyGsJ5NJ/642pgTU8nyHOpZ1mppmyS
zEJQJjdlmbcHKXhCWP3XlgDxEUacpixEIB0eILNX0w/Op/Dn2vPPZGXXgAMhvbd5aB1SR5YjxKZ6
oadIsjC0UJmLbgn3Dh/2caC4gi1LYeQpMJJgIpMgVY8rotaPs1uydJ+zWpceRrYjMqQKEzikeRsn
pQ74lPRUCLvBS+Q/G0wlLVr473CQcb3TyS36r8p0reLU986GggHc4K2yfEDkg1oiMiziDma5hWSs
SHrn6OAxhOlYlKFjWYsMfkg1QFTClCP3EFpqep5hClT4xlCb7Y1ECFIRoM0pJDlX0NtZIZ1PCkXN
Xq0nFiF3ePbUm5MqranDD06TnZWI5D7SReq/Rl2D5kjt5MuNExO1WK6yqPXgnpt/cxbBlEWrF0Kd
nagP3WGNwdpTZXhf5i6r3S/c4H5xBAVyB4oZmsoUbmvKpA/dmrhH3Uf9zRDiGh1MpL0YtvgYwUkB
aWhCP6zePlUfLY9Eh5oGPb+EMoU3+5h10y68WzAnOHlqkD+1jp8yVKQwGR+BbeaNlOl656Li/NgJ
n3l6Ats58yAfyzp1jUiyEvtVJg7mKMsg7sYOViVdt8U7FUnDp9Qm7UbXnTrbaMq9T7ccrJj4ADK5
8jagdIcCcfYZaPsSwZRBMSrE6AFn4zU6gy9pKjNUHZ+K73bhkv3STZv3lW1RNnwqkPY5cgK7EhTi
fQRJgCpmAa2YgkC8wMi2E5zkn1JJi/oWbHNf0yJ2ZwMA8YLIGI/gqPMYtrB1WcHpgpLfGjtXmUXj
a7cENSUZCvpULqLF575B8JWE2Wk81rIm5YOfnfCxsUJwfbao13SOcTdUKgLcsVTcyxt6auT3nYdG
6RpVCIY6OS1c3fbBfUg3DchOMwg8dRZn+JR6q3tc4U1GOzcN/W+N1s1tDH3hEsx7tevhqjnomVHX
OyCrPZzlVQu4EEdEPqWaZ1CAK5QrWyYh1bk1nzZ2SF9sg0jUchUjkw99IYNnUZdCYMEhKfTT9tgi
+77clojP71G46zBatEHto0ZYwliyZfORkhFsgCIZawoGg/oZ+ytGa240XokwgKu3zAVoxbHkZNqu
pqo72R3geQXg4wtKzoM8yGAJH0ASQqtFXf+CVueQHgyQY0KUpct3DsqsyAaN7ZUoNPT+ZpXZt9R0
4CJ8ty8RGQpP6EMk5+jERf1JLKfwa0eFDcV6BAOAYrZnno9tGIgvf/3WVH25R2lo3UKnZBpjoD5b
pGibb0VXRAqWGC3f0h6iExOMyk000/PcGYjBvicG3GiCl0Mdu8ocTHQBoGzejJT8ToGzdKfFkMnD
EozLDwgmExJJufVxEW39JS81WmVLAy+rwdCp6JFbgetzHylk6WIK3bsEWbztqAfnUHctHxRb1J9p
WMKxSFBALgdIZTvj+t2qLVUKrM83A+CetDUz300XRLrxEd8+7NGaXCNSDSGSRmElEpxr0oyieCcp
y8tst7YLshh1O36GVgERRTfyMAYlAgSZ/VBBsf4iqtzd5MLBNdaCpjlWvIdAFO0jt9KK+hHH+0Xo
99OmS21mNAKFcEH9ofkA5Kv7ALyORW2h+qnun9oGlluwJaRp7ezbTiFJEs6mjOR6MzV0Tlv1mA42
B1K7CryQ7JUlays6WUM0gjmJxzmw98bOjoIqDnX0kGnFrVta/y2UCBpmTxWvaKmGo5KC+zgeAwjd
0Fhb3D4r82nO3KGs9ITDAylBYGbAvtZMHiURd6ihoVO40Z3P1h+zAEWq2QcX9tR86jqW7baNNH2T
klrdV7ftU+K5DDs8B2ne1qjey67+FhRYKP9cOu2b1qJK9lWk5L4p/OkHmBQ8aIPSCv5FPx9Fj0zI
I1LdCIU2c5qPm8opsu9Sq/uCsuo+8PMU96uF4+MLBJbR+pSvWKsdYzeLrzTVsm0IJWWfTVOP5FO4
Hpa46T6DZIDWJSJ/+qyDob6hRfHTrZCLQeLrulQuhSuULiuki4dx74+d+5iqLH1c83z6lI4RM8eO
xwmKuqygFRFBXdJZXi6bvpLRGeJ2st3NE0SUrQw5x7flKNPpiNyhfe737XLZS+XdhOuco2xZo7ay
CZkFFOioJ9xZjZ6b/ewoKLzD4F+v4HOuexjSN3Ue91vMuOQDjIAKIYPV+96KUJ+rsEMTJUjcHImm
2Mu3ZQZ6YhrXSWyQzee4EEkA9zH2z4ArfE/guHyaVFqCoxvtyyFPg2/lFJbpdqgywV1p5C+pYacI
iS355TAH3pklJiRRM53Ke5hx3XkdAVNo8gDRk9C2wF3gcTdAjF3yg0UwC13FcV3crjDSmZEUabzb
EAL7UTfeinJEhj3aMq4fFb5ZG6HT6etYqX7c21L6+dmcz3OwjVswNps4QVTmKpwpcJ+IbJRopzTW
RRGt7WeAzggYWOWI7JFrRXZJXTSeriZu+J+O7uXl2HX6ZOYiPG8KWcN4FllC1d4hvcg43E4Q1HFy
WsodzdZUR/pj6uoJdcMiQV9ZcuR9LWflbYxH8AUeuxyjaIIIte3Rtp12LkooybZqWvdSRQuaViCo
nHgfV5HPgeigNOWGY3IQVg+FtaO+6/s9hKUqXI9yjPIbCR//8+gs8i6uFn+vZ8D4kFLoimDAAieP
sje6WkWEsv0UQT1M1gzapeIeUjYOJYmF5/LOZ6g+6JU8pakoYW+DNsmvwYfNn+1hsi6DXCEqn3u9
d4hx6Yw2IEGDAwokAdIlbi7kycja/Yk25/yvLvbUwxQk0eMUIqd4sGn0yi3NL7ouRVtFA6a61O2R
X+zz3ZCBZjpGqvsZZOgkyAJYwWbNpTrzMEVr6S43yLnNOZbnPhC0LVq0w7VV0Rd27TBRyCgQs6fr
gqgM4B2jaDf6Kj4vRxRv0M/TXzL61cBq0rW4pi4c2Zuka6rrBmaQ2mDDYgEc9pi1igISnP1uqubx
bkZADIr5U7z+37XQd2qhBlf2W2bzhwXu/6ruv9+/dMB9/k/+XQf1/zK1Sgd4N/F4CKz8/wDd4/gv
n4oAFSV0yEAkm6LAL7S7h2uTHQGVBX/qhyRKQIB/od09+y+XsiW1qBDwvO2Jf4R2f1lqCXwDNvHM
W9iu5xIivSoIFE7n+tLzraOwLMiEdLfW44hJ4+1vY/LhOav7H7DEP7R5o+R//sfL/Pv5MSbbA1uP
Z9MfdYfVkQiHrdrCzxQMC7aly84b7fi6nrRVP6/Uh/l/pj/av3nWq/TbfCXhIMzluwACQ6otL3Nh
5gJ1Ne0lx8VpxTUtCH0Zwh44QwySgDpEaeGdB4JW5yN/T2WpteLLRWGXqpVDHm4Kh79BZiFjBr0T
DckxX4YE4XxagBctVFkOAAv0GsRFwG4U8jz3YI+p9iC1V8VyQp8W6cI+SMdtoDV62GgxATA3rS3R
zgT+ixhQE5rz4aIXUpzAQRYnONvk9IQWFx/FuTkjP6w/VtRSwKgP6jMY2+ZM6KE7WEkNpWdR+RXk
vQD/ToTET5bepi+ZymXfc1F9ROJ4/SHoL99lpT/cIfp/aY9LTnxWIdzYVXjGu155SaEjjLdZ4Y0f
XTnWP1dvba9Xbyo+u4DjIPIm1SHos8bkIno7ts10tNuEMHPt3ZNYc7cN/TLtnWzGQFF58hxcX3s1
dPEEOqr07u0qtY5VOPVoDlnTsYcphHPhLBLELi23fZDgKy7CtZ4/AgDKMOXrJ/ijQ+wfbOlCoSy5
lfFNzIZI9hvYy+kkvwr6Eou8QOa6OEQNkSbupqzzLces3QH5qpvv4wD6DBxB/K9ClO6NSG2BBIQt
xWOBUgUql2KImo2R3EKpqchpOtKuBi4We9n3MquwOswbv7q2Kw28EN/e9iIacVlcxma6i5e1Qic+
H3aui/8h5oOp3Ph5EVznnnPDjWAjb0J/OcOfZi8de/haR60+tLOtDrEOuWNn+POPg6Fk4UT9sBi1
z5QC13kq4hGO5Bpk9V4yOHjgVJc9VJV/odhqffSafL2wMeYgfEYy6TRstG3hMVigxGihs+qjXIKk
lO0f9dTIvbfk5QWVkPERJIr6XjoUVvZriqrN3lK5OGMI5C5LwodeVdvJmYYrMEsgfKLq0cZJHk0H
/zzBnnADOvCzAMfAIu0wCob9jU1xPW/xQsQ70/XtLcI5GMZ36rygYO+BuUAlm8p2cU8JGP9lK/rm
JWhtZ7QS9zPyMDfJVLkX6DR/COZpQngxjnyWNrtnhhN7SUfY3VPc+THXkXUIBktdlm6zfldzu2yZ
2eB7N5fldS4ad1euSt30KFJuGxXf9L3I92OwfrHGwbtycdbeg7CVVzCD1z3h3fSpacSIfKfQ6Cb5
Hxv0mCJSKveYl/FErK4I5ZcH1LwQeUj0OLa7EPYFknVLjCcO/PNC78q0LoN96I4LEvVVT+cVTMsy
n1aCsgAyXWlPJSixLEoi6JoDmzUccTnRcbbafgcyQha3/lDEKbUMp5hjPd1Gi0IZx0E3zfh1DChi
JGWOzghoMBAacdOcIKsSRl9m9BRi+r6lG5wSCQIEpnS1xAjFybz3If+pkAYx8ug3ugz4S6/LdXpF
SQxNkbYemulDGlpp7G26sJfZuSDEasE+JlPw1e2ykV6r3SQWSj3DLNy7YpxwQ+1nzshHJPKZqAxZ
UeusXLp0HD6VddLgPULJqfyKDUv5SWhQbORuHMNtHeFIZavqLkL/dtgmnotu3TSG3lkw6xZoyKqn
cRNYmTgJACadTW7SX2DkHBzdGjrKZkY8dwHMQA7oZoigbCSoQfrYmFV/WpZxeghdJIeQTGi6g18a
VCG0TEpvfkOf2dBmaFg3Z/kMcFEhaomVe48K8MaKQUL0vkntIh05B4caMfZ9ebMHUqW2jbSRMbKW
rGYGEvFtHvh/vbKaTyv1G2TFGmtElwBz14+z53c//BB4PC8CQbI0CWa3iHrdjWFaZfthmdrT2K7E
dRXk4X1FBwdxh0o7h0RGNUhqMMzbMq55N5D2/C6wVP3TjYfqzkMU8kNV0ujbIVnefkrrjIqeJIwg
YG7LELEcWO7/HQX+v3AeIc9Snv6/N8SJAmVJR/iZUn36+J//8fxf/AoCHVf8BRIH4YA4gslD6/Df
QSDiH3/RLnBQ9g5chOZ+c0KJnL/gTfDnsB0CuD+mqP8rBgz4VUArOQbwQicOWvU/6YV7r/qavA4I
MWQv6GryPePXXGgMMJa6Hm3/R2avXfGTuyTxbLQAXKtXO6UKd7mDUJOrg1y8ilxeLkHwMCdV11wg
at327qGzfABBZR9b3JWNSOwkQ5+rxJFusHHB4ED2u3ANN3mCEIeFRqXufb31qnFBSRYsn3SvMdzs
SK5Sm6z8M8w7EKoVlzMUJJ+yNm7S60iz8MSTKD1xO3KVimGLyiAOYIdGFxJhUvSV8Dh6r7fyqnVH
ewIfRgf0Po1mrtDXo4MMnQNoZw1+dHLSoHLqNMrwXeMOIzQSaSB45OzkTf2zD4d8ufUNmXDYupyU
fJ/GmdL5829r628iXPePV4oi4cDjwZOSppZ43faOKF3XrRzSR6eyg/ISWeW0PFv9kRrhSWaF+QTl
OcqBnIPZ7uIR/skMywL9nq4t71sUHXvipJHSzRmXubSz/ZqkKwp71cxU7BX9DSJC/AWteR8C2Q6v
VizV+bOazCDo8XwjcxfvRNEvMxGf5pVZg0A7IfijWC/clzF0kpWUgaiW/bAnOAmfgia32pu6Str1
w9uj94rHyIM8L4BITNAPm5DnvXwQmla9WCknPnrMtuPtO2ClPi48Njt89qLCv55kG5DHL2FQWWrb
OWmkb7hpm/fcRV+mDeYrQ4p2DROL5h2dOzMkv6UNDj4htpiL8FGjtRxeBcjYKiR1agsS4BnxGCKF
/3SQacPRBIVF6NjUe1838S0HO2lqGN5DNeIYiIbJ0lka+d14TZbpnWe9zMPMt+Pg8h1BeunGpGKv
JhRxpars8sB9nJ0UWd4fLmF9hr5aN7LuUhoWDHG1hEY+4e0J/mMlGcwAPDe0JWCJ0v55Oazg8OUA
ClA+zDbOtTi2RFWsbxJ0Khndtx/1KvMzXxIWO3CkEAABh/frHnbRtk45abd+lOho1tERFb3mc4Uj
em8sjZAx6q5nsSZ2fdHmGCnZ+0Bn5XpXyKjrvE1dcSACr0Q/VXwsihA8FArEjVtdlPCo4uU4Tr5f
v9d3/2NicHsOBEVUZsf+E/vkiBLZdtduHqDyDbwFzO+y+KmdxYKn1NYh0jQJQvkqeW+w/pwYuj50
esHqGO7362MrsYyd8BBY39cAyDHg0ijIqa1FcZcN9tbxUICq0B/zy+ge1inIdjR2hkFgVwRRUt/m
9Tqh9gJqdVXfUwQtxcEDDbqcB8CLoQi8PbXsC9bJf2X1FEWcMAqetgkq2H9SJYN06oZ6HNrvWZwD
CdqgBKTWDxJBORbVuhDHa4ziaT1eWV6Ss5tk4/tcBk2IGimROu40ywMLsC5+higj8glA7Mt1wr7W
x3P3+QDGs4fTJZgxpfwiU0HPZKvrqGSlalovzE4zqJBruAFAwoxAUzBHtIV6FA90l7mKPyZZp+av
62JCiA06hkg471wcEDnkoWiGfXFw/R4dpk2fTbkpgfhF/SOc0BBxNh66iOsHtr8IvjRAn9e7AX0l
3hEasGiwxmlG5wsAma5AYCucq/VuxadQ3+qhD/WNLPg3ExZRBSfIJgN4zpy5GUIJ/YZKKJ2AbeF1
FhudfBQAOj3RokCsEfpi2AQbORUufxkiZsKf5Lhj1uFJoOdMfVSIt3GZLT2aeGorByyNsBJNBY+2
UKTjz6k/mKchDtKFV2CV8/5rH+eBPiY0ZfPLygeNfTI5uISeZ721jGfjPOJStZ3jxJx8OXTu5TzW
SJiWqB4rc2f2MS214djFFEfQbUJsGD28X18gKNBomjb484iw2NlIxTGggd2w/OScmkOsqiPbqvc9
7VL+AcB1qYut7BC8+/dn9F0PhMDDVDXPtiy5Fn03nCUDxmDEfotHzx3IgrPFa/lO6fOo+rQaGTnj
TMYfTJNCg6+phtGqtk4mzBM9KyJqW3CEZFi6JaKzsuOgN8ulFYpbyyvxXpT7IgmL+qZBeyqKDgXu
MyyXLihc9pRuBF2wXepCs8JEeUZ+7if9VCeJDipVgBfPLH/Ol4e+xmWow5aIbnW1DTgYneRTXIEO
LHYrDIlqOkVsX4NjxvLOxG6FM3v8bkFwy3yJQsDavOy9RDfpvrUGM++RqzkF9sMKgwlZagBKvMkA
rY2fyEJ7T58JqX0+pcUYja0A1j7mJytVMC5gsLaKV0Lk3zxoGgvzLr7IqKtuMdJhCy6gq1gp3hqG
VD2oUPJ6BU0kE7cl2sZoWUKHD77ko88PW+EtEa9V+NhwVdteYzv7c5ynkeFcEebikypCQP9YKAQI
owNCqWaJmtBa33Zxw//S/6jYwFEBZeiK0BFc+t6fcvb5MiyrOTwySIL3Re8NZktjJs+HYojnMBOB
JG6ka9k5nr6NqDAwCnQGOrkc9WzTYLjU4AD4wH6QIGG21JVGs6oRcBzUrivF6gTHOUanHgK0fSuy
IBd65wAgMidTVmXFeqBTdQD3nXbeQZVL6tv4yKzAHlJtd+uHYFlmln8sqVojWIx2+NIQKIB5vAqD
QJc4AJOy9/gbJoWXX7cOHB6JCthoZphG8oKVisteRsEnl2AjaaMPvWrldq7w3J3OSzJb3hHwG3PT
+zHciPtGOkCWqGgWS9p+AoWU+Dgto+c9x9SIch/9cg5ijps9jZxiAZHf4XeAAh9x+6w3MFtVdky8
YgxSuAYlx2z4sE6gETJz2C58Z1GA9iJ/HrI5y5AibrPRiZAuoq7K4sEAwaxEFAf77lAuiVmX9jhL
1lDi5X2ZnqN1t/K73tXjAIc98DgqZQ/9FqxpyXw0mxkezdhfASZwOXILhLqZpQa+OndBu9QTn4WM
gzkFaZ0LVq6dI2CvD7bqJv6SFKbnd2pIzLlU2vgJfoR3YyLCjHY8x1PnzyHjpzKL00EziuwFx1WS
BaUxIYPYyOz3S3AeQ4vzj3ElV148m62RR/sOLW+qwhSfuOuXLuKWr2nwsfNivzKXrFJjz3Kcadu2
kI/iYeF8WOLM8q9nexngbHBEBf6x69HGyPaQ1qG9r9iS8Xyj27c8YANONvIrD+HUN4Mztb3XihPU
pGO4mWlWTJ51Ohbrirx0jNvQrk+mJkGqDnH4T7CV+PKIF1ec9kaMhjeOCjQKqYzWWcTGLlCBYvHE
OWJWkJmflzWe3uZ30Is9Fu6KKBxvHrbGlHArrZhLy7FYld7eiwYxTPDpq9Rmf1ppzs7FSiqIEPPM
ICNfucjSFPSJS4A8IKmcJfwGjbMaPtn1XN0K1xWIbw4DMKGzsOk0zJ1Wj90DWli9Ba+sRlAV/eoI
48Cmy/tvlF3ptZdR01aPflGtw01tZFHvp9WpputVoLS3QZQafBjMiqlDShzmGPTsHrNFeCLThIHf
1dCjFIYBS23XzgUsSPr4Say0s+2Zo4FDfo77teAW1oOP6xBC4CakX4dpgR8IxsEVGwC1i/oqXGf0
P4UVnPB0C9mxNC5Glbsk7aaDbu0krNMkVacq4yarttFaTeu6E3m12higuitVMSpuybgJVXkJ/d3p
DlpEKe0MArT1NkVyseXiCxVazZTf4o3nK9fZLpjPYDgRpkqKHaAw47wVRS7+m0GVHiPXU7u+taf1
PMEYzz5xJidzD0k3O2BfsDddUbxNvMD60NE38j+Pskfk/MRGEa3r96K15/l2VjOeKRZoIOvGt3y5
3ikYOFj6DWE4fF4jwOCIIKswGroTZGIhbW9sDYN3hx5ZVZ4kuYJStKKCicuPKFvPzbbRsEpsmZy6
iJvHDKU3Pe+QFF16+iWBNyKGHXVtBCBFBgr746Tpg3g3lnZQhScJkkbhFeR2qyxPdNgR1mY/srgB
3+Zs27gc3XbnBLh1hHswb55llAX4MsWHX9G3vVRJ6NzAMm1BkExYg3AtdbVXd8FnRCy7zt91yTQk
sJdtFNHK46KjgGgssSc2zID/Ousfggz13hO4O9pcK4KDhM3dxyZ8HLjA2Q6ZH5oTrg5sE2GiqJM4
yaFYqinFfcWT3RSfr31qEZIGWY9jyiU9h4JbBgxa6q4nQOz4TIBArYn+oPCYzCHCe4y3XZCwoyc1
9nUefsF51NhYOx1cHnGSWopaQzf2AcdkICWRfVxS3HRPfDcgCp5sYjdri3p1x1lWxLm5NBJrStAn
9WrYQXvtNOHqHYXvVoREDX1NzpR6rG2+KHEJlGb8HOrBHIh15XJHT/RACU1QMVEMUNdE5uYEhjfz
pkOaRTx7jNaoXT9pPwA3um3RROHDbPxK2UsyaAfeX4rCnJOlH+Hyi1KII3ijJumkM9yLQZh4VSSa
08ZV4xB+B2rTtDD7iqi5SNtCcy2qDuVT76zpIhOyZEKZMUJHLVTOT0TH0KLZTZWjR8C7gAJth3YJ
fnEoc9iwQOtLzvDFhEhP5Z4QhT1uqV83GDwDxrFsbVOxCMVk3t7xEouBBHNRiPZkybG8+FmhGEXg
GnOv8AajtLCGOf57JNaeLbQZO28lIkXaiU9saRbgVFE6zRLDCkfClyHLgZeTs9RzEnxBooba0/M0
cmE6zh3p36hu4z6B1XvwANEwRyPwJtRnG3T9sMNZ4Uwk4qsuQRKWx6wL03o6hTcT6lvkAU0Ui62t
KT4Nw6jz7LSzGxNU2IpO5QRfFL9WBVa/Z7HU1OuceZtP4O/UDtVtopTUTUw0r/EbHYIj6tpSxx+Q
kXbb/CIEQ8H7YMVg9oHnDTZfVZcEmbeV9M0W6eveFLygq/EHifZNoObgxvkl72nTNRuaVDltzd6N
QGPt0ufbNdM65dJEcZtAdet5HVFg6A0m3lShWY9JVRRE1jYjUPxM1qjhB/69+WuikmH9MFVxxHXp
4ALDHZZlKNNTUA3pIRPMe5152+ftUSq6X7fVOLVM6iA5+OoLb/Z0+k3HU0rrGAw80BlaGayFaptj
1sQ+8wffrN2qcUVzWU9OqtUurWTsoHKsEMMgqJ3ahbkdLV3zrGYd+Ap2p+kNF9IxobVAPEHfAFjJ
h3s9AG/GEq4cO0xJyC1978KfHFViCxu4rDOIhCYJBJtGxgaWzkyI9AXhJYkn86yWYF3OPbQ6lnPg
D8sMQsn1+vJeZ87MoCTPkY9MbU2sIdt44NvmM4Z+y/5XRhyvjSAwmNMUZcs9njseP6XkLMMewRRr
fvD0iKOfbWnb3qL2kZGO6GxIpXWE5+GNt9gleKO1tSaH8afHZJJupIVMFAYX2ST5kRhMIJ+CpNO3
iUxSZk1h9Eq4PsfWCup1wCmPGEUELX08ghDOgNXpyXlPe/BUkzT5A8spDHg8pb1kNUdlx5kcHrso
mGnoNdHM0j8CHqGnuJS4cD08b71GVya0qqwaSidSJbCP+p3SWpqF0UymfgTUcjFLMrLjqbm2/Rl1
UQZkNRl3ICzFQE5OZLY42XLaXYa0a40A01SkJwnmXeNHCLirPAUv6VT457jkFFxseHulJIEKJ4AD
iNuWjxG+Gjirir4xkajbuJzi4IOfskYY9EAtT3uwthxSBPxjuJVUrtxqL1JtssDnxKJKVvPS7TpP
C65IfbjQr1LxSsbr67hgoZMk0dHfTlnTMKW5M5pXHxEJS+s9Wp+JUntrRlv/MuoojvCHaLevH0Dv
mwNLMY0W0uClzPNmE1q5XOkMZF5T3nstnkRivzyfHAIzTcawdkqzKt+uGv1NzQjIDpQ7GjoRQoOv
ist4VwO7F9X0fU6UyTONb1MW7Cx/6Sscy8eB7/vOI19X1ShToecVIOoF/jsmcHpZ7sQQu4ltRfM+
CCfTvXleGlWMqct73+7PRxmsEoZzpmFkkDwvH+Wi4rRqqhPfwTOa86kNfQ9BoJnDmrPr7ZF8qga+
LL8Zsp0H8huS5p9dKWk76AoBD/k+ezXiUOdjVrusxED5Gdswg7PJXbiGLYfGiEoK0I9RV32Mw5FC
Zf+KKoTpbAhSXnP2PJ/Mv3ofzZCaFAHjWMmdANZg4qe3X/+PofIoCxPYOgC4cMa1ze9/q+3PGIyr
dIqCe5Vjw0ezHCVNzmEuV1Kotx/1x5rzKAwLWkF0gqDOvq53E0blLs4k3b3IEIZcjsmCuNads0Zm
i4RJOr275F63UMA4ORg7wfikaur+AecaeunFKfX7e6SGzRmlUPhZP4w5J/tN6qJusuwSQbxPMLHw
8w9sAO3hmtOuDt5htL0eZrqmARqYpqvKdkMW8uUwT2jP60mk3jdqEqSO8PSpUsXgfTgB/9kou9CF
+bb4ZvE0imOmqv7bhOK92MeeUzjfRkSWy0vVVSY1zwsytaNGo4S79u0HvlL5jFwkNik70+QN6PBR
Pnr5QFXEK4fJMnwbGvpEQAW8xBxzHIoL85oMfYVgRpajTSC2UYlxwvJeH+WPwQ1ZxLCzIOdB4Q68
1ycLNmqV00XNN/TilrTZ08tayz1Vj0zg9P4UtughM6Exir3m/P5VFLeg/5Je1CGy89np9Dw4NSA0
xojS/8IubuF6ky2sOCxzJchyQuZqF3sK6MUmd0rFaR1NgbksNXKBugXLYLPxUdWhh17sVDRSPHJA
oGCsqktKdPuYYN5VpzmtZaT229IysZUERsNhYRkpLsrIkHuYM3AUxDaR9MwV36G2yGtFzwV6SWjP
qQkF0gRNRayeIj7XMcFyUtR4wW5sIOyMf5wWA5VJV8+A3zFqLSnLvj3/r7c15x6wqBCtcwEJ44+l
PZJZZFgELF/brPeIWdNOmRRIrMpEAL9K1m8/0uyW349cc9SKpx4NDHW0P1+tcRpli+plPH0VKXBW
bz/mIiwv4fe7pXVlS5s3MPyQkSRqBj7ORMDFM2/z9mu8/ubQAWFQog4BjpM999T+/m2rNWHfTMxl
9rVsKX+e5fWg6s9uObnDhSvVO0T514scUCroTSpFIZIDcI5fLfIQ4fA866T8pnv0XO6CIjLLAtaX
iaze/l7uqy3Np6Nei6YsXG3uBc9+FR2k02xXVaPdzw3qLvEuoXypsK6ijEqmmxcTt8OGhnfNPyIK
NqzLOUAyh2QtQGvI2OJRgiHlMf37bvIq4lBn9U2gnqdkKFnEIfAApTAzZa3ZMmWAWKF9lJ3qODRl
YtBY/LWGiMyXs8qAuyhN4fNxrGi0LMmqHJBs/SkmJvlSHeAqpf7l24PwarwZA0EKZ7NPfVS+/+iY
BpA1RR0iRzLWhbmZk5ZWBZirqSVzfvtR3qv1bOaUwysEcBFyLf5Bi8Ujh5qq4ye3sd8+PWsMKJ2W
KMSbq4mjniPoufdeAdJhFHAeNVXSXz8NGgc5iMKTzeAGfmTqmeSCHSedWyM0OZ1aZTFa64Vkq+Jc
n3d1OZ0g1UfCtMfsjvQ4R0aNtORX449ukWkiWQjYsXfW2F75nW5rM+FrUPAU66k7Hj2XJmBPmBqv
FWRmJguHqGXaRFAOmXc15Kaw/KuFxo5k7Rb0PLj3koQqB2xIB6ea9p37Nn45fVEUIWEKWBzAUsBd
+Idibc83AAXbJQ+V9qIvxQAd8eDSHj2GZdz51PgzdYCBKc4XPEOTXecnzbF2y+pOI9aosfEdG5qm
qbcRQBLlJsxU/zkhf5VQsqTOtlmswVmK4mNNq+3B8KtgqQ7olm3p5YTX+n+zdybNcRvdtv0rL+4c
DgCJdvAmKFTPKnYlkuIEQVEieiT67te/Bdp6n0T7SuH553A4HLbIqkIBmSfP2XttM5DHSI2bEztS
tMTPR33qK00iHmfmyP0hqIfEhPvmqgZEUDN9UGal5XCQIU1cNW59Y7ArwZ+Ek3ayp7r323Kq1szE
s4eIGT50Ip0pQVK2tPNkOjDCa7XsGdWEecSPvECr5krVMKPU9kVnf34pIwKCvaC2IloYYdNsiSgr
LoMtuodYiAgdlKoYBck0JsChDudtppT1vWU0DWVR0O2SsUs2jAmmEnEqw+UVakT8UJ2R9wdcNet2
cPHmOVGSPHagIOiaB11KNlItLzMRXz7lp4InDPn+irSNW6Od1C/61DbPGO/ImOjMbhWNVn5M7SZe
EzQU/87I/dOewQ3BWJnFzKRUWIgtH+U0kvaPjYS9+Mr3BdlOx6m7tjLZkmlRq9anXz/RPz/Qf76Y
jVBu2eap4T5WJMFsUNrVbvEVEEmORmhUL2g79cbL8/TUG2KJhgplfsuIEN3kr1/7b3f++8dEq8PI
hkX8ow6sMxtXopLPv1aEVQNCzkpMubkge+g328T7b/rPNvz+KQ1dR59DNsDCR/iwTYx6nuo9Wpmv
2iB5ZoTOduFJDjwxIvfMviv0PFhM/QpC9sx0S3ASJOVuydSwQI20yL4Q61nXtVW7h0Kp7E/st7hH
6Su2hJtQvOhtkYMxbDXjFg5G8ZZ3wrkqaM/e9vqkP7oJ51RPk5parsI0vBYY2yNPsXOL7k3KLE7D
Db5Ta3f6SpJfyyihqzdaaKovKkax1cz395ta6AM/g0uylAGUQVwXABr6x5JAU+xmNBDVfzW65eJH
sYi2QibZbpzHl4KkpM9CcUe/00OGHhX4kB0aX1wPv74FzOXK//TN2ItYk7QaHW8s2/iHAklLg5zx
QWR/DTsGB7TTSBgeHXw8fsOUpPV7Ix93dt6OHQnHZc60R+Y7Sd/q1JdW33oYG5TrWQuNHRmlNM5q
5MM5WV/mqk6VUzwV9tUkpm0hcnGhB5pdS4UvjbiqapxWczsydklkE6zs0iV0TOfwvSE87G2ykvgs
bPBl+JDNXRzK8ppEx6yF4td0pJFF3Sc4FemtUmBe8KxRGzZCb9FWC1yPlyFzI3gGFSzSPhoJNuvb
kBGAnVQJgxD2xHvDVJyrOJqMR42uduAxdCAY8dcXd7l2H6+tQXcBahGnWfsjkKWjJcz3bgfgJQ3z
rIC0fihjMaHUJv3prA2LYvzXr6j9LHzlrrIXMSZHHFxYSPDeqeI/FJpQJbM6Z+v8hpPbONA2w4wU
dJNypFFJQqfKs+QL2NhfS+A3D8Rftldx7Kq3Su+Kza/fyzvu4uePT6nJ8qk7YGIs7aMYsB5ys3HC
ovgWjgwYOLfL4FnWc9T7VT7Bjlb1lA5HLgEGgM6LJj+JLHMXIYf16ZO4LpxchbyJWuIAiNusX1q/
tNALpYlOxNU2u0qI8Wx1EU5ksncMD/u1PngNbv/3VKC8I7/OkSu05ma5VbgsmyRtlRO+pyU2aLCV
q3eGxYQpviCGLC434cDuvZIaFpKcMS8VpYC7RKBeViApIeB53TP0fDB7jqbUIs19q4/FPsozUUN6
RC7Dnci4aGXR9bsRblwwckVRR/TzyFyptbIsXEGpK09D6TY4VuPSQlfr6FLbL2b/equCvHsk4jl+
wnPTvhkxcB0cqwka/l9/O39ff7hToD9RuwMuAzL/YUkWOpPQdBzSb4SpqFimBzf5gspjYmrIV8aZ
yv46N12A3Ub5MvXJACHT6svfWdv+6YYFFEbZLFCuYir80O5AKdXkzWxn3wIcYJ3//oVYcxdlV3Fm
tUBUevdCFG23gXEQrEs3GD9HTt2X3Ce41X9zTf7hgSXYk94yS8eS46XzQP/w9Mx5N/QSqum30Fat
+8rSmjsQ9opv09g9si925y6r2kMJmmqfjUI7tYXNRmZn+BZi0PQIkouhJx63E28o5yvTcyDL3v/m
Xf6tZLAx5gmseTqaaQ6VHy4ZmP8pdyuj+0bXuwo/UVmYzYpO4uR1EILPutWnzJSa2XJ8pzblWwS1
EWBBoJfDVtiyeTDdLLxS7SH9pNdGx4SEXWBDOFfG5Q4Te0XaNpz193f9X7ftZSq//d//efmaxwQU
NBxSXtufXBOgoH74fv/utq3Jzil+Nlq8/8h3o8USN2eopuCUQrHwbv78HitF3Byl25J/QZvcJcLm
P25bqIPLT6E3odmyhNv8f6eFwGmhA5fj1y2iWcBL/yJaiiL1pz3OVOnS8r6g1dEb5u19rCHzym6a
MbUGKJklehyO5wMzYGQfpiXVoyx7R88ppyABddtUz7NcfWypRDVOk2XeXPTcaOfaW1rz+jrjHiyH
BIsSWHnnPkaPgoVv1RFQThJDCeG02BhiAJKBnW2C+jAMjEc4r+lEodUdjZu+8eaWRIryVGRTUvh9
H3Mkc8mpuDKDZDywofTqnlza6TQBB7kgKS0pKK0npZH9dpC9Ha5UUNKumZRXyTL/zjnNaJ5ppvol
smJMSzHMC0Qm+cJfYiFy1wPNhgEz1Yw51sqIcJhTEERqqbNmc/7pT7EaMcHTo6U64QAOgseFlJ1t
i7HPtmgZMsc3XRnvrTys7LPLCBCV5aRiPFQUqCdWObXbtk77jmM2DZQoN9Jdyalwk8y1zUgPOQ+k
amNhzOR90F/rZkA89zCht7CQ0ABoJSMkaho2srCcdByM4TTToYTFlJhV/9TWxvQQzJIRax1WZE0y
8hlpY9QmH9QI1E5/YthbXQ2mlm0b3arXhpb2a9AalcZYv74a0IyXPvvNsAY+BQUoTgdzb6HnenAT
WPTUZQAJaCxX7Qa6tkrUBbe6r9DaV28rK13rWM3yrWizgD3fHGmRJq3txU2SKPiI895mNm7UkmQJ
g5Ow1ee7SgZACMO+czb6MAzroU3kCuZSjxRXb8keIXmCzNRl4PJmB7H6MpsaZjWTp3GzmFjXamFM
LzksPX3j1rm57eRY3sPLjI5oYrInZL0Exqj0K1Ylssxd1keh6uu1fZ3nEwhYQqHXNSpGQgPpKHPT
aKPWr6kxq83Uh+Oaabd7PZpViXu0RlpTGeEBvNZoe1LkKYolAYnCjDpMp4ki922Q6PuWgAuf7mnw
zNNQ01lAj/EF3TrMjqlp+3QbtpV+gQ/W7Yc6tzd6xpHKc4uguXeM/lVFHej3E63iABVV7vEExHtq
DQF8O0TkugotR7vKLVoCaWQ6nxfz9ha1MNkqJnup5pu9DvcLH6Lwm6C6mIjozhUdnS9Zmwd+V4XT
A4ivfBfMGCBXiqK6iVcqhMT2sPauJzkWZ9InEizQMkmWdNaYNOsmXSQAgfxkhVWLMswt9gWBvY8t
Bl+yoNsgu0uNUl+h7Cu3PZyuVjrch3ZgYJM0UvUWoU63mpBDuRtZGNR3jomo51iWToLssC2v6zxw
N42lZt8KLZ1A8TeSxBACDXq43F4RtK/EPxk+dO9hRcQIMteM2lIa+gtT20ey6c0VKC6OWm6v23Xq
V9THYQbXp4rKzroZwP+EvGxqWt1U/3dX/NMw+JtdUbdRJv9qW7yL5Ndv/2ffZC/F1x+3079+8K/N
EUMhg0hsbNSPTJbY6L67EBX+F/Xk0nRfEA1L6ur32EWSWHW2KtqnHEl+2hoNfh2RVZoLz5Id81/s
i382vv9z+Flm1+y9gAt5D7wv8XGGXdVYhXPXlTvO+Wi4pggRcIqLBgE4jGrai09D3vcnWmdk3Xfl
UwaNeq8O9lmXHefwHEG1XzZGfou7uLjJOvXBDOjr0wdkjCONwfHnjmCEWuNkZUwK8neOMWRw2+cS
RZOnj9pNMg7IuER+sobsJJRhG7RlQJvVdElHzU0vY/X0+jp+69QuPudcx9Ui8fAYB1boX5kZjCY3
fqzOR+mqN1TD9DjrAbsdKn8zRZRiTKjV2/ityZLUzzF/rW3pnG0xbtGGl+i0ijc3LU6DhlmJwGdw
Ad3G0NMTJskbI5nI3eFP1YnijVH8MpWt9GU1v5ptesAv/MqG9FRNzUZmkNDrPBKPQUWGfe2QsQ7T
YE3bYKZN6Jy1VjylffZiQ83aANC+U+v0tFwBLNCYLdPsLVlIQE3YJhvCsxbRHW36DtcjZ7r+Eorh
ziFPGwODFRK07L4OAao+LVpGCRPoGl3u5yV8RRkYyUP1XBkmEUlRpyPNGC9WNN0NpfEUifQQjtlL
XSUvcjbPdoRcyqNPtTb4QEtTQ7bTDW1aezOJdlO5pKgrxrvLERkjk2QPDUri6ZILpUeoYANYcp67
9MRjkOaLjkke2zKeCAZYrmWUvwAZAmFHtILXonVaLa+Fc3JaQyZi3VJvWn3Yknty1JyQBbtXj4ik
8aqm0ZtA1LI2tfiUpuNR58vZOQCnvCTmE0rKASIpiAXiwOrHroC20PBC1FKJH7nGfIV27yAnnDUG
AQOROV5y1fTHqQBMF6GmDGT8UjDEXmf6+OrI+cjGgkEhquNzWnGWH9UvTiWu3SHWVtagLTv2bjaJ
oahG9HIV7Z64RJNZix0wL9p0KhKItKXZ1HXzEg2C9mBY9JQCBoprcydgn2q9Ss8x+DfqQxFqr64Y
Wi9fNINtmB00JFvAAC7GmKHjQrymWoQOdPl4EWRpeTDRmJDoElajRUGpaTGeieW6o8qkHjOeJKz3
DWCWc8nMZAMj+CL4nF4E1MEbhPUU2/W0w4AJGlUbz6WulM8JyTMrO6GrUStBfyugHvnZGAarqTLM
FbLNflfZU3+opNnvcQk5+7FXlOs0mrJ1NZf5daGU00aNsv6AErtZ6UomXluteZ762rrSnLQMuWtk
XBl+jSUWMVteoVXFjPUS2LJWKPV0hLvUXMUDg5uHfFTwz89GQ9hXrsfskMHZKNJnVPaw/8YMNZJF
Q07EftlO9bqCu6f5iI0tEDpjHR4I66L/bVdnkn9uCmnI9aAYDxL/Jcoo01z3HWFVxVS/FoVONaok
0RomqefYE0UCBNBNHucd9i4Z3GitiQKt4PafE/1VagAXm4rubdTjwBh1JJa25HtbhOCEPKFfDDTV
H9GJXBuq3aGq46abUvvJVqxzp1cYdPr6TRnqo2H9bmL9c0NgWcURPbkUlzz6wIs+SiTixDI6RuRy
B5eN6GvsBKvAGc+xWZ3mQPudwoZN6Yd+4Z+vhuCF0QO0EnjcH1oyrjF0OO3sYsf8EB2ulh4grdDc
FL+VPf3cQnh/pcWpu1CSaHP8DVQ82PYokqCUO71NX9yA1XBZjhNtwCoFZkXu+Tf1N/3ADyfF5VrS
42ED59xJu/ljpzkUBWqehuHZ1JrR2myQ4jL+XSmoTeBtYJXh8wLlPNYNq9sPtcPNn9vuj7AmIf5+
ZQU8I7yPGHG0v7VFYckOcwIgcNfktfATmTs32KvwljXqMZFIdnEtvw7N2G/Soe8PSd/w3LoFskkk
jEuFHBbzEc4Ru64wd64Lu5uJwlp3huMAC47jib7IqLlXZXIqrHqTIyce8/BBRWDuW6NxxkmGOUti
HDFNCLYhQiR8GiwPv/6k/3ALMR5TdZOGK02sj1MFPYtJotKNYhfpzcaQ6o3qzjf5XFe/uaLvzKmf
6xts0KhkKa1omdFo4Ir/0CpzB80Z+Z/cqy7UkQZY3aTFxlrNWIQLy8Vx4iApCheUUz/d2K2a30YL
o9qYw7dq0e8vpQpKliW/bzyGShPQguwuiov1se63DE1bzwRhugrDhW066uNTaOrTljNeuca4Fx87
tW7uinR8GGu2/U6PjUMbO6A4Lcwn5BG9BUyPSHACo1uPjtyOCjplRK1O2G1QnLB5l2IXTXScowJ3
H4gIT5QjU0XO2Ho339hTJTxd53e7jvJcL3BQW6PG+vUX9g8rDHZyB9K/yoQAn/fP13G2geMYiih2
M7kfSzkxsrKZpQ4meBC7X78WFfbH9YW2IfsUYCF6vx/nEVgyYjszpmJH2tMd87NDLn+3YH6ILX1f
WWhP6gYwbBghYLx//jxxhBKBDLhiJ92+3DTxqK+MYH5dVvp4ZhCEG+wAMwY6m35GVxqt7SI7KGPw
yGH/i2P1EB/zvga1kYgdXWc2WZfVCefpSdPCt9kaxJrzfLrLhIWmxRQgxtS5ucpiaw206hPikMW4
4YR7AJekEi0mYXQ/oB1d2v96zWRAuIjdu7FsPVWP30zycj2atKd+TA/AgxCxWwkFqjZQ/WpMsIsI
zava3slCj9aGmH8zbF66gR+/lL/68KzD9Pf0ny8Y7OuF75QXOy3joNCTiLeK244KXkn5zBFXgHis
xM8m55ybFqItGijerOXXLfoIJ0jBWlm0x4dg5uAN2MPvIvVpSErhOyrdobS3zkFHa6cLzHPk6olv
1qxEpUR4ZSfTA6r217lRvdiO70dBdUiUKhYSZdymkfqAnhlaL3bsrciGrVsOdyHHYC+puT+NkoWv
sRjlu4qRYL1DTa2b84Nb1v1vFDb/8JCwZyx/acLl9PbhGg30xbJ26Ivd4BSgrzh+2ANvx6DPE5Th
b74R7cNM4v0epp0JLAP9JcCFj89kZYgJaUBX7Gq9Kdbawkoi8ukAbW3nanw/s+SWnOm0eL3OMgXm
4CkOs5OVUgB2MrA8WaBMghyHmwvImxdnDAmwm3xpUu1K6Z1rsk0bzDJU+2OBYAdY9iv5gndjNoFf
XTZjbrNQpC/BsFSpg75KZvVUdQypRqmvKFfXPWLKTctX+n68nI0R6IzJH3Tr9GApLT9RDj0ZUR0T
Wowi+xFO//shiPxV6Q9tKg9FN1ziloOkk4LrmyuOeuY8XOo2VL3JcGlS9hc91W4qJT7g/0BQZXc+
hnrcG/yLkvNfAqxgK/AX/UYz6ma9PEbNaJ6lPVzQynKAgPbL80QERVZRLYGSOo0VDSG75E/XiIOq
BGtg0cLAcs3xtW5bf+i4wEkWn2LBmcUdKcWNzHhKov5uQAy0EhLAVpEflD45zBhbaPTxALdtduBQ
vM0DdpaYnAmv4emwhvYE5fQ5aobikGrmuW96X+g1lgcORuOCHRyAhhxReJ2z1njSgd38Zj+2/uHx
ptYxzUWDyB31cViTTSKpdEAau8YGsNbgaVPZ93qOWYHJY73UX+9HbSzfuKneLaDLM18gOpqGBsJB
wo9VufBTfO8QGFzf6Wth+1kbVit0zMXaHVFIZ1qjcEBL88oLjXhdFVn4ioDXPZW1C+06ZF+EgUN6
Inv8arbFWVdYY5J2eugF5ZZaC4B/atwhNmlTL3OorEMOhuyHkZB8ISFltp10l7ZnBa319q52OJKS
g3iCFndnmF28lfS+13GdCr/C+UjkMfmrOV5iTZk9U06v5JVi5SvbO3zbyS6NcfyyiXDI7C7CGm+W
ar61v++v/507/abDRhMLbcAv+F51igf9pfmxufbnz3zHvLp/UClYSFZd40NvzTX+YJzvWhbB5CbE
JpdN/jvm1fqDCoNDk8E6zf2+NN6+Y17FH4yI+NOcAzhTQYP4Nx02sEI/b5wIafkbwZ6tkZLBO/1Q
aWBY1mkcE7FpZo6zgv2Er7ho++0cROMhC2kjAB7krC/Jev9K4Kt9ZaZGxdBG04Y7KTuVcWmpvEAD
V08pHCcccoG4WLSuie0urcIPG8M+cwBv7qakjy8YNbNtin1vn6MlfpbE2sLzspMDZ8d1OzXVF6TZ
yQ58F2x/pK9jjTumnF/VkkUwDkILifuY6veoy9ODW2TFMbBFtu04cOFMKk7S5FjuZkHuK0keHbS+
GfZFnOc5sBhL+LoS2oe86kpS9LLxWpZOti0zx72amrAnvZeT8y3WPfcMYkE9aVOsnhDekKTRS1Ft
UABkWxyV4ZPmxu5ZU9IbbbS6E/k5l1mlN6FZuKCJBXUVYKSleEOmAmg8n+iKafB76L/V7Y2L8Rl2
o43v3DDHxquZRWzNTC2/DkzBNqIWSy1FajChN+mnykjoAIyZkWzLfEx2brOs78aQ+6o9aagQ9e5R
OnFw3XbRcNvKeH7FyTk9FXUnbsMUWJCYkvpsiWS8BcJDkqCux5sqAE2ujlb1JRfd6IPdsDdln/Vb
W0v5GCHgaSMtMjaJgYx3goG/Kq5YaiiOtm551AtKw8WJ2cU41VNVFn5jBidSe/K94ij7LLVTn8RL
4KMQYbZV1ZtvoZtINpQ2PrYWm4ylusGepIL8RpvtmfmRkqQHLAyBshYIGI8leIaHcIrdz3Zl5Wum
jeUhKK3hvuyH6uIGRnyaETae6NBBeuhqET8GrdFcJZ2a3RvSKLc5/QjXG/CQ78wxs4GeZULczpMd
n8LQAHVv21nmgSRFOUfoCqOitnKYTov+ysJwduOSB3tAx2YFVA5G9tqNY3kOLCvbTWMnjhZWj21e
WvHnzrHjp6qMNIyspXmbQxbYjeQQn1WlF0d9MOWu7mR43ZJzfklmQRZ73mT7XOn2ZREMnNkK0znr
Val/LrB8nKrQSPcxguJdQop2TpBGk6HniszrrByOejQY3I4k1Shqu0a3075gtgEMPo2pttbLwH6p
xPDNrIgaDckQ8HLwDORmB8YGJazj0xrRH4SRvk6DKMOVEhr6Z9spLrIXoCuactrOaqHeEg9nAa8g
+/lgKjimqGQc9Rz1dAZWg2JVL01QJzd2mFbQBGgbvMaBE22Lnh8K5zj75MRqDtAPsA3xrPkxCfkS
ByJm91aXWT4u/PzeFk37BUELJ5U21S4YnvfMiKyDHKot5jUssJYNvD6mL36LEyK7M4NsZ01De7CC
udgbaS79pmQH7lgsP7fSjfe2mQebCaK7j6Rk9KjTkjvaE8a3eazkSqQI1+aIUgcDavoEzWD8ZKNv
vC0JsVjxhSI9qqNU9xGtlDdKPW4G2m/HqsaGuHLdjdkm+TZoBvVEmybbVtltHwT9k7L4L1JLaLeJ
GgqiXB2VgIwBFUmh9vWraCfeCTSVQR3trdSGcd1nWqcw3hTOU8sJufRKdc5ib7AnicV2Cq/nRqZb
ZSQuz5sm017V/Wi5UI8H6YXBtO6ILmFILzs6867bfwIVD6U7I2KVEXpYscyhO/Q4Q6hH5stEmxSB
utY05Skh0cjxwpB5Y5y5kFItgC0uBLJVpsSPYGzVfaY26prJbeXpSSq/ZBat70BG7q2ZO9a+acwx
92Zsnrdxq6S+bRcrrK7Ni5XY4zZBTHGjNlYOHi8X6rl3pLpygnwGHOBk1hpDMUm/7Brn2YiiR1DN
8VU+98+YV6wdO+K8mpKmPzdUX9xKQ3LVJFaxaifFvSLitr5pk6A6JeAMHpQgzs5M38s1gQ/hRnNl
6M96VNISq8QjAm19ZxEAsa4DR26iMdG/zXbYEczuli+GqJbNpZsZN4Ba+wSMos88sL0uvnQ33HaM
jUBehMNK0YLohk42izhyE68Pq/Fe7bj0RWTO/jS15boZdYfaF60DGlsZXUMKHLjRGHlzoDPxY6gd
SIRQdNsiHts9KJbyU0aEdAxJaw01Y75Je2Gsyx7Ijje16pwwoygMzwzHjVXJ/qz1oX5wkVM/D5We
+oNuMW8C8HiifzoeGwRJO5s2EsEuVe1+Ti0r9vNiUJ+yAPA4KxNovVb3J90yb+YuUV5L6HWHsnWU
Dbii5hpCZbY3DSWgNR82t9k0OJ+wBgYbTa3U+6iPVV7ODpTVNCnWRjCSP9dT9aVo5ulVnTuWf0TB
M6Cf0Qi3oxg0mnsOLZ9GOZqFupzsijoekSjKARzIAg5T6Z2nsXq7zOfZ+5MkvHQmhQgTvIq6uhBu
e1uFVbaTZP/GpMbbxFbNTY14zg6c6s2ty3TfZ5HuGeOgXMU6sV9Okd+QYpTuWrP7bNYmnHDZVIjs
u6H7krbWZ9BaL2rQvcEN+ezI8a7QZoY588DBSVT5vi7saQ2+5aJXYXkoI9u+9GWqk+g8FK/0RMdH
PNqfnb6wFG71GEBeeiixN6vdoayaqm+31O3VbJ0otYrQ8ki3IugohkFlrBejzdWom7bfDWPn3FRt
NQF1s4K3Lp6Egypi4IuDG6zD4elnsiukuu0mqp5tHpXyFIMHk59LFlBqrwXaNAbppgLQlB8cZQko
A5fmU+SlRy2cikNXx/ZnczKrZ0SzYXIToA0/2pGp1RemWFGwzeY0Q4IzNsMMRiRszeSrE42N8smE
zWCCY++DwpNKnErM6rHwC0Wdtvjsi01vNY9gpgdagWHmq6hrGAwZj6OiDzsrLu3VlLfENcli3LiZ
TTlJSnVcG1fkTwFmVxVpeinhUw+KDfKfWuRTMUfZOkJZydnYVe5JOQqvYIhrKzB+0xm1SHWu+TYP
c0tbJoqHFyN1p0PtWgrUAKXbasU4eXjCKbfItOo8ZtL1MY73KPFw3U9+L4N252TgE2HQQuqgtw0R
zLhlMNz4SaWE+9kAbEMWcXCoGegcWjW8srQsW6m2Vl4BOG/9KbSr505YkEFGc9rGVR9vIHi5ayVU
ka8QjrUeAqNEnRrBwGrhfqzA9jm7DvES/hKd0DTCm9+MDojVqgR9SYaJi2X0K6FZlvPYqB3yx9fO
sMl6/MRsdlHOY0iM8+zPJul/D3G/OcQhIfjlIc7/lr0ML/W3Hw9xf/7Md4EEqRuEUdJ2MBheMcFn
KPOXetA2/8ADS9IsnsS/ZBDfz3DuHw7xhWj8qeLhgS7ttu9nOAI+MH9zxLNMEKg6SSL/QiUBOfXn
MxyHRHNJEcGBALYW+caH7nea9BFyabfaTdYUPaFTK0ofkgV6thEA+Gq0azLMymq6ySSwplUW9StS
Rlywaipi7j4uYNOLWXsK4i7HMlSk1go1+/BtbC2FRgkeAHJK6WeE7U0BPsBDJPhsKLXjC5RMmyJE
ljYJNVzDfbcmj4sY74LcNO+TdiiuRoqYc5aYPMEOTeYd+XiBsZhm6wPDl9Sn1Qc03c5A1kQMWFhr
6+MIygmulaA6H81kO/DmdCwJVrm35zjYAwhs70j7Ng6cAp8Tu1Ke4ixXLmFV0FCtxmLLghOuyxC3
W0lkw/U84tDLx+a2d8KvpkLiXAGNi7At/dbQp3TjumlEDJ9QvCQs2i3spLeSAwWqABc1RYEdb80U
Zd7oFSPuaubVo16/tcS4dHzbE1FiwNt0/TbWnEvQdycNYhVz7eJ+qGbtagS/QG1WEJnoDMs/gL5O
+ZXhlE/AAACTae0IFj98JtBrv2z53nJOYajzXJnLmVTKe2iXM7H0heqXWMd8LHXdpltijkBarLgF
L6MI1oGN2i4llI+3AD3T5Fe71Si2EIzUa5Eqygb5Gzz4xs0e5NQZDzAYi60oMrhiYSA2WH9HzkC4
4iJS4+kz3TAFmeFmKocWTsWLBER4KZm5Y7MJyGUTZbYeHJ2YtgFsnzM7nmO21fUETOXJSJ2L1cRy
K0f6g1ozsawGqb2eEWPv3Mpy1gg2P2VzqVScHoZPoRGEBwN4tU2oUUMCiRt0r4qKZn1lV6q4bZnh
nvO4Ypw+ABJ1WGyreZ1Fxb1ALEAUPZpDX5firsladGxOQLCJiODF8OSgx+hjP8LBvQKeV7nbuhJU
EGGpaRiiJomD0nS81ukteda1sTtifW2ZBdBa/WSDHjkauaU+G3xwvyE3ZZXHiR6j80ul3GhOHdR0
Hib1CCPQbPeSEhihKz3BN6UwZ2VLwqwM3ibXHk6ZTvQeQ1AjJdAtxuygYWQo80T7U9v+34X+Nwv9
Moenf/W/t+u232Qdxj/LxP/8me/tOvWPZRnFgsx8xGAky0D2r5XeMf+gJQGVEc8ZYI2fU5n+s7Sr
EPhxKuGCdRiS0277Fys7cvKPK/uy2fDLVAtVuG6+98V/nA/rsnAC6WQ7uBqfhzQavbZJ5RqvyRN6
6/uaMqpQu+rJybUnlJkMcO1pwwD+0E62s56VSt8L2k8oBF1EXhp6YrdLs209qSiNlYqjVe/WbxMT
CF9GNs5Wp1GvlDArn9ly1DsF198Wn2znM7iaV6UTxxvYYbR9QvuOjcO5GeaY1ajNjzjzB34biDIB
4GndKDpnjsGoD2pbr4AdXQOnQHXcGkx6snFfN/Z8a5Lj6DPmsFcosLoLgWvpKpzGYB/hvPcMRbsd
EApsCbx9tIwcLewwZFs7z6JTq8baMRG8J4ak8Q3DpXpt0pS4QcmPmTV76KgLO4EGeqpwQ+V2/0L8
BWJW0Q9+TbH2JWb/OKaDMbPjzHAOiWLZmpzs1wCx7O1AGPNqMDIyYIX4CgVQbIxOD/w4tQwvsLsX
vZ84HbaIHNyUFM8Y7XoyE9I0twBssaiCjbSLu7xqNu27GUi5DpYEnU6pxl0pXMaittTuXNRFT21v
lo8s9JvcHW7ZC/K7lNEzxh2nZkbocPhZBUwIarJdB7QSyHuqokqfulnGt6mIjL1osPULAQ6JFM2+
vq+EEtyT1GgejXSabU/JTSgR0KKvGEHG51pmwxOeuuarS2LWw5gT900gXTf4lrSdq6hHWdkMqbGv
OiDSjAgR4GcCnX6m9+auFU752Y4TZqGJ3WcPRVqYR5NcxC2mOQ0x1KzaDFYzmULALesru9IdH7+e
xsVzdUwAUce4qdHLgs07IBVllkStVMrMllUBaKlo96Qo5jVJTJXaki89Ud4hT7eTZ1vvyeMdA5Aj
dHmDh0TP5D2hpkCg8lje07kkjtMa0S0MiXtFDzN5LkEQUW5rRBZv4hQVQp7QtWxVMnQns4/P3f9j
70y220aydf0q9wWQC4EeUxLsKVKiZMnSBMuWneibQA88/f2Cmb6nMuvWqVXzyoFzYEuiSCCw9992
WYRWE2f6pk0wKiwjiRpmN+Kms4msDRrp0Q2tmzkkLgbqpnfNg2aafbqOcLHsIxUZ3cTDREQjkWFo
pZUvgQTMl6Gyy+PU8S1dg10uIOFtfkTAl7/afThne5Q7/PJyjuYb0DmvsSCx8kawW3WiZYC6aJM2
mA3wNN+Q+SCW+DoompkHKtKmrqjfY+6/XUKQAiAO60YQkrVDj1JMa04tyuSCQq79kchl2InerH+S
+zs9hj0G0PsrS8O09rYDWd8kieG9fIrorqast0FQY4ax92Tde5xVqUxexNaxtMv+pU0tehGd2WE+
VL94ZxbzbUY+/sWdCv5hrvT3Np3IKrKlmjc6+cy7dLTSj/uVxgzIT1siHw+GmA2SLVTBDtBJdR3p
noxXcZTSeLbI/NXyR+MNdWKCz72w3CcWeutQZdTBox0hE7lhtjGinrTlmrrVbU9zz1FDewLMFI6o
EEdKvzs3TgDgKueKhHk+oX8zbqGeerdRquxkrkhQBd8OP3yDuRNwIqaOWFWnwS3zE92ZOIA8irVn
An7hQ5y0egaV8GHoqKO+f1rFSL0OQTv0xLZZWBL23A0eneTcvTMlHWchW8RMjsfAHTgR375XAWcu
bRqrZeGPxMM/gG1kbUjYQbjWS1vGl4FBndDHl0FihRns6qNMQOzw9a1978Ho+qs+Ro+o/BjICTcm
ePN3e/RPxOZgAEUtWRrubWrNrTnEO2Qcr1HT0mGtT97ZcfiGdWhvMlhOo57xdBpldet4jvUrw6xY
pxPh3Kw6/dISaHRxBs7wTHgRZcG1uRZuaUHHzxdsy8E4oU0K6UMuXSVF1KarmIx061URSsXRc2JK
7LJ0BbZrbeY6K0isBLAeBmbNzstkHGiN+FFG03qQxk9ZoslFMFGf0kVlDBoFRk7D/mxEty89+wlT
F9LVoTevoDPhuxYZX4nv/SQACCSybIstrlZ0qnM5bLTCxAHbYsJeIVMZ1rXjVM+9aVkkrqXLj2Kw
1xR74bAGANiiGXkukY0jf812JkHuxIMufMCJI7aTRJeRjnN2zhzxxZl1g9Q/ecimuTjQZGjuRw7h
QPd6dFRlRu6ODxIUwc1iNnqXWGyUKEE/z5nuHhsu/F06OzpDY/iui0Ku8dGu0B1DENW3OvHcn4nB
1mSNUv9wHQ0GJste0Kmm30DdCGSF6lY1pd4asIB6+9bvjhYUCBGVy8J5YA75PoJYwGJFXhTKioD5
+VkW7Y94pj1YJ/L+Qg3eWG/MaEhoquoM+AKyHPvNMhg0ZQvnknPmP3FZgdc7oXjEh25tRgMV+7qg
mGOflVkdWC1MWCuM+meLa3xDyPNhRv2E4qv+1rNcBtIjypfyta86iYZrveJp7xvS3qGa/cRp9y5j
c6fPMvwyinpeUZQzrBAfZfhIbO2hscA/5hL5KrchQ3sZfSUKs6VXyww6hF/n0eujDUOC9wNGdbi5
diK+ZEzdzBBs4evWcubjSBgSQK2BwJTS2vRL6sIPWFgAfrbsRz+7pskpr6PduIzaMKgGDbEidNQW
bfaROEFzMy+dfnHDtHqCmJ2CKJZMVqojfKwb71IP9fhREsT7MRrCvDhQOmubCYsG7WQJcu4iTvIu
6d11XNpyHWaF5ys3c3QeJjiOY2uEYlrhunUuhi/7rRfJQueWiF47Z9Kujmi8dWYak+RDBDoPm0jb
DITJnF27sbhiSmokqUgBWbKWkcfgRJl55Qn3iDiCDVDaxSZsZfjqy6S7jSSbpxvyirFdd36pXbrI
sw9MCtlO6JXcJBNWMZa3ytrEzfR7WRjULRH382VsknEPCCrfCAAmIZmzMIgW1YLoji2hhXQqoYoi
RZcpDP+FdtQrDrBaGHJfhdho66ZL1ymt09uKlZiXRZvwbOXf3Tb3Vm0TjtfM0fSHJiybLTXkzU4a
YBL9mIVrZoaHqSKYVNN2Ee3069xb3tOmqeogJfmSFBTZsDFnYpWQy7ItLL1bV01m7chhf6DEDaSy
0ngM9Cy0dt4Oj0vGjJcN5MxXDqKheZT5s0zbcU/ev/ZudtC40Bc/6RBmAHHmbuvXTrTt87DGtg7R
3TRJEvQNukaSm4wVITc3nqDVlXzOnnjsfl61eMZeET3upnGKgtZcnmfHdC9UIgu2Si/dzaXYwSjC
CYlmQ2hZ9JPYBox6PPIG4js3A01Xm4nA6mMyiBanZhseRhmek0jeLAQuAbB3eiAWejqFqUc8cJCS
zysIiV5ufsbpKk5uT73TsEmVj67eZQVJnqjlU8m23Kv2QH5h1SXo34sFo0iVDGZ/NA66o6ofnO5V
hDajSoZMRVUUzi1thdO9uND+o8WQ5za5MsW93hC2XGl6IYwGC2m1KkHkafg2UYuIo23YFvemRKsf
n0PVnihUjyJ1oxVwk209dJQsSlTym6V2bomPXi7Fe3CLVSdjDpNyxUFjf29VY2OquhtFK7qHUfU5
JhQ7olUyNqNtDA/eQOsj+Jx1hAkYOf0ohfRVO+SoeiIjRpUNUTpmgLPnAwu/CvHt029Ue8/r5F42
SRbTsdDon4xSDCmZbMs1ZtcJNZaHrDmE4J06qCjd81+ITVV+Heu0mAza9LT+cA3QHEsWkOuCzI/K
+oxpqgnoDPGPc7RQlZneazOjuem+69bY/SCOLz2Pql/T8FqyPlTnZpP6z/rQ+/qK3uwFk8jQZYfl
XtS5LNZ8tpIGflL1eOZ4Ph/auPhkASX4tDKQMazGbrFP0HsVorL4U6pe0E6TxQ93UGWhI9GoW5JR
hm2jukQZX5wNSSrTrQvh2piBbiaFaVfzXkMqwFiOAKFwp6qldFJ9pQ78yQklQ3le7nWmcu7ya1ZK
116TYBV/L2VL9WmoWlALEfMo0O/lqKyGFXNA7ns/vEjVpw6RLW6J6lTt6OB8X1TP6nKvXB3u9asO
+T1Uy+pj+VIy9GOqWTxYx67athyMG08sh2SGlqiJ++ABvWSXJOrHd0GgYOBIF3TSVhLTBuNkBcJW
cQlFDCVp5cUsvonfvQDDNlG4AasrFxPMh+fgMq8JIF4IioKIxuwq2+H3uC2KvWt2yb6RY40OpfyZ
TbCw7Ry6rI/tOWv6gj2r8W4E7w+PUdzVN1jDJcgA+/BiWBrUXQW+RUFEkPpeeOSFfWHxCwPXj6st
shTvkFOk+V8X5J+1if8G9cHkLEC8/zXq81z1Xfx/1t9YbJO/ZgT8+aW/YH7vN8oOdUyVjk6ouIHo
6hf2Y4LqwA2hPQTrv//NL5Tf/s3QSbpi4iMsCbQfwOgXyo9FkkPFRtxF0gQyrv+ojJE0vH/Cgmzd
1i1sF7wOYep/Q/n7xMjKJk2q/URm+kiAbWbiFOPapggYVbZTIrZdl1HqPfmJuYAzJ2yBI+twAFfq
qeqcXiAmTMy3ezxIRQfq8wAL+UGgCO1Pi8nlTtu9vQf6JruKcBw2NGWhcbOymtaE4jtFwKSftqsY
aZp5xosRXzJR4emh5Mw8koCWyw0lutGyauYZJX7WO/EULCpKqi3gChihZ2ubaa11pYRwesxiqACN
0gFto0vNPDaMf6wKDpV6+Npjg3zCiZy3oZqdB4NWIJYHIzQPfaE6Xzl/Dihb9XLDw2t41wteVCCL
sPvJT0HN01iIaYBOGB9XXq36U10nnzc+OP9hCrGXrPGoV9km0YCvYbl9F+ERwHfCB763Q3t6pItq
jDYCyuHH4tjAFrD67Vu9YJtdh7yyN6u22ze49ozHMCFnrODxdezD8qVuveratc0ww2VMkR2AHiGh
CcHYYMqLXDDoCIRJqyWuvacp43VJBL7oUkQYFkwa9L+trHRyn5ZkqT9E5HmPYY7aHEanIWYu9F3C
dsiTrtD0FC3rjHuY6qK+ZkL6j3QFwTinaBL2Le8fSYLSP+dOIndLHI/nGHZkO8UDmjjKC8FNhPSe
yKJLcJLQWOvPHoiZQDeMDli8hISbcfby6Wh5Yh2m3q2uWSMH7XmxihkoMhVHq8UVLvOst9BPk6OC
ZrAgdb8XrKFlIr+PaIzfkUAZb7U+W+aa6HlwBjuy2x+ENXNW0gysMi9m/2mqIxoWUU4/oyOOniZz
mQDUJrroyDAwPzBZor7gyrMNyom08Zu3ZEzMrfDPdW26DG70rzENEHaxD13ZLYe+J957l4S9djZo
LB7Xo+HSjcVCXMar1qT/4hDbmT0SZVT3Nxd1Z3aOzcl/rD3iMFcC994XyGjrIW41Nm/KSS1NV0UJ
uFPXzOuLuYuA//2QLvB0ZKvReCNoEqAtx3uXA2yO1vmjXMc1YxKfj6aGBh8T3LjxqOLbRo1YjH4f
4jbsjp1T9yhwpJyTN6NWa57Nf7SFcvl8hc3XnuexwcaYhQ9uUQynZOjat1gWl5AwjHOO6tv/TG0t
HQwW+qKCuYkK3S0D18j1L7apJ9tkQZEIobVswgbmS4cxXHWkWB3kEo2vSQezofGYemhTIKcWnXHa
i5iiaOWlcVNDeFSHxswF5Ec7e25v7aWMzHBXNQ0BJL1NF8la98ixgCORgZNN0RYdfQvrVvIa9igG
mJqH3ugDwgimk+bp6QE5kB3MfnmrFu/cqeGXxPgWtKOajqMajd0pyTeWGpdlhSlas7QfoEQbicJl
LcNlN3mCIVuN23PduZd2np5RpEQBSoWd16X2q2iaGXVJ3+M36EGbmOHFfZhXY73Wou2OlKZ1UEO/
p8b/sGzBY+zypKvdIJ3di74Y4btssnHPBpI/l2qXSNVWMav9wlKbhlA7h1Tbx6j2EMtZLon05l2u
dpRYbSuz2lsmja8iYyEDRFNrTcaCU4UMVPRgXhfWn07tQbXaiLL7bqS2pPS+L6nNyVE7VNJW3321
VZHp4m2S+6aldq5SbV+V2sNYH5N1rnYzKs3Eac5nRJJu9FEljKgR3VzrTG11ht+rBpyqeSMFadzr
avvDk0dklDOygLEV9o2T7+aY0K6uGcE1hRF+mJlNItoUAj47qVWkNGMb+qF3cHTszcKyT6WEGKbt
Flyzjqpkh0jPOnqhCq7VSBPsa/DiZOHRdE+H6WyLlLHBWdwLAmCVEXZfXEl96m7+H9sse62pNlye
vfFl8T0ESBVdaatlSrKvtZsXW9EjIwwTw9uSPAyIswz1ez2G+hsyTm0DM0Hd/Fgul5KcsNMsx2ZP
cY73ZPIXD63avbE7vbr3dVyozTxSO3pzX9f7++puqy0etJ+FPlK7fX5f87P7yi/V9o8md17ZChEY
FDZghpQdL0WMglmrmVrdKvR2LmKmo9agnmmoQV9Jrddeu1pv37jiShkk/VifdLO50aFWPWHI1i9m
mpWB1/FO9zmXAVCFPhmUpiljvWHg7h1QwhwaBW6YCuboiwavZGwWy5qmP7CQRsEi5R0hoSHNDujx
El+oORvYt4BSJgWq1L70zjI0PjS//x1OOfpKXafqMgeNaYFlyNHXHrinsrWhMJtBoTeLwnGixkL0
lX6EADyeQnoWhfksCv0hvPjrPMx+0ClkyHWbb7IAlhtM/QCRlW0ahSNFoTtQQwzihVAi3Q93wMlQ
2NOiUKi8JScnU8hUCURFc2CJXBDUCtocAMu4g1njHdhqRbFcIoV2EYj0o0/jF+TYjFLMFzjmqPFS
GJkr0iUgAcKQK/rdOpxqUg0z4GodzpvVdMfaKGT/ZgC/aYZDxoFC5GKFzVUKpWtEc+sH8XsIfIdA
XaLxc9/LHGc13G+ymxTa56PpO6P6s1auKd8rhQkugIOjQgnxmNcbcpmywIsGk4xX0ERCOg+2whdT
gMZEIY4UeoQsLaCQommxgylkstbTXQN8eqwALS2FXgqFY+YAmr1CNjuFcXZmXz2DfKELuEOgoUJD
qekbNuRIdatZYaUgRgXVrt4neSxfhcJTdWmbV4p683UB2CoBXclC+ywUCpsoPLZWyGytMNoesNYt
RmAp8QNnKjAu1Qr1WpQKTqnhM1qrtjaw9DBtCgNmYnFvdKxFsO9jutUVTmwoxLgBOm740Ku82SUx
suK5tdAxgDKnCm+e48kIGoVB03DzZcpACVCx9bt6TICqXYVa93FfrVOAbBZdfjuQbUth3JoE7aYh
+ZVOoJ0aNqUor5XbRWsLkJy6rt/tJNoTcpCvCFG/hmN7VcJb0onbNZwkuuDig+yKEr3h9DK2/WMt
uiu5Sg9Ma0D0Ditj3hERRY0ZtNzQRwhWuc3tO8Zvm4lNnICC/ktFAjgFDGvsNCtjdu2WXO1ieaRV
M/vDavdfuv/fLH4Q9MrO8q8Xv0P5g4iMv9L9f3zNL7rf+g3XKJywpbOf3W02vzY+7zcmft93zP+J
fvtz5SPfxrWV219FHFuEGiA5+LXyub+5/IX6MoRY923wP6D/cfv+beXzBAH0fDdki6h6Dbw+f7GH
9waD/BJP2iFkDA5Mmeff7DQEAu4T3SDqAfB+INVqXkiPUKNtFhni7FCB8sDpSeefEIQuh3oy/HB7
vK4L7NaHT3IHInIakwA1eq0IJjSS4HVL+VHYLFdIEYwr+K8DUY9H7gEu11vWWVoAOaEccuAcvWcS
nvJbM/XDVR++FQx/QNpx9tpBH7xXWTJo62XIy4XY2Xr6hiSHkCrq2maSPUxauIKJUAAqbinCzja1
I7PvsZaZEQqvAjPnzEMNcIvYrYzdCbaDYoEHJQswkTyR9Iz11vCsTV551Ck2DPAIfLzU3Ekfdasy
LMRnE2ra29DXmsB+l7ljrjMtqz7rtq7fKyTWl55kuHVv5u0J8dr46RVD+W51CfkJKMTmE/0/8mmu
0+ibERsGNiSjWmEagi9lvHWYxcGNvJG2z6l6tCnYhO730KytaPN0dzkjycUzqem0cnPZkjsXzGRB
uO7YR1hp+vVQ9g2JNrQQG4n7CEnoc/abxefU5gIpEakKVNTXqLbT7pm8rRZLSkv8zTibhIbVIicX
JCuPdhe5QTov/cmj7CI8LK2Qx4G6VjC4yPZp5bSle/b0wigxIs/5K6N5/9xbaFQZ6Uc8ttkgyFzJ
wq+dRlxdPdpyQyKgdh4XI11R0YEDlwcxiz/PsyUS/RsdwLVc237RnEd6Rk6gCgNqbJ+SSZ68mAHa
3Iqvg1Xmm1r67PDl6Ev65giOIaJpasTKd/rsm1RKiKidmBYiyucKfAZj+4HVBdntGErcEPSuRUgN
/VLscVomt7jOzDcjKpInf7H5aabuNs+ihnDsZWydhEGLHsKCKt5rZhe1q5mx2ugGuSe+j+YZRP5r
hwjCd62MmqOpF/7PsRndZusw72LFMkcv2aBa8W9+6iCQbLuowioRmc5jbOHV5WGG6oWRYck+rboy
/VUfQ39F+lIEvt1RuFmI8oXPMYPXauNHF4zkoRVzfHThIP2NwNCClrgkrM9BtR1wuVYvnin1a9RQ
gBtokr8XVWQ9yMHqK3p9i/qSlm6V0PJYcJd/nWg1VwYPisAt3h4sBzqsJdp8/leVIuq61eQPc+rc
Wrpx9fxMYeZETSYq/G4Bme9HXMaLHt7mcTDnY2zH6V6OzqPwiJzCELCgH8GwN1MG9zxhxxs27dTn
72Hoz4jUKC8M3N7y23VWG9W6xMP33BMgj18hER2zE8W7pD/oFwuH2rmzefJbeJJJQGnhbVE2bug/
zDaeyQzecL/cwnZCtpBAB3+ZwtEszk7f6ZiJ1NTiB1a99DozTosWg7RpUBhkeVLbj33zatHa9KRl
np8FU2OOB7MZjrR4Og9VXTe7osO7k9M9zsJRzE+y8oxDn+ZyVXl2dPDmNn8aG6ZrhpFpbWUpaibT
zzduzQdJONqqCIlDFzK+4CMnU7ljU+6SMx5pBg++k6nJXe+G+NET490JY4R+KftVaqx6heVQ1dby
bbRxPUH8v8aWaR3IGajWgrdli5mzvSa69e73dRQgbCJ6axy0h3QR4T5Sp/Xc62+l6OpVGLGHZvOP
ph1ODN05rXcErCRGN68pJNC3eht/mUw1/aXVK9lA7qHw6k+4QPKHEuOmz40PC5G/RmZzdcY0fexk
+RUiaWIQObnoWLaFXj0PqqmvmFz62nSCDvUxGwKjVLFnxDp4ezeG1JidknbHoZVoemLnQSaiPTZm
e8KHQ0Sk7w07ssatQLQzIdTUAOhg3Fl8xDiHfboa6+UdY0H74E+jtXUgaAwuo5PDp33Wo8bAEdCX
Nx1n1k6jBGhnwb1i9qmWC6lFKe7zChiP7vb6Sc6zfzMXMpoCIuzzp0yb2IT95odbxfoxSyJxWkjz
3Wjt6BXr2p5IOmXMZkn1uPxeaJmKAlDcKpCEsW0W0pKDyInmSz4BAMyDoAxW2fc122rhZZMnu9Ek
t0QWr5thaC9FkxV4N7GsARGET7YRWiurR6NsV/oMeTCcfDpWA3bB+Fs+hd/iVpdPRu2Oj8bkT6ek
ac2bk/jlM+2MBVO6c2wxtsGwcOmkmv4GYCdXtsYfcTqFayJ42Icy93OcsM16mu+uFwRtW3Ne/G0/
uvnvDglAl2XctP3Sn8fOQind9K114YzRzlgsXUybcSFvCLPyQNIqeSINylzbmIV21NzFn1aec2/5
VdvSEdXfuAhzfBt6/piCfK6c0nE3ibO0AebhRxf6POiMtDkUi2k+5p5JXW8/11d7FB82QVobiRP2
uSCZj/XXNd66ypLbdiT2gCsjztClDLqzFlSNY80zSNWyTWcn6iY5aYPjUxI6zug8kungdDwi6eN2
DlpONE9wH/7+Oyf/uzmZie1/NUCc/tnD/seX/Dkm41S3gb9dW/dsy/IN8T/+B0KSftNtVLEOJUlo
VFXC0a85GYLi11zs/EbUuYfvkYxyFRgp/hNZLEP2X+di3Td9HvEeZWu2iS/874YHGXYk20STQ+dR
7Yk1qWMC9SJpW+CsfavVSNhdYwl56mU4DsNLVc6CKgVb1zgZF1Zl8ZxXUqdDqm0ds5k22jI1Fm65
kOYl5sKBbc2VqNMvWWyRz7QtmqGwxkunU2g5MaG6o7VGDKNamro2L5zzYMn2k3ysJ+hiN1wLQyMA
PHZcKoN8H0mujIIaWOOZPEgcAWSJJIjufVHquCyJk1l2Bqu+fi4nkdustTo3iYu5od3TXNjLx1QL
s+dGUo7b5ovJqdTKXqybZkjrk4P0XTV0+181KKqKHzE7y2aiwBvcjXWFHlBYlQ3KFO9KZYLzLhlF
AXmr8SMhh/9x4Z7dVv1sg0eqPD7A44laETPWEMVXGmqCpcgPKV6uD6e15VejNRmHRQXUXPneZz7N
F0+HmFJ9a/OBP8KHoXfMa2InOiFfrth0qbI8M3fxb8gNooWlpHRHn2edvhowHEJwXL9YVT3F8bkV
4iEZhT3sS20pHnvRt69TXOAVb+Zxtyzu/OS3xnzU/FRN3IlBWXmIyHMf52nyg+vBfkozdAGbgZKw
a1yU3m6ynWbfVpNgbO3Kl3hxEXp6ffVYLZaLaDOKK1LEOuPBsgfjTaNQFU2DNMxrZUV94Nc5GijX
dQ9DIpZT3tnzAFBn9RthlP1GwwpCIm84bU18Knt8+lOFx0wuH9pc1FvajrQd5sblYMUGMQaF4R7i
VtTP5AWEF2jh6lxpUV/srEWbr1O/OINAfTZYneHQIfLn/5lrrCF+gPWo656e5eKuVhl8q2yOaU3z
XHlkdhlzyDpiYFJ/yynLg0Pg510NI9KuZUN8ttA//3uill3Szf/2RAU5/N+QhxP5vf1nNv+jpYxj
T33RL+hB/IYMXFDm+ItR/oU8+L/ZLicp6R8+5YoQ0f/vRDV9knUNugp03SQ2hK6tfzxhaZ/hXASS
EHf6+j87Yf96wBKMoPosSBkx8VuJfwrAM8kfp+0OS84gQsBH0xTuE+XQC9c4/qhEuv5x0L8THc/e
KC1rXCG08NFFDd2eAo9hZ0ohd8zOiGr+4W38/2QQ2n+Pyuel8ZbwJNINglN4/PwNE5larK2ZgRPd
RTdfXX0G4qu3oFNhkgptgvCAQBNhaeCQgONdxLam1QPVDpPfhz+8shRPLXy+bDb1TNfIGxak6DLH
cqQajxvzvYjhIvElD/WyXRDReEFup4Z+ZenxWi2gJkzz9jA04P16VnZxIPLRyqagstys+RKTW76v
Jo1KyLVv5/LmhW1OgTGtkgUAYOkfUfULBW+km6nxXzjdY/Bsnyb6x0U4/Re/IppkbGQxrDjBc6Ae
iJnvRDjoSMFoNloNVlOn5OczeTLcMuluh9CI82OHADjbolkn0yJF8fqENAdNSjRuyyZ8RTSv7Yht
b44ySsWuJy/lk0T95uoX9hTQT413uDrWldO+uPjUH4WPQs1t++4EizEcJ23QgsRdOHFzduSLJNzr
XEbxVkvSDCCqF9VNs/x33UQdQMNyVQWYjOOvRhjW7krv7fFBY6d+WvrMn9YucO9mTIbpHLnLs95H
+bWZe5zei1+6q3Z0CJn3Ms363rRwS34dA80TXrPwZNYT56Z7WX3DtWhCUHvFoz0sLlyZ2YjsATNb
a35JowYgSGjJdYEmtObQ2Eq48peZpRjnvlkeJqe2d3lelNva7eJsDcvbr1tTdzZL6Yo9brp64y7Y
ilEESKR5dXWw8CCvwcudJ951efKcDFYO6f4xIm0Nf77jHWOh51EQlnr+tUa8+1K5NJ7LUcDtZb1W
P8s2WS5maUxnc6AYhuRkZ2tRyrcBW0rIgxq6NTQdgZhJBR3O+25tFznincc1HH/LuOxXptFM644r
DYA6Gm+6O4wXn2fDyQas3uQWahBL4qnutIUMwDEx+YU68xZ3RQN6thirqEliLmkUsOF2HFC9kllm
OV+Ro8CUTDnPUs/vN7Y/im/kKMfrIp3nn0p2/UClnhV409TsAfkBG2lid955Ei/NOmRZPBiDkzZB
NZozGRudW847nsAgSUDfrbcyZOEaYEcyr5A3+NASUY5OhEVGeyEEBzjA0vIOQUcjaFmyKxtZNaz0
4C4QM4XI43OUOeWJtj7ePbzUy9oa0g1hEfE2x0uQ0iAYWp8FwTgODpKxecHaX559Qup5+xZJWynI
6das/HBteIm6u2JPWquIeWPYDTQJ5CBGGHDcUk/snZtVziHrmi9+PC7f3WGZNlAF1oGO2WqVOFgz
glpoFfyuO76jhPSaVe0hEl8V0VKKICPAi6aAsRznVdU27kcZun4f2LJB9V9h5R0uoHGIKcSCpKPw
PcJpxNDFxXmGqzBW/jwMhypyKptYnVxS/RF6+dWuKriEIYmMK0Db+OQ00OQI4LGfKGonv1rcGICK
dAKuRmSm2rZh0BiCuoHJdDgOiBPzITv6MC9eGYQkgjyzq5DPGOZDqDAoDbVvG0Bb6VdSqqsXlxEq
D0RP8L+uMCznDmc1CtkaFrt5wIoZPyYGFTi1QsCwf+Lcn/siKOoxwzKroDK6C7LPNIJDWSV3ME3D
yPvYUiOqfcXSBNw2KeTNuINw7h2Qi+qG8FdL4XTIK+RxLsT4Hnkx6KzC83BZyP0ExLdojtasIoX7
6XcIsFNoYOzjpXJHjFC2WQEWkjAcPyHQMt6qoUhu7jwVYt82bfRoWVaNumjuMrJK3bj9qGYd/ZGF
INjGIwdKCa2ZfYtJvURbKqbhoQMpBjzHSIdIxfRYbbO5i68EtYB+2kPLj8MlPfzO+Q6YqMXjVrpO
++Fo9EiuI19fzhZnMynzZnpoMmPaSIW6cjZMh1QhsYPCZEkWB54dFFKbgUGsZuKVQGGUQce/w7n0
jbhnevUAed3ZUIBvC/YLyAIMPHSyP3We49w/tr3mxaeCbSLGDccvOQh308bOZ2oCV4yeRdwuDuFX
ULz6kLIsPNKPLfipxacBnMmFaGfmddJocQk5+hc7P0ezF4JUVwffRQfp2Boye1FgE0cpsalrK73M
duXuLBYHvmCZjGvJjW4hiQAwtxV0bhi9ERTxDGrW8Efi6doH6dDyqUGYerJsaeXrto4B5G1/+BwU
SJ/huQyaAvGHmku+5wrM5yq1TUL7FcZv3fH+WUH/NNBQS8bjtDmZnqIPqCOHJxDt4lobKtxmKwBW
pKZtRpxQBRNQ46uTdl2JAAsiwrpzEohR4CciS3EVcIzwFnTmqaKN2B3Zpcl32tV3lqNXhEeiqA+W
Yj6u+BshnsNV063sNuvOczaF9i69cycmvsIFL0NsPrR3dgWAw7iSPApI2MXVB5ne3bZThAwMBZ8X
ViV4Gs1Myw/TlgXfExrHUIQO/gzQQlfRPJ5sxbnlOOMuUjRQdGeEmLtgh3JqQbhA6Gj+Jnz3vdUE
PqBZkIWBO64+pmDaLmZNT7NYENFykNYRYikgSbe4jdSmX+gfmZ8susWAhAfdDJxWQNI0uaFticC5
Rf7Iw5pgu4fYrqiRIXnNIIzFEXYAxASwNFoJ3W92YYH/KgsU+RdAWukkv3vEyCLQWzT/CLg0qgHT
NppNkRIeP4uls1bN2CwHL3XcCpCqd85doS/WijbL3kBAs2ATdNN0OEux2GigOUfSdVNajr1mPGne
jNSdtSdidQpr1/PQf+KuJdhV5xoINz4Ri8chbXgSWEgd5D4jGmsKpjGMQx6tFvNXlZve8zTRrlNJ
V2u5vmbn5FEehHXDN+udVzl5+kCqdTYhuXELwHpvem1wdKArGt0PiV5/Vzmg+6TiZ9qnJUjR8ui5
KXeybSaCZ5BlmatYLDwypAuznRS1eDQSqIqjVyf+FW9b/btf6hYiHj3SD/S05Pq6xK+CZq3HSTTB
fJjdyfFmo3L+GLL/C5T9u7XO91SB378mlB++JeVfYkKIYFdf8edO5wBzmY5tOZjTHGqlVaLjn1sd
RSr/l70zaY4bSbPtf+k9yuCY8cx6EyMiOAZHiRsYKVGYAcc8/Po+UGa1UcHooGWt36JklpUpOgE4
HO7fd++5HFngOQLDxTs+Ax3/XSaz/wVK2tYc2+Uw8xsG8u+ymQHr0ZzLbjaWdJWTn/1PDnUM8Sci
eZb4qPwc4DIc6o5JjyOcEkhkyoRFZz26a3O8cuKbD3fj1Ons0xAU93C+QxnmV+Yoyr//YFf3+zbF
nOdOHqL+RQIQAgERVHdu6f/e8/9glPlCP4xCNupADAqj2PlLrbwUw3tjfnXM/OJC5gLkhyHsqDB4
1xiinQ62ehijVTm9nb+KoxrmrEPAm4vDmmQbAdz2aAiLXVfeQbn0esPBx6e4wTKSxSHLyq0ZGtn2
/GifHv7v0QA/qw4Cdgst+p8XNJhDw3cZXWoRmOwX+CPKbOztgUz/KrP/GP5f8E5JLB2DIv8YE3Bq
KKEhtnaQ+prG8QEd+puEMy+4sNAJHoYYl2KAoPNKhT6yOH9Vn/QRXBX5jbO23p1xqEf3UCQmTjyd
ofIqby+TtEk8q4Ky5JP+uyiDIdsWHV6f84Oeuj70ewhEIRprqDP+vJVmhJFYoTXrjQl3UTP4w6oc
sAAKf5wf6hj/MM8RDeUHxUXgQlSa/xwq0RU5SakgVRxDHRC0jxFTKfGCJRonWVo45a0c8RPC8wqv
2nT4Knp3nhV/PeDdz//+rxnhzfgoYAzCn+al6WjWjIEhQzUJas/JcM1bORdolf3j+YucL+J4ELJL
6S2o8xJpI+n5+K4NgkCfxtUqD/KM2Np92EeLwNb961QDFzSN2oBg2B3WBF1Xm/NDn5o/ugaEiQBG
MkDnpfzj0K5pDCLQ9Mpj/zmupY6mgirSCINGUeka6wEt3jFEU3h+WEG57tNFz8AmLlbjoyDEcYhA
TWJVHHRl5ZlKXv0go0nt15Haa2u7Z9UxfeQ11Mv9vQoqcK/XarvB080jiAexHYeu30ayqp60cNLF
MprqeFU19kEz8TevOA72ly5+1E3hV+pKb8jjEHAq79kVtpggsMA9jIkD/R3s7gXoeXvpFPKFFjLC
BKdGWCM6r42r+bAeqguF0sYqUezwKpWoPpMSwbCF/f/Cqtp4F6qpfaFSf/uuZHYO3cEcwyu8HNYF
53tqC6pSr0PFpI8dZC0TdWhSIreSFiRcNj1GEMdXoQwBrdvlD0vL7L0f4cF1lBLWjj1RFdfqS4PE
r0dScYxDT39mq7R2ui70Kt4Z2WyCb4WxIR+PHeEgxZWjJsBidWNYsAh1d7pNGB4woubSJrpkjcJc
Gznx1eLKR1PlFeAelwGa4oMfd/0Pt0E10E16Wy8tUgaJ0KRWhn70vc8t/xtBdhWEfjedHq2ezhRN
fPFeVQOqZrM2ml9KSdzPcohJU3e1yAk3A/bgA1xHftB8gzEfXRWjqWFVB+CwtEZi2TPpN1gzfJ2A
gtnU56OTl0t+v4TyYWOzJ4+V6zgw3puafXo/Nu3PeBoejUl7d3PX/A5WEGljq0TfmmSId+pYckuq
kBcp74GeIux2FyHGNC8uWTHiVPIQTH9qnlqVn5cN/B64TJJ95pr1UzRPfeJH7YuMsuSVzHof1XVF
uZA9+gFfZbwLcr1bAWCsNtQZ1C0FHmKz+OAESxcR+trBCREvp9QJ9uZoaB4lTQbQJjLRyrjZ9pmT
eLEZd/dJMbX3BKnxH1duzcSgzX9IA048auone4e1l4JQ0a47FC83jsvtXJQzRCSrpLbCoWNfE4cZ
x7tYs7IN9BbcuwPyBH/ZVr64o0AUHMYgUu/jHPMqtsHIvIFPEm/DIFC3wqj8NyT3lCcGTfGvtd4t
/GUC9bGdT/9gV3zfuBnDCoZNALx5mGCNjbIqL0u8P3dIjbudhU/41icafMthVb+1MU5f9ob5hDR4
OsCeqDmSmZ3qtWFpabuyajjCt0M6EDwQ+m8kwc981h5Vro4GfEscl/PLiBPnlxL4zbJGyHBRYUZ5
C/FhrYO2NBBPkUeLwqFxFz6NN+6HryYc86fhZwpTjbTTjgCqMJCqJ2oxegjVtcsU0vGDSkt97Y8g
qBnMFFvHzqutSansm6P5HcUpMzyoWal6XUTa1cpoB9Iz7KjTFxkBSz9EUjd7nLPZNUQdQHoYyK/y
NnBvKF/pD6nbwNOlxKeshxLLWK8BOiFradpQxnFu46jKX8fQ7A9YwobbIQ6b66EuCd8a7PGqLl3z
IsFeuhWwzpZo5ax7SWFlhTdzQqGkON3SVEG0LUo41yGoEr85VBOWlgVqpgQXP4i9VQRthCp4D2Qx
sppsEcJhvS9pjmITsWpPdCxCiZLVW6YGCWvILVHlyZqQTBz/q1pG9YoNJeUB1Sgv0t6iihMWZfgw
aRkn6AC4RMZLE1rYOentanY+7fltgwdNFNN+hEBwQYcAYbDpowiPrVxFGJLF7s7hsLDhFG2tMOy6
O7N2C9LLh2It1bkaHyYRaXWWzpxA+z6hEILnjHin2ik4fbkMzCMbDqUKWS3tnH2rpu6y8+F8E1nG
Bkfj0Hmbswl468umYRnrkgMuZGcbxirhDKwCL6TSTzjObdtDv9G90wwGYgcE4ELLRU5SL5ChhaPE
8hWqlHijaFuPFPgj/1dNKMHTWKOyoR1Fgtb8n2u5Zd5TBK524xBkGuUgu78hEWrAOjESpuEkMF+Y
w781jyQGYiGrFr+HxMOWsHWoDUz+o+aCak8b9S1JmvrZhpGz6sh3qhZGpSvriOrqVS45z+Ma0u6M
fPC/x0ZYPHVRRqyp2+ZbIB3+OpqEOmtnsiUKfXepDi2RHUX7So+s2UFsdBIKg7FJ5Eiizp/3hMWz
6q7dRuX2Qe9V1hUMd9JGqOoJpQncxSiKwSsUl5qUI4W+oxyFY151umwf14IoX7uwIGEZ8TR5EBb5
heGnT54LE+peUMH+1tTddIgM9AALmTnR0pROzn7GwgQzyZZhCfT198OEBVBUbbekHqA8yMjqezCH
PHpHRxpQ2Hq1awks++kK/uskja37rLLMC1+QehVYdb2iGk+Jq2S/ueUgWu10jINPPUB6oNmldQ9d
T1mbKPmWDmWtbZC4+KLnj13tUi5WYnu47S1bWeuCNNvCxR0J5nS41avReAVNkq5zyQSnxkSoIjN6
Sd5Os4azkL8DBmh3Wq3WD3WCxJ6JFNziAAsI0WldSCpZtyQ8EWdPJXO4d7r1reEsSuBgpPmXaQ8B
aVkDBtjiwxtumyaZDpOidu9d7iuPmS192gZNLFaOQl7g7+eUNAPoPJVfdjB0jC+GFNcmDfWHwE9Y
ZPRk3MepRg/eHKLveVtjfS26YaPQcHomFtl47irFeI5NOV7zpbI2YRkqqzGKlJUijdCzfb+4AmVd
3RXoBNZI87M1QuTh+vddbyACrYracW5g+W7UPC/48NXxhVkVAiMamoG8pXpdMBE3A0KwC7sM83U+
GwqzsdGRwGZkUVWqwUuMI3XfamN64zsi2Amqn8ny91yeHDEdAEWDp6TUcDGhgrom6tRfZykh2sKg
1L0wzTy5Ucs421njYH1zQY5vG1+FR+1EfAwpjPH4p3K6SmoYGILCLa0HEktRWCQhS6AQd4B136oE
Ij2LwriDEZ/f2NU0raLCRHE11nJ8UingmTBheoghLXmhBAFgGnXB+bSJHcOPDCn76VqyN9rMvIj7
iSah3SvYCOUAr6Hm022HNIdtHHD6DB4lAQBRix8RFRG6a75N3Q4rFmU436jlVd+kuVjmdl48EBqd
b1oWHPZAoHAv6IE32PexEFWt1S2DMJ2ucBPLfelb/UbXhDKio86Vh1pVi2pJSZ4ds6FjrO1YNtSA
dLpFY8LcnOoIKrfTlfrMVsi3jcjTJ7VlOmVyYlvtRuJNDYzxygDUhn2rV9/QNIIRHqJCJ1W09vco
+Zp1RPdgPw39dKgS295bvTGunWasUJRqnaR62smSLo5FebDpsMsusBxPB9UaeOcVPYVi4fMPD4ZS
BvBw6Otdto0Sg3lOjNtYp6SL0Lr0PaBLxjYCZLyjNmsRqhNt5yu6sXHDLCFVhddYkbF+tVF2rw0k
xxZOnIPQCJUtZ/sGDKU5ai8jEUnkn+blvY7UlwZFpFwEfnfb0u4mlLQE4hIr706J6EcY+Te9RXSe
xqN/yWUkq1QtWDnNoK42jlP16yINtK3vR4QjsC+5QERKDndaqvaaHWK4l5OJnjGEbCajAhuulf2w
c+VHPZk3mNT0jTb02bxvK3eUziEoTdFDX4TTsnKUwGO12nIjuqVQMTMHPsc7DGnflFyvaC7qhLZH
GKFWTh8EtCRIRFWdRtnlJhaj1JZcL20ag12VZhms2PnVIP0rmYcBqCgIcRZg5ggZU9ciGorDl6CF
Xpegr4IJ2A7denCm4l4S2gIALVDxgWVaeBHGlrwFgCu/KQFUPL7qGYVz2f6QnW3d26KiUJw6wEPb
bpz2GiyiLYrk1gPHQhu9CErj1nCq6Za0g+peBlGy7jKQjEu6ppjyJstaA+P18U+FmKPQzW+6MqEa
p6bRnrb8CBetKd/casouhKvoHj10061WfRFgzt847ZAkF3X+xvZefB84jl8JF+H0stLM4tCVMaIx
co/7W38aCUMf8VjCiYFA6LS8ilkGXz6hJzUjbXiKcPTMNyM0yn7ZhdN4Y4gmPuQmxA2o5NV3q2J/
RRM91K5HQoqAz4b2PqGB9+yP9kxSyVv9SZ2/kJYgdVQNndAb8ry9CCMHrzQezGcaz6Y3NGW/T82g
u+iVMfnRGLNdKhQ8XKgN/m1ny+xnVtvqsgOB+VrXcUHXCdHAXiB5usQYTnVF4YCNSjc3OOvW6K5G
pTEe9Rwbd+KbIpmF5OF1oYzvSWc737TCzkHPTQ6hh+m0MYlVXsZg89AQhBOfwjAL20WLgHhljRUr
WZzGXkz2yUKC1eTx8rXdQ8unDxPqE0o0hwgbOa3osjzggEeKj7qQLJNmQc3WWeXuyKFYyOdKj4mX
slKqFyosb7q97Iy3xAFnDwVBFZfNlGq7qvLZSq2DbPQDmleJdFrF0+teyTyOS5byDl5lhrpU5k60
lvMEygWQsGydLaeYnjS7yH9MdaW55KOY3rJVjF8HoRePcZmU32QryZeQCk2eReQTI0YDflbzosAH
F6U0+cHQRZ8v6yIaXpLKwjvUVn28x3T5DvGfDEAqu5eD6+QXOjvbH7lEtQv2pF5ZSnI9FR2t+1pX
0m2T2OWy51FdJuCwSAYpZXNNITC4jtkMLWIjjeu145jlVRUQnlJXsXbH+/+zyWEgtHzTMFDQllro
fjPt0SC3twlypJURpCExlLXOhwvVoMgz/1BLvXijDPZiQDB6MXB2T7iiSDKxaCgpeS+2cTmxsktF
B+7bpvfoWFHyhGFZ3ZlqWmdL36o3VtiqiHngDprMeJqihbENUWdeagmGjAVIF0R56JfJW9GCNwRG
BDywEtI7VFCiBIP9wFGH70ngZi9+hspdBu6zMRj9hQr0astPAX02lM29ERk/bcCdNx1Frbdg8rtN
l/QOTitCeK5cd+q3XUUYs1s4zhYlzoA32OWm6L79bHeh8RB1BbKSNuKFJXJs0efsqcbQInpEMbcN
SIxbziBPLMjJzSAna1+WVr1o+sZayzT3Xws3mZZp1TuUCfX42sK6QwdO4RSjVexuEU+VUNH6/I78
EEK6NYV6c9bsGmfMDn6kWLd2qYL7iy3tmhgA/ZcIcmzTMeC4qo2CvZ+H7U1uDuElmXTmPaRAN8cB
OflK+z3O0Y6ESb3NWG7XndTpzzeDevD91vLSHtliQV7edqShe9+w4i7agY4x4SXqtkrbh6BFiT/Y
qrXXg2LcNn31Ag7K9uIg5IvFRnDPQqrg2Xa7S7Zy9r43soCgkDJh/1vkv9oGog95bvJNL2P5vXaa
tuQIUIbJW6HGsXohCFq8cHo/XlEt6ZlstfbQasowLhWcfO51RHCKtizyssSZhi/f3JQ5ZeSlE1bu
NZHM6UOe4QvNzBHgSgRdQFLCerC0+h3CeUtvka1KVeoAb6f+B3i6bG/C/l+yqeKQVHb4pUUS7wA0
CFQrwoOPG+95/81vdmY9ZUSkk/BZBB67wnRFueNHrUXtCpEXpJCY7yt0X68drFebI8gQT5dmpR7Y
Q80UVspESuuIH4ab9hdGYeprq4RwhDqtugl84XWu4v8KLd28RQCtHerB/VUOhvIU8Oo9wv6EnG3W
RQkmtRr8Ve2I2TRnFlvSfFu0SGW+QueMESOnAnC+EPq5CqrRdULJZ1DipjOs/1l/1WsX5GxE/dUu
43Qvsu7Rcjn3BxanW5dczf+gcq/TbFENTJt4K48qzUFVqgJ1NMPVjflQauWWEwAaDN9Wv2i3iLly
/Kmo7ZqawTacjot6XFmepr+L2tbU9j/q30X60W9/DlAvIE6kAkejpW4tZ1JfQ38+UfbU487f3VPV
e3yolm0ZOrnen7oHtt5MfaBWHlwU42Aik7mSAXXS86OcaofwCOcatkrj83el+0OrzBh8ozUyejC/
2yEdxqCl4RJ4JIxYfvH8Tl2QgS3XMXRKc+7cRP1Yrk8gkiFvhNzQg+BYaX3xYjnFy/nL+WqMo+5O
ZKK75m2tPKE1uGirreFkh/NDnJwczD90gUxFE8Pwn9fhurHTVxr4YMkH7CpoVW0P6JtqeddH30KF
VgtEVBVzILVWpA3qjviFr1o7n189CFJYnx3eP5fzy1FrxzAldraCzIhAYARqEBwue5GUl6kSQzmV
br46f9Gf7yvjkdDssphqwj5+90r2Vs4o9dLL4FRfGNZ4QDNof7GefJ6LOj10NNPUdzQC0o9ecDeA
B4czufSiBjdXLbHsF7K7tGMKmucv58RIXIQDaQ89y0wFO3qEdQRIZ3QKj6UNXolSX+A2fpBV/HR+
nBOPSdjYawTPipXrt0P8w9tlySzR3couvCkCTZ6+KmS9AwQhIMbfnx/ps7DaQcX9YaijZiMHVcvP
ENx4bedSvcuNYIGd+S9nabsuu3x6HAG1bFG0+9WqNBpnpWJJ+Q4pRCEWVWvWMS2grVZzliYfnipY
ZkzJ3nRiiTgZE3vQh9OVn7IZNEpC4YEBKms2V8061bA676GJD9d90VLGGlvSdjhro2MErPLFhWI2
Ol6baWVS3EdGbwrdPO76pemk6C7Zit5Uh82zm+XqteicO7DW0Ws2tfa+TeGUVKn/vRqSYGPjeqZx
Ze0sEuwik/aMKCUglPYx89kdNVaILie7k71zBYB6AuSdQE5KeooOkW4vSMnTkd32gKCqjqAjJVbI
hyWgkCzbqV81jUMs5JDEK87x9mVioGWIE7RJcDrClUsGGbllA57YInW5WxrKMHeq1TcbrdYXH60T
c02D9YaCg28W3/25W/phrvkkLdOGHbkvsVJfduTQ7HjqA2ThCtUr/vveOz/lPnd+gSzZmMYwO6D5
Pe78loXRdb3MCs+d+TYUXbJ1iWbq0tJls/WdoLmEmqQ+IGr+Kp36xOtLW1udTRRAtj6JLyCIdkrY
WrnHWXf81mFNfSkp+j6Yworf//FF0uVlNeLAw/+Oe+g0R9h0jm3uZV1FaRRDRUXNpsX1HefVzqqT
CHo4XTZMTxqVu/ODn7hO9lXEEOHR4yZrR18aG1MrZ88892B1R9sSumYwBPR74/Fv+uQ/UH2Qm8H7
ZKMwskm/OFoQOQjWQSHi1NMc53kc836lOaC+qlTX//E0ZbuBYAphFDKMT2lHEnNBGxA0QXORzAKc
H5j+45u+Ny0I/9bPf3oDDVXnwkgDEbSSjj9b8PplbqRk0dFb1z1FjnlBI4HCbk0kQv3FVurzC8hg
bG3YGph0tY4/XyUN4tBqM65MMR5CXXkuJ+cn2RMPQW99sQeZ3+U/96cMhT7H4tJY882jL2Wmh9GY
K3Rj5xAfnYKJW5h47dMOhGne7alVfLUbPT0iKVrI2OaX7vjzgsfPKeYRS9HtCap8LUbxoFf4xtvQ
gsbTapf//NGx8Z6NoiTe0/L5czkza84djW8nntK2+zHtPMNIbiJL/WKYzxsbQzVVNDI6vBFu5vzv
P6ya8KBJV+dHe52iKQ8KkPydHPginr+Yz0slowjYK6zM5GDORrKPo5CwN+RxLBKv0jnWctxbpjFh
hrl1iMuGrhqIFjgkf4GF/s93enYJf5ol88IBwpTo9U8+W3I7Gxf9S+K5JhpocL6cxXOZANp2adVN
OZ2sesSmtFAKA688jhlJ7Vu1t81QBruUZtKmZ1s0jWZ5R/AMkcBSsjmYtwVlQQAE2hjr0dV6i3iS
2vzitz/5YBx3PvwA0UHL/+ctoy8ZppQ3U48SFSjm0Y33ykCx4/yD+bzC8mBmN7IrcOx92nJmRsln
JChSL29shMNF56mJeHDs5qtdy6lHgfEfVSV8Ws6wf16Naad6Lgmk97RB6nSz/RATkzpszl/NqRUI
dzZ6RGzVqL4+3TNVG4JWSVAQ1FjNbD5Tg9k267pO37oYMfL54U7dPC6JADsbbyQe8j8vymkiC7MD
r+iY+D/ne1dF1iGr/Ofzw5x6eWa/oI0kl4PBsV18qBPSPgtenjQinjYZBXV23/xJxbXYVIHp/OhT
Ge9QsdRffKpOrXm/7e4o6E4ceqifqKFudIkX4NlpcuV1ioONjJ9kPN3zIn4x2qkJz7FHY7Jzsvyk
Fky5RtuSdeIRfJdsM8vEs6nFyur8zRSn5gg30db4HOHmPz7wu602tCZ1N49sVfUpClWY1iiOgYCD
2KNAb/ePQNyKZVs03U055sm1mdr6NnQQdk2jtOguxXIlSh+/Gkkhm7Bt469Ot+Lknbc5YfNmgm4+
3vhUfq0Sy5DxtRkMaoVN+SoaF1+27tS7yHae24HqhC1DKpm5Hj0lfVfvfLd4CWnrTpZsIL5kxo4q
EukNoyJxi3Ed52/kiftIY4stqG3rqCyPP4ipze8QDWy3oVL+lJOAuSlRVPkpTezx9fxYJ24HYGte
bHNWrLLr/vNF0wTWRxzubO198VOl4LDKTPW1HtPcg7ser9EMN1/sME68dEJQtmdHwxfr0xa7q4gV
qIKCy4vNb2EUKEuN1j3FzIrILW0sH8uqL1e0ZDvvn1+rEMg5qUixQTxeKQ3AAFHl1IXHWe26tHpY
W1V6QJYcLMIkeIJuHPzzfRsDzmUAvMmQl4+WMd6VvqmNsiCQPSiXWNRoTeZ6c+hLN/MyYpW/GO/E
ssl47KFmOhybxXlmfdhygGU2wqjg1g5dgITbqPqVWhblSkcW958M5QLccCw2jM7xR1TC8WmynCOa
INX3Fi8iaG+7sS6iVogvlq9Tc1TnhZp9CLPk+WiOduhi8onKgAcqnKTi4t00ywfQBdWCHIyD05Kv
dH6inLqNOqYLzcThzg7x6LGJgYK7Vk+5N2kTQh+7v6vaaiXneKvzA51YmNEWq6auU3nGxjH/Ih+e
l5x6ZCCAyL00MJ+DYdg6U/lwfoiZs3K8VftjjKM54SpxEhsGY6DqFQuMTXJfm7V5p7WWD0KvJz8o
UPuF2VcSPmYcPBZ9hf3LpGHT4myi+NciicqJEy2MARmMLgThnmPqRXpT7SfDCA+aS15TPhJh5Es1
32Y1Cg1OtyNg7oDMPtNBrU2Iya0pIEsvMHuJu8nNUFzkok42RVZXW7WDYcIBaghu8DOxOywiQrew
y96Egx1uYaCMu9REp9XpYXbVKVXnOYn7EBVJveQOJ5uMWhGwQdRCHgolmCH9JNd+G5ooBpP+sjD0
aDkzozfnb++puWkI2xbME50+xdHctMq6bEaLuYlW8LUcmlcnlDeGrmyAbK99BRPv+fFOTU323Gz2
KN+jjD8azwzHHATemHs4Wuea0zUwpV3f5F9sXj/7C0gBxD5B4Y8agfU7cuDDxDSGJIR+4+YeStKD
lFGFcMj5USaPdKKu6EovW1N7Car8iyOTfnpcqrTcUQ7XxxsyV2YlDmGTmkgxTt/CAUYNOWjKAbW7
mq5pnHPGKWfcc5N05SqF2UCHK2chL7VuZyL1NeNe2elqq2xEY+RLH3UYE05uMX7QxnLjN1Pg0+0H
9ECJPQUrtxGAKzGTg74mGzEx6qUzmQD9m9hIFs0kg3XM7wOqWL4j/Ba38W+P59CXGxxd/P8ZsPew
buK1rdjaU6mbXz2KU0/cAjxku/gReCDzLfvwKCK1NrM86XJPbV5HfBmLsVe3iSBs9/zMOrUWfRjn
eGPUyS5LC7fPPcecDYXUG5YQL9bnBzm1tbF0m9OqRr/NmgmpHy9GLQHtlkaVezSdnOVo5gsO489F
gjE9rMcvTGcnB5vhqGx8cbcdHyKsisUoB3KMCMeCsVFM286QG2RgCCqb6Ivbd2ohsCj787XAsvdp
85uOI6lKSCm8Kq4OWm2DNfPHZzDG702EeSu0vriT4tS8sOmscYDFS2Uf92mmWqbcX/Zp8ZCGWD00
sXemqt9p1OJXha6E0BjKZjlIV7+LVD/0xgBlM8z1/MoJHKKtC2N8tPEFoNH2A1D155/0yV+PBZEy
EvVb93hhhA1aE6fNNqcv5bvuBk+h1t2nOs3k/2AcmyxIdpTW7Jv5c0bVnTKGElGOx0lUUs1pXvNR
6VdFW33xIT21baU4hXtNnf+wj95DvXeRcSPA8hqE42GNzq3PD1Vh4pcWN0DDHrLU/aJQcWoCfxjy
eMMaT0aKUEfNPHA6W2gG766RonC19lXRfXHm0E/NX06kNMnYPnIWPiojNLPnfxrsjGVGG1+aUP7q
I9dadqkguFLEwVKRCgnXrMjrqJwFx4qY5VkVyh+3q5+BW4XPfunUXqshW8bagtkgbKp70uGKlZND
cIVD5WwGu3eeHJNVE5ZgjWpCqcmBSebSZqH9UnsNTXvhrAapvsRFe40nUa4xwb9HTtcT5EgyGPxO
7V6ivORjT3Dw+dl06i64s1OXEgfz9rgBm6ayrnNEyt4kpx1ZGOS0qcazKc0LaqbPTTT2Xwx46hHP
9gwcgzbF1uPbLmMRjCWbIS8qXQL9ZFsBhef0u9IDPwV0OQtT//El8l2f3cYuRpxPp0vXGh0g+Xrq
JW4wx/uRoJOH7NDGuKifYzJHADWFb+fH/K3XOKoqo73RuKm8ohxtj2ZXAGaYzmyaeVY2ucuwb617
IxTdMtdH8yIsUqJptcxZxQaSrd86ZWeOq83aqVk3aIm2St8jmf3ilzpRxESVQNVnXrXtT2ffYDAn
CfyWpWPy0bPpgbFBlaZvar+qt9C59AUzBfmUma5dwEEwT+sE+bXxN37y/6ym6ifWytkXjhwDcjmN
Nu3PNUxFGmGRDUm8WB7rtEZmcXOkp9MBgSUhyjwue9fESBLxWdSQaSgik45DHxUuX3fb6726GUdf
/RYabLy1ZlK/sS3Ot2HPlMI2kRD87ZpbdLnvgOcWLNnd2rDicI1g0FhVSt54oVXaa0D6NvEDF1qR
6PcJsdE3vLY4UYCvTs+h07r7VLW/qyQBfnEwP3X9dMDwoNtzh/64cES5LU7rRuf602S4D/HneoM1
RM+RUMLN+Yd+aijUl2gNcKPz2TjagNB0KktgN5nnwjFcydKZLT2DTPZumAbP58f6/dyOZ/1c/dU5
vfIZPD7+E8Setn0WcTjoTB9mIg1jHB+TIba+LLpVbqfiQhSqf9sMWn+taUpw0BryjKC2yq3M1Wr3
+xf6//iGL/ANGiUsVvr/RQmsXpvXvyPkrl+z9//+r6vXakxf858fqXx//6W/CQ62SWYbTEyWLo6T
FAdYyP9NcHD/xe4D3RGtubnOz5T7m+AAlo8OLzPbBTAyV7s4m/8bfGr/i70ExyuKrYbN11D/JwSH
46+IO5fIZ5M0BRmOCcezOldx5WZhAvggEOYE0dvISTkPxscMNhFqZ/MrDML8mnyc2Qxok3/AF4vf
/HNFuaHhA0jMGj2i1KuDqnQYfAgy3X54CLd//byPwIDj0yCjoMqdTfwmS+Onj2NDp64rzXDwxgbL
Q0/47SEpKtZG25BrVenThagpcYEUV+7q3h4ezw9vusdfiHlTyYuLFMrReMbHx+C2HR24eXYDbN5K
h82ATmWT2iF+SIQSl4MWVvsBqW69RQydCXJBdb9eVDJip1TTZb2HLi6I5fUdDI09ZFcAUfgSnKlP
NiNRXRhTipGwNT1ViOUbJA5B7IQ1wFV0t+MvKgsJCZJOsprwJHghEFKAala5p4JffsNSOG79jpBS
kpQEnO6iZG1bUHCdPLUcxAOaPHld9TSd8Dtjq9IxjPdWLV+dLItI7ym6kVBLrqiD7f2UtnDZ6njI
L32Bbxl7DvzcviADOvRVyt/RKL+LQOUv9kPkXtbloK3Zkft3bmcT6dbVUi123Ko8A/uk8nd9Fl99
SxIPl6naNQZ2PCpk74zOyh6K8MZEnk1ZxkVkhpUEkb0dVYci7SAJdbNSO25sIoEtlEGTPpDZpmb9
Svejap+0Wnmos8bfI8kZtlYpyChDZrQWetM9xWrWPZXxZN3zdCB6c74kN5z8htYayh8jZPVlYLPz
iPp8fMTBX3yHfseTKVlvPWv22Nt9hQWoyd1LC1KgV5bh+KvHJPOoVvyVUa3qZwuV9qU/ED2PcUc8
tOnE1qnp88uhKNzLLGOHtYJCC5jfyJDwL6x2UmExpJLgNJ8sg7zT1kWpJXfSCpG8iwC1rlZUPwyf
fwwSBILLAHN04CkDndTcaEvIWrzOjtKMWytq0x0Ae3k92rKH9xOn4arWIV0AgKrTncSZRuXCTDCX
KsNWIc7+LkDCt7GcsLw2EEDBQgq690SFMZTjtqN2pqosGqJ4iYaye6LdMV25ZceP0okrk8AUF2Lg
it1ekdd+Mr/sSmneKIHaIenkWiwjdheNS0Zgh6cgW3Rh3r2LJBrn8DXjJjB4Ej7isYWRy3GVKfCX
VjjOua9JIF9tkn2XUJbieNUMSpTjr/D9O0v1yx80n6ervA/HR40P6TbHgwSisEw2EDObn2psiQfY
cf0qnA0dQuHe1gHPESYxt3qeomk+dO8jBMjNhNmBmI2JJ2FYCMkNwfyH3CS/p4Ht79M6+d4rdbsP
oyq7CZxfKsm73SJSMos0QJ9A87A2X3AcwzlGuf4UaMxNfBdJtNWwRq0MI30xyKx6bwxbXsvYZFIO
5MwPIQ8KV2Wz8UtD3shMN27cpjdv2tEXD3lUy+8tGUwvOFeYrTYeWaLFihf9f9g7s924kWxdPxEb
nIfbZM6p2ZYs+YaQJ85kBMdgPP35qOo+uywXbPS+3iig4G6XxEySEbHWv/4BOvmlQJT9QYVLSOJ0
ESLbbOb2NQ2RAVIeLga0bNIO3r5cmLEISFUwHtQimmGr8kJfg9L2nwRt+MPSDla4AYytYmuwkJpW
RR37s5kfh9Yms1IRUHlAKtl9BVQweUx1SVA5ynP5bOWo/ZANB5DHbUfeDD7qTvsT4KtV+i9T28zD
17wb3ZccWUaZHidHNy40S200O4h283i9yDnxiFB3RvcBYSYSPVctjxbKYIK3R8IKLE9BG5Ta3/Me
euZmAJRvNq0a2JrG5mZsI3uDPCg6u0Z5N5i9cY8f/YPhjTduLeo9AhLvXndgSV6gnJvOSz8kXnJT
I3TYEkaeHlNbZ6faLh97Bpc7zMzG3eguX/KwHnfuNH4rM7s+kQDydRnd7JRp5kGNNYqrFve0XeVN
KgYgGb5ZiM52ad5fUC4le9jGFpLdMtpaS4c5QuClkBjS/MbV6AaNSExLTIjg2S/Cs1EKEtwq8oU3
IkrkCd4NLGVDuTGiCm9T56SQb+qq+pEKPYRg702As4K7xNg4PyxNkO/s2oguBRL+ayD6GdkKCxbd
p3XJF3jqYxSmJw2sHtvWZJ7MxpiOdYC6UAxOSNqCYcfCCVmWhIUcMhOiom3U5mX28ug4ptYHp06i
PeBKf2U1kVPtbO79117MM1GctKUwF3EbTWg8humIni/Y+xZZ95iIXI29XcWNbY5wOCMLlDTCm9pL
fLldkv6r087jIfVSzjwO8HCPnGzaZJiI74rGlw+MZy10bWW/h7WV4aBWGpi6hupz6E0QPJ1SXRq1
6guqsnxBqtAGsa/85RDlUz7HTLRDQlZC2CWT61AhOsyCLFL+XMImgxM4o21uFzYRFNGlsPuNYF1d
k8coLjMxdDjtmvYJzgTJHFnGqup3aQrnqAFw2SyD5Z2F36lHPTsYyK0CZoZQx7naOpPRnq3O16+i
Mj3Qtlp/FIVo0eT20VFpLzrVY7Lc5aWjt1MyynOJoWfs2xWSD5+IvGom26h3Hfc+6IGY22RlHaQd
ckhThHtpTMxYcBLZzOShbMkDLZ4Dn0Sm0FxmPGHXsMZoMvZYubYQZev7yjI4y3GIOeW5o5wNzMlt
aqTRE1Yb1oFg1jUNvs1O4aRwuJsT97oF+cs35Ww81IMKbyyplzM+pejc8FXE7ED6Xf3dTeUN8oPg
KlLw3slIm7t0U8Ebg6STldei19ZJMG2RGA773aXSifMyYq5Htp03Q8+18Ra/ZEtKBmthFeZ3gZyo
wu248dXWLMzppKWMYlEb3WHE2f5lrsY8BwjKiyuXoJ6vtVP45rXVuxMTOIsgG+8FQZCJdVRJEgu+
l7BQDNWU+yDzpi9tYbXxUM1rXSDkPbqbivDvqWl3iPTzC/a18HaRJxYBr1+dneDPd1eR7FsXhi3A
Ia6oXo5KEU/mmCBl73axk/xIjJ74YovQIAFOEInKszE3byVSUTicQ/Aq8CzpMZO1E4/NWQzfwjyZ
BbMSWui9WfYcOLB/lx/00SHzQyN5EEwdWAMlZUKQmCLZpt5IQZTldSwz4d1qNOgPBpk1fN3cyfYj
NoHoDJkExTVFXobNtBJflBiZbmWQLVD+cjpDi8YM9a34krlNmLO19N8ELj7h1vbIF91Y9YomqWWx
d5Sh/geFtWGP/lZK1O0Yim6LzK5OAPfNVYX8++ia/bytW0zih64geqsWNoLbzOs53KO6NR6aNBqf
cttJb9OaSqPxfHFDsv36KSL57OC/mm9IbFo3ZV0vPwYMhDZ5FFCeRFJad2yDzTdH+HTBRgra0VMm
nv2UjWhTd3ycVXh+yCxjfMpyk2dnSSNsYrPulkNa+8vFJN9gR1LlvE1XUVhLsfUCz7SO+2Utf1EP
vQSDqvAk4CsA7EC8qtXyA6FBfiDZpd01RR5trHzG1mJZcx83rXAq3LMIIfhDE2H92kQgaghXviEW
E+vQ7md0xxsNqJSk8x4VyrsYW1JR7GRN9kO7KN6KHEZslDnBj8lepiOOJQTjWvYr5PhPGCM4DPk4
pgzyprcjjOjrqbPdl0mgaia9sryYZk32MRw7hYRHNNMFAXF4Snyr3GIRqfe54kbWPMJjGuF0Y1oZ
ij1VUydUdXTFwa33jXKWC7yBedtJeLPt+mRtnIMeprTzPxhesPyow9TE0axxybB3et5tLMmoN+a2
IkWZFydLWmolmhTqwbTkPyI+gUffYQaCwHCtkVSj5X0DX5ZnicZx62KO8ozFOBaaOHd/cJ1S7GyV
kKsBteGqGCVnv0Wrh6HF9JRqg+xnRFXV584ZS/88VDrA4zOZU25STj6VofpB7by0zEhvE05SIZ51
MNTFqwpEhZQavlBjP7UJbjm9dNBpB76u0hNerfk20ev/kVBIJVsTlZsfJzlEuwk+UmhfmCz1SDcd
JdgFqaU6MyuaLebnfOO0iXBJ5uXHgEZRQgUK7xFjobiijTFRk1EA9qHbfzLRfccIfL249wysCepI
wJVEcYyK0BVflmIs911OUOg4caqZ5ayPeDFRyGWNPz4NefU56KjbtbLESzhXTr7tlnyimOfeRauO
9Kz1iv15mfGAqNY5WSzY+9KZ8kMCj66JcWCuToMXtq9kmbav7kJa3GBXtr1pFM/TGcLujg4gvFqk
iXJ+ptnyq6b/1NTUkBieEv+nhvbzsNbUTRZVcVYPeMu6ulIEDVbzSOpoWp+wwaBabAJnw5kV3NdO
Nz6Z1mjv7MZuX72+yw8In5aLsOhatl2jWXlDa/UYs9LIS1mJmwHfXkxuXdW+DkkDEB4OVKSJ66Jm
bD3NGunNEUMxZfGXRPbJr22juCu1rjYYw+Drm7v6yPxSnqWQoCGYnePmFK1bV0Z8195bgjVq3ZbP
UFDDK2umvcWpKbpKSR4650vQXPlkjxyY9SyHxrS9uA2b6YkRFG3VvOSHcO28mRCJm5qI5mNApvMj
wyD9I2SV6l0eavFS+vXdpALxZRgH2hzTS2+txsVLYM7WwCN+aWOsBcv6qZUbAR6EEHe6uGXecrU4
c3Wy1qWq6GQ5SMp5K2hSP3tS4ffW1QVaamYlu3HK6UjXpiFXJo1Tplx5bzYdT6YtOALe9kDRpA0W
gam9YJdM+OpabNBPO+iDAbT4dlWwXHSKu46aQDXeXkNsGtnA0wbrJzUa+GCkdJpOv8j7t067cXh9
0ACRnoeFxwY/k+qEa0dOyAkHWcV86WpM8Nx9a8uM1OA2QIcl+MZlwb8BKDrHwqgUNOJzlv0gUmK5
1iy3Jlbk4CUM6MEgwhTUwBSqfJAC6smGwiNava4Itm3xqpEj9h4Yi/CI0xlHeIWl04Z5qU3zrFmC
DLOBPhI/A3YpTS8Wo9HuMAGmjQQwmXcNZl0xVpD4f5X4F3HQmB2AA8MssHaQGNxT5LN2XAAKb5jl
V7wq7R2uH8tjg+/AJrG76mSsTS1KIrY1Oqnk/NYhoyQlB77HSytudM5vqm2abKnZ4hyLy7/1zQF2
QdeqBDNrWtKyDdP4bpp6LVMCg8dX1RxSsofY8terSfDkXri05E1rJQ+mVTVXorXLLdKA8Cocevnc
WmAXVp+CZUCbbK5mqPxELlLhxqk5sLkbdv8NrVD7WaVduO1MGV3NAftsO2fcwsyT3VcTEzc01SVB
FD1l664nEvqInX90tb7Pslu3YQQj/aXqK5CgKA+oNcqOH48GSTomNIaP2Yo2zrJYTwEK489WyCvh
6pHsZZm0r5mVpLfBSIaG1a3vD84RWEGA/1Q+XydZUYe3siIktHOP1Ub5UJNGsNcux6QPDefj29lg
DUBvY5hmtwFbPv0+4NVESNttkBoeR8UchVcy4g7LpbQ/zt0yxVGNyZTfUoG4tCGk7xbWR+FjDpOP
PMgIYO60VGZzhclfc+XZFA/1+gwy6qWXHrKZ2He6pSiaLXYzN52elpnyRJTgImZb2R+NmijvhH3s
GWsg8YJ0ITnTN/rxGxQzDYBFIf4655SIo22hADJ6dhMRU16W+zRUvCGtwld2oMisWdiI+h3Qp7Zi
USzm1H7GXhtgcAarc/KEEm2gYHFw3dzagHo7DntenrdtVgXcDTr25dKRU/SJbmohkNFeI1TrXtH9
d46662iWH0VAtWQQNbDEE4EJt9AB8kM2sY7KyOHU8idBbe3wrhlERKoZnMKuVJ2fGtzYz7OoAG/W
rRKhjL3rSqe8xUYR50U/90AbMFdzZMT5kNGqsiY7UEHI8Ms1lHkUHjIYvwdNog4DH31D9DULN48o
/ohVEl/w6qHkkOQ+noqGRZaLPLvFYe3zNHncNR0YzolAA5bKVHIPhsqkCp1m+UxVUrgbUvGwE8Gq
IaJuGb38ZsYRjLBvSTnRtokTk6SwbKeRB76E6BZKGyjz7X++LcylLjhiDGvsvnozZ6rgUDk1elB3
2AIu+zojRLqdWxZ07spzGnhsMsx40lvELIy2tZfra+FrKuE5WHDoLH+Mrm79XdbTOLwBdEGPdQUW
gw/zWgUsRB0i6bX1eKCB4xvPp6AqEPaH7ovu0gzHBBDwgUZ2N3oBFyvbMTwPyfAnfpn1nuawQt5I
qBDBIYHEGHodNfyNbjS2DhmjSEeObg44HKNS924Df7B36YDr2OKytWURxfeQmuouSFHmFb2HIQ3F
QZo09C4NuQy9My2XZhbyeRxd9xb3QPXIlqD/MMz7Zay8fthVrg8tFAL/L467DPjKYDKc/mjkDnlW
feN/WAS9mGkV2a0x0piAVlCIWhNNEaZylFZAGeeSmue1EECrbw/79wX/28j+59mIA3XOhQIEHcj9
hXaUYi9BUmTaH+vakbxokbN6J4zySs/GdOi6MdvSvevdwiySQmcEZCsETzfI1k4OUcBDMfNSobpl
N0i89hvm9sF96KeYYgwYdiZG18qNHLw/Evh/7VSIFnh7+gEU4l8kK50dlW2aGsMxNWx5TmCbrMg9
1aMsZIeD4DqJcGS4ndgTP/cLp0gzN/SF4+D9e/byf6PKP40q4aez5H4zqsy/wol/bX4aVf71Q/8J
ELP/xbDs7xli/39UGZn/cpm9ROhqPWgPrs/E7T9u8+G/4Iwz7PJpUplNrdzxf88qyTXH+RIlW7iy
EOEpeP/NrPK9AgMrexyyXbAEhuIu3PF3O4xUhKLIqrcuDQXNIOMprXN17Ly1V8nMBqpemy34IhWl
ZcyPuUI3RxObCYqzSHiv2I82tgWyh6oEy1pymZGsIsV0i0tqSwPz1KQpAfqbnrnc3+70P8wj10/2
t5VNeDgfGOdrenj4A+w6P++NYT/OFRQwAkTY/B6srDFij8iMq2UKTA6YJan+QFFx1tj6d5dEPYv6
3qOO8+GcvOMrGHmFiePYpmTjRlftEOAOV5ED6B/gdKeSoZI05NHqTPAiRAVSxaM7Be6ROO0p2Xsp
flqnJGAeudETml9MRZORSMkBW8ewycH022ZUd0iRrI+VbQ364CZNeyn6VYuc5g1QlVUmnb+R5I7p
mCBhEDfSi7jXhj+ph0qzG9hEbbzie9n2m0KGXCrKkinddUFS1NvZwxQdsb7Rh7HPE5FxPfTjuIcd
uFwvPhPBjrEdplFO5WEgy4xnQaeBEHrA0bELiYyPgzQnKJombk531vrJzcytGBhkqf3Rok3Rmzzo
+W64SckXI8NLNvVnPobCallhU2yLF3uasT/yW1tmt0RG8omixXNOi7Yy9dgxYoYcLA3OCLvIrB4C
DIKOG2jjgbH3g8UXzzZFYXYeup73LyVpMzZsnHwedNdQ+DmVrT6J0FLGZ8ceuHN5jz0AIHKr2lMn
GLfGE+YTGscpkJ1NJSb+Vow4be/wXmVgqrQETDBwI8rWJrwnXx3HSbA+MPB8dXXwXos5TZ7GxY+e
prHjx+ltMI6TqOIg6vKrzV5yk/LF5Sn47jD0zxlTRnF0tVnXO+6jM8Ze7nBbcqOiXlIeR8mHRbc8
1mk15rhA1Kuys14fSbDenAifMJ4fNluXSBqLxQBjILsUs6z5OkuxPDRCE9AeBw11XBG2kPY9t1AE
dguLsGI8hJ8cAphg2052tWM2lhKYJ60VG1bLR0qK4cbwIsy06wLjR2qmkeFWMXjXy5L6T8YUWDfz
JKo73DzTV5vMmGNrVG4Y53YTvDZpOX0SjlkogAde2WymHJnmaQjjrEDfFde4RS9nW/keuFAbRE8G
XP3h3s7Jhtp6U8Brg+EWt3fOa7+7NQflwfzyUqOBqThKx8IN0A0z7WwL3kj761wrnl3uCHf+sRTL
KF74Y138EGpWD3lt0gj5sKXiNuUd6anDxzhrI+sjc34eT1Ua0t8YRIX5IO+6qhn1teKFO8PiCrCi
1odStHOy701D9M89kdwPUCNYCETacINzG47roaSevXhMs0gCV313TKcC7KZIbHWHMY48jtj1EYKG
sTXxPu3IVXz8IzSaxt6IdlA1uC9EgdBfj3iVXpqstLuPpdaG8YR3upZXA+mg3d2imBMQnuaw/ep6
XqLH3DXr8iEhG+cIdtjJOJkc56Qn+GYbvdTcy445ch4rc6b9jKKUGyFAa49JFcKbcNlVsISUUD3i
txe5VAYPDktd1rE/rYti6GhgNmoGumMzb+2P+WgwBQ+tMPOfVRWO9m2RUP4AClhvGU+zdZP5YZEy
Haq5plGmhcK3Ne2Kz53VAQxuMDAdvjlJOJSfOnYICwf2hGyy27ZuGj/cqNRIol1Q4fK6s0sYrqTP
mcW5lwHPfKg666YYYB58CsdElt+9oLFtkswXAu92tTnZ9m3N+aNJ6R3B9k5JY4c4HxPEZpqnzCaR
nFywAAt0A3UNY3VNn5mn4U0DCe7Zm8ZktYf9ECDTIjuwbsdHiBHGjhI12/Ji9LEzptnJqaIEzgOe
bps6h/9qOdaCjX9Qe0dswP1V1VJII/+UZu7Y713h+Q0pcmJJCIAnmFCI0HzqPWHHTm1+NhrydIeG
JrFcGgxVs1mFR7wU0y9VnwTfVUqORGN1zS3eYVcjQZPLrqw6dY8RV/rZc6ZmV3NIbZm8OA+hTJrP
lpvVe7sx0wR9d012yBB0d1GKgW0gSpxVMYCvrnORVo920QebyOyHvTYGXK4mhVwIx1c8MGdxO1W6
vvIYxO5GEKV7tnXxuYjG7MPkVndzYKri0Emc/eSCAZtZtM1hytv8Q9r71SNazD7dd0PDEIYDbFuV
Up8rQtX2cHoIFcbYYgWcAra9yWk/cuiI58arRbYtdN+QwWu2nzKYS9xaDNhIpPHGJvYRYN4In2Fa
mk/kwWN0+CPvgm5b0cwc7VWqi+W9fYMZauBuM9NrsJBcKAe2PTF4F9nX7SGs5IIhT+W0p9WldZ96
1n2RtOJgwrLcYignngFOxMwpNfmnBi7AtFvqYLyRg5t8INnSPxi9LnH3g4SNM4wOoXj6/o2RDfLC
hr0c0TYsp9mwInjK5bxb+g5zVGDuWI5LAS7W+x+nfNLfTLMqLiTE6kvXdNGfMl3etYuURNA2V0Y8
LC0Uxu9LoqVO3SHqBvcMYsYZRjwGRwyvLftco3BJh2vBT8VGPfFn0yhYpL+vyeDxvSuQUMnyD0ll
dFKgfz/XZLKtHRKwwFXUILpj2UBxMGeHU9A16E+YNLaXhG3mD1d9x3/ja2MyAoMUrh0xM2i4f76q
m+gsyGYvOkuwihcoKOxMYrApcn7/7d7RVd+uQ0OG4p5y00aK+/N1pgyGRB+lydkt1xInMDsOjRXu
9lTCjvXfXwzKO20/FTqcxXe30mITMVKq0HNYzdGuXWFJIgGr2MjHaPf7S/1aScNVBDGnGTDhXr83
hZFpFAiszfF09BfrplnhLg+BBcOSob30qwLgv74e4cAo7bFe9eHmveOfozpn36hq76xVljz9dQY2
JNjgxd70lEOkTnJ7f3/NX9+RcM0jRi+yprl477UEbeNKU1VMq8YxX53pAKyUNf/JiuMfrwJtOsL7
YWVjvntoVWLPTZL3/jkFEj0uOSBkEP5RpvBPVwGVC7HvieC5vl9l/uDY0jP4LgzNw62fg9wCLP8v
nhLRaA6MUrqdlV7689teyloC8yGpsRNgcsjtPJNpgdi5W5LBuhmEmvQfWrpftw/2dBYzXwtxMZf9
+ZJNPiXLXPnu2WgT/9kCUj5rc6IUGRHD7RqQfHvj95rN6/cvx68LGw565MDkM9H4//JCYm2Sm1rg
Hl6OLK6EUNbL4E/hVhfMTn5/qX/4irwc0OqpwdFevN+rAphKXKq2wX1XpLG22ovuB2hvLi9MuXZw
an1rfn/Rf/p+yM9CpMfeP9gjTUyjnIywuXPlk2XU1K5zqswwO9Do/HGhvcnaf+7LI9AJRDtuEJGM
/stKy8IuNFnOZyKBgYoLq/YQNAdm9SAm3RFXWcEySxbKZDVT183UWv3NJGHE7F2GwzQXrffKgKz/
hrDLoerUTZXdhaUv/uTE8eu+x7jYQQ/Hbu6TULaus7+hq03uzTk0EN7w2uFCecJwoVAGxxUmKrxq
RURZ//sn8Zat9/7uYEKEVD+CyRy+tztKK/CShCPmbIQGta4KHfoH3EZhq3QWJ1YmkvV9L3LrRo6V
fAFg19bWySP1IHtbVtgRj1ruqZJAoJkbZ9vff8B/uifslG++lzy79xIoU8JBnkJWfa1Dim7TKz5b
qeGcMdJqchB7808wzi/vpk/MIasBKIdXFLLdzw9B5v1a9GPTPrkJzuLM5ovNIhteUyXoxn//7f7p
YuBG2JFhzvSr32uoCftLJSkPCn3/XdHApoRjQJfjmYIu6fcX+2Wb5puFITCdidqA7exdWVKXhiX6
xFwI6fBoLNOc1OYNC5Eu8fcXst9BxTauD46/nt0eXw4HiHcvMjEkufJFMHOAd1l/Z9LDjbER9gMS
cZS2/UUUE0iImzKezOasJpROBE63kdV6DLZSPWTkn1YbY6ZZinuLkbkOuu5oGj5QFqiXszcxUqM9
lyXN8Vt20NBAXav/2434zWYIowfONSxh3lciOaEIIqj7/mxrmOkz7o8XZvT5ITWJwvz9TfvlRedS
vAMuXppAer/4jzAxsYdJMbjs8MtlGFjw/XHniHZ4eLWXNdDmT/jhenr9benjPsp+SIIe/7Y8hCvv
nlKjaxIWOs89+1K533Gcmc6dm0RPb4CIH+A+vJW68h5bpew/HAD2+1fE5cpIuXyHK9tQOd+MKf62
17lVMuQulgtnCw5xraH9hT6mEgsjJcdGRZCEX6Aple52anurv4nSlhXodGl+tIcFxgI+2MuDOdag
iLpc8RqJ3Sl1/djx57f5X1f7fQF/0MrvAgJMG34TcV7HiIgGYtNLwp/uvaLXT4gaOe4MDoPDMnTk
hUzdIvoNc1N1580KaKxPSnC/EuAo2eRySlcdHM4K1/hil93WtMr6fgZtuOn8wTgowqTuMKkz9IFE
gRLK5QCz1wwgnGK/X5gY6QfeSLya24mroXTh5QYVXh/bFqknDbTOzzB2rJhxvkfY12iRI95sRonF
MNi3OUHydnTRtKwZfBM1hCarsr7NHTFKV4UBuyeOlFjBUOiV2d20KP4cGFK3J5+wD6SLHVEiRwy0
aEoaqflbLYN/F59TmYC8RNVa10jBWsuaykNq0hA9HZcWTtgEKnQqKk+YsKoHQVxLdoeXRYWlfyqn
4b53eh6ILbB63bVWLcqHVpucF904WHKPpYN6KHFpvEp9vy0fAmH134hA4ltApPX0d8dvRve6k9YK
Rc04028grvCDfHXv1WOahP+VFbnRrrQL92paqaIgGjB6sXAkyG7vC9hVW3AQkKtBZwDhYb34zm5y
En7j6GeJ9QXObnOSqhiND4ogKx3LUnNqRWbjAuFkldOTPT5P3vBg5cRgbEtel+yOdhH+jbUEEDgN
g3HvNHU9UTUM5I1YiwYCjG+vJiYantC5aSZaXDuY8+DKnRJrPmVQVhLOVWvKb9quAtMKMfPUB4Vg
1N6QCALKmI6m6j5ajddVsIg8XjCkt1jqG3nH2fBWB4DZ8/ZBxwFqyPwW3IyJHQQ9rMgVFt0EeKgf
0aCTO8h26u4vCM6rRj6MkyH6cQvbe82TLEt2PeF84vjXsvJt9hbikpzTHKAoem1wXCI+xMNp0VJW
lh9Be8Hm7cFlG+98j7dIhiu3IKs87qvdr5i5U/TjlyVHQrNXOTj8X6MZvIlfE89ZC4nUpbYjzdp9
ra1iRWI74PmNwHXpCDEOBP7t+Av8EZAxA7sKrjwCzPSmNHNV7Bkvmv2lRpqiD7UwmDRUi8uNdZGz
OfsistP8vm8kH8QywU7I9rN74gosqT6PKnAMqNWBV5YPYYu92rWnKiRQRdG4a/BfvnwPDSYZuyKU
tnu/WAIUOFuojbEbtuag5jxmDJC1RF4Bg28jl2lOyQoenOAThXlJ/qfXDZBEN1U+CXjqSaJrsHmj
8opz1fWg9QTOzhaslkaHIAKFm5xr01RAbSDkQwhApsepmP868f9vTvrHOSmr5m/H76+Szrxpvvft
8PrzoPTtp/4zKEW4Ga5EB8ahjkURw4H9b01nFPzLBgJBVfk2CwU6+J9BafQvFI+M+Mn4XVu3gEP3
P4NSByVohJcgXR2EBH7zfzUoReH48/mN/zpNMOaRNAyrkcabX/zfjlAHwluNjY15aUyjzeQIc9A3
tjAfExQ2lhK7kuTudrM4E7mbCmsmRDpicAieqOA41jpvmDMt/TVkGDdq4XsX+pPSles+WRHV1Xbu
rS9wXNPHWsHOy1Pf+zRBtLxGljLcaeTjyT5vC2zRWiyor9OZv4wnX0XiYBQZlqND0VyCAtZSrQjp
7AbnizGjUbgwjVKoiHx7uJoKRCyPTpmMwVVPFhn83MqfR9h8tbNGlq7DW7tXzMZacwOxZK8XqOe6
7Jet05lOnAXO+IJT3MysaUTteF06OXwz2eH0tC95th9QNdV+7NhNWyLWT/JHK1sI4mH+RZxUXgCv
os6FCwlr4oPvjvapD4bsYKuCdMxo2ZFnuao1ZY6tJbD+obDzjwtUpju/YIJ55D9xrlEOJDXiNAhZ
A/5t3aZzCdMYLONVla7ahGZRz3BfAw4KBDQ73LIjFU+wk7bghNLbadrMB8usvOspYh5lDWNgncYo
knT9OkqedB0GH0TgJR+7YbHDU5cMjrEteuFVUO1cdmbCoYrnCa4QBlx2EJcYKHEPxLSRpKWc/ait
LoMIuJdjTc4QlU3CbHhZ5sswDmkYG6nIdkHu6wfZpG5uHhIiGI+lhVpn6ECL7GHGAGLWzRbwaMpI
HJHFPlyS5Oi2tf0stAN7VveG/hhVQeVuhnQO8qNrmGH1lHdYsD0iS0M+vRs5Y5WxI4Ak6vsDs5HF
7E9QAhtM34vKy63XtIfQxJMjXczD0GlX925sQ/C8IVNw3ikzIaEraqwT2DXZQIm/Q5NSxWXZzkWc
e6hQ3FbW0PeiAaMEKD2b1bWdHB3PRqxFrg6KjhCzWSP4WCrUKp59Ssfu2luzz/SsNyS437hSSxys
iOhSJCkHZbNvqEwfDSO7V0i2Nx2X2adakcc7LS+WORPBGeTJPpmWD6DpPaGtOCOhdiiuZG2YJ+G5
5X5IpH2OMFPYlJSzu97A06h2VX52gZL2c9iiQ6kWfTIlS9P2K/uRQMnPzRCiArPSYEP+qRG7hNXs
2yYYhjOC8uJEVfalo5o4d4QAXySTia3WNYb/sPoZn8W9K8a9qwX3x0BiVhtNnEojMjYCBhQBedl3
DxIatHSEVUwf8Mky4Wq6HbIcNPMID8YlvSK3Bx8mBL4HKFofhtwghrLNrQ1jhiR2u8K649MXl8Jb
jI7B4yBOEDzG77D/lm1IFNY+YLEdCdLblgEHZJNqBNNSnprZ+yCd6oEI3yttJdSlo7lm/n7MffKv
zD46B+n80EfQCXVtb1E47VIUOkRDZXE4uY+9lIdwUdcFUjnY/6Pad6IiTjRhmJYm7pPvMLYnCKnf
WnX1vXKh79rNTBgrwWsfcgOfI2lZcTRAZ4QtxSaYh9euIAOwqMlaMYlV2OAd5d4T/MlwS3UNw9Fp
5t0S2K7wPPwDdU8fG1k0HsOu+qoD7Bso8qMzAX6EAXRMzDC/L26yaCig6mEowaqw7tNM3k8EXRkh
X0q3zY0K3eK1WnezckwCsQmL3rgIYbsPuS39cyuGLOaBUdLg1vQSyOyZdGzKGVv9yIbaOqZBT4uS
y4pItdVVj8HleVxyZ9ezrd8PRMBt0N5Ep7IIHhK/u2cMbu7ZJsJLWxhzEBPKOXxiXxm39hQk00Y4
Q3FT2OMUy6EcDiYPam+2cmSi5WUPjlLRdadM2A3GsHULgu5SmyDuaLxdVL0nB4mY2UIE+IH3Dz1h
c9yhlcdmFntkUQ4fr3VfMzdHypFxOkgSC0oLg/ti+Fg1pb+3a518mMv5WhiyixXpco/QWh49BCqb
ypheex09+ynaPHSxvMejQJ9coQ605z003FPrF4fILhLuonRvbCuVhznsvjaEc+28TvdHc7A/Cuy9
eYFLBgl1Vk0XT87mTWY5D2Mkrqo+e/JL4v1sWHgmNlgbdtqdb0Sf3Whm9Op6cbnupcII78LeOfR5
oR4Uj4741gkfT7bR8HOZpNZzRcTPtnMClprh0rEG03WwTDuy+850x8Pem6R96ZCAbuQkiABGWZ3F
5VKFh0qN+pS1w3EQ5KzlSXmAwZrHaWQIRpXGnsOsinUSBZtwRh6wad3R/UpO5LASzY3wZtH/j70z
240cybLtr/QPMEHjTODiPjh9drlrDknxQigUIZJmJI3z9PW9PLKyOgd01i2gXy7QQFWhAhGuwQfy
2D57r20692lxNVn7TX0mPWdE8zjQICzd9BuccScarf5mymruCWP+LJxhX5J/DIeFG6sMw43VdI/0
nV/qzC8+hqmka2F+lb7KNwO/D8YBrSKgRdlpmImTNIXYOhgUrSihZfcyYXknHxPX1brnFHZyMzfZ
zoY9r9o+sd9i3VfU1AuaEg2Ws9UmUFyZhsIu7xJjaEk9NsQgcK1HFTn8/axp4xRCVNuyr/obi7wC
Lg+Lw0tvEiOzjefUGK+3Z0JQ2gtXRuBeRhPcHmaN8tZMqmFaO3PuEJOcF9k/lNIIDmGrluM02M/O
ZFbfAEZSLBkXeCO2tBNj+7ZzAUHUcTSJEu6z1mbowo/CGO5E6mdR54zdQ+uWd2NpGBwg6UOb0/5W
QaVpG7vZ0rilj0SWX4IWJteU0YRsYH5BuBzWFjmnr1xenf0o5vhdLqLZ4INqDnSdWBuph3TnYZFe
BfRFRoVy+GXb4S1MANOVZmCc6WFTXypC4ivIWsGnB1R53bPGX7mpnb/rwJ8f/dHASNIHb7Zyqwje
gP8FK3e2NmLPjCw/lU+EPkz8FIinoQ8pyLYnvZ6c64eIF0yuiIpiOGf/zeeaHy/hBLMp5PeqUd9m
0/AfwrAcXux2oC+xTy+Yq931DAsMr0olCC1lgGY5FDfOqjKb/NQui8aE3zvMCGVyFla+71SsIsJj
GJb7UD9gjqiJggVpf08uO9gvvle/GEu4pw5vehpa2Eu0LlNIHJIBvYFK8L1WwQdX53xbY1lcc4br
nzMpTl5ph7sqbOa1i8lrE7OnP5Pl89YdrcxR6lrIL4aWFk4LiJ+w5OsbKVqqPLt2vimcMdyPWkwk
LuuPPKGugeb1jDxiNYhHLpAthrHepvva68Y03zllgq+icBQ3r9Yo32o2hyeSMu42Zxb8Yo6NPZMO
ygNMDc5sPxapLb4hqHjf6MMkd7xc66PjtMZJnjMw9DznFqh8vE7EIZ1iOPr9YhBAMNelbd3GHFRs
PrdlA6mDjNW6YPKIUhAkSRoVsUCXPDV4JLaqGJJHakDRss4MWlFBPKkJl4Nnjd9ZY3m7Ghf6umBf
tqHu/mpOoTtzmdxwxU1yx6t2dKVD4Swn2XWutSSB1H8dOqeLrKXqaU+NbUoqdbxq4pr7n9KwR0oi
BHHVrfC55Xsbo8EqbeRwLM2Rol/7IlNpYxOiFiuvvOCUpQU2wo59k/JDbGbpNh8oXgRX5exM8a3P
UwYm/BA0A8XPqE7FKq+tdWw49pq8DiBat1kFVIZhK5jLjV+Dhyt53xWkdVcs1kSkjbKKMmdY4y+q
uZwQOMBAORDuIy++qPTrGFIXw4C/NQOeYvJ2z5MmD0xLCc6grDiNXjavwZFjopsYDfG24XZO/Ip7
Yq4PWjsPIeaSHZnUj7zsn3HVALzwlvuu4JxidS6ufnyQBIO7deXMFDVWbnM2mmkgJmJYX1i6Ub+Y
F8Xz1NE1iZbJrW6myU0KylhtjTckZaG6sqRGWSuW56KucETh04oyHWffVSPWYvIpwsa8uZlybzWb
UG29KYiffZHf1GnvXBon7KK+Lj8ZfolspO1GyEVHqaEsXtIBq2ObQpPri+fGkXQgOn2yrZ0y3Dgg
OBm6A3c1GzI/A+G4YkVVsYVzVF+8IP5mtg1wVMqNdumopvt6xgoZtp6I5txn6hFVeGtW8lJOc3+x
TB0VmrrYpW2umok5XyxoDQZdBSDTtU1Af8AaEvrjDVvf75rzBqn1NytY3pPK2/mi7W845s48GQpn
zXKIAzVscKXt8vTTCGqg/F5r3ohWVvtaNXe0JwEGSLk8pnUQ4R0wt1XF8RYznb2DAbOztCtQq+SJ
7AA3UGkeTRU8k5uA6JYt75Pff8R98k1rxftH2/d9d/Z1/KyHhUryqUy+GgbBzZ5EENGUJUps/2YJ
g9eg0usmDPVOcXNcgcEAhkLgh05EU9w4TnUvR6Yzo5Vm1PVUTK8UsdmLivXIeGbckdEegpUqpoVb
goz5dbkT1JhiqnQ7B+DnG97BX+cm/WETzqf5c5xXqW21zWp0IC+Q0Creci3hCmeZKGDnW0A7J23n
DHi68dfwbsr7EVslhSNTDU/dUzuZGUkTVRah1Ugrlr7WKLDpIX5yyKnq57EPcoTOdDgwVatDSFH3
zglLZ1vNS3Iazd7bNmX/NDek8KE+3oZBL+/KzBCfbtb2pyXNvCNoiWZv5bM69sAMtu7oNE9OOUN9
bKx3zvDyrEqHA35i3i5LMpA00smNjWIX9cC0zkjGMAcW4Ne2Jg8tKZPdDpBrth1bjXVDuDe2Szxf
pe2sE3yDq4J6VAqgu2vRJhAUHHUAZug98Sppb6w0j289bMKw5OZvED7CVWH5mHZznjGG2nPZg0xt
5HwAJo1tcRwu2O8YK9oUI6oKv8KkytZ14OP7LFJMuZVbMgY1y3pUfPk2HJETOWRRoMrbtQDJYJEG
ht8WsUOR2xQyyYG58eAXJU7tvBi2Vxbdhqs5ZcCFW25ywtASRjSHqeChl4az4yiM4mJP8m1QIdWu
sWOqM7dq7kIjp4XL3IYnUJnBqgLkvbZi36V4vYgMJO+VFlZ98ufWJG+bZ/tW0YTcNDSc4yQ0T52q
u2Or7c96AcOCC2p1PVtYS3YRXN03E4ndO9nwMmpFoDRUIJTyfIwMXGUrT2fdWuHnPo2OvMsszI1K
F+fE87/oIGx3zNc1cFne/u00bUth7mhxG+hZdTnLgKm+kgv4Uhg3MT52PxZd4STszjP6/aqZYxRu
G08wJcbsM8qoID23GruUX498Hqm8CG8xV2XXjPfgIfGDq8plaJmPI5/UqL/SDMy+4xrpigbuyvBt
8OU3sj40M9R3JJWnQ9bO1poj5IlL9Bc4jyVgkGnDUYt3Mip/1A3tuOLTYF6oi7J2wTQioyzcdNF8
cW2Lh1kah0D2m2XwVAS0oAw56CzlS+0YyCbjOAZbC42Za+eDNSczv9HQbdTPIvpgjJKG42BnmPD+
CGSiCKxFnI3HlNQNXcPlt7LT4b1MDF7IwN3VY52ucRwuzzgq7qjLAeFTCYvIrbmlAMdfOTQ6w6jU
hH488rqgxnz5VMTpj0DUl3axTirw3m1hoYq/d6LY9V3w2Qzk/swgmze0nMioLcJ1LctIyEqul3r4
rDrw7rmhvqa1kW7qq/TfVkakLDq48yVAK1lkmKzLEi0gFQtji4yhssq7JuUCHbV9403YfB3/lryi
dTSY6StstbT+jAOH8qGeG/4Rd3IM72AjzKrelO1UNuu089nre6cKgA0pv8iTE7ubSeX9FhUHB07e
U069CL/mDj3X/Q0b5WbnwJoJV0QkmkOW1yxAuKp1K3aHjVswGtcpnl4m8u7JcLyi3RYBbs9tY6ix
iWxWbPrkcUaYuXxYfbaVTihqa0VUGvxDheZAytm86YnAfGvV5KsODFrYolj8um7+n9brdz/0lUzY
/p/rF/5guOA6l3b/949/bH/9c/JDX9XvP/xhU3ZZN9/3P5r54Ufb5zz0Vxzp9V/+v/7lPxCJ/1KJ
Z7/790p822b8B0z8H7X4n4/7TYsnfmRiyRCsigkf/RTcf9PiiR8RDOfNi7fiN7Ii//cfortt/kIq
CWNfaOEn9Hw3+HdE9z9vzEP3qrWTcwIJi6v1zzjp3uyCtBvShP1huZzNK3DEBimfrZw8ZFtuJmnz
MfVD/VEJKHG/e1ruft3L/x53yHLhj3o/Lk+XRjJBdNC2Q5xT133A7/R+pOjaVRT1HAoJgs1PCPaT
2uZzuRSY7dyOqHNXuyAFyepwExSkm53VcIX0ac6xzwu4IYZhYvMo9opyk1UoZpaaKsb6hIIIEW42
MFpUqlksSDZZv5zizJ97PpeVRTi9g/vmA67gp+QCO6f0AFx+stwgybAlr+k23TapHZL0wR7yQCzE
B45EhDcYR5aRVxDBT2Scj7PmqN2J580ryaLzY5LCpJiyeqdgc9liDiWtCxjlMGNW5maTOszz+3yu
kr55FPHSG8eACU8wn/IqfR8SO/G2Y+gzWZtDnGSbok+mhttcarhvqRnOmtgRI3960p3N4n81Mk+P
d7Xlgw32k2BMLktopMFWU/KUPFB+7OEvUUXt0H5RmFzJWzSztZGatnsQzvVfJpAN/NepUVW5QzbF
TQPHBGr1nHLVjEVLnEWMwWIHESA0QR/gqvBi0ycrVSbfimVObgd/1htNqB912p/raoVWFbwu/dQZ
XJHHacO6G9CXt6w7/nTd/JM2lvVw8RlZ20iZib3P8VdwBrD0eozj4bWhAygI813RFFc6UsAaOdxW
zRBISN0e9zomktqpqzvqzS3eMJUPwafPdGTMYXw/ePP0zI1UvZopRRx+XqaRTewm6jLl/jDKST7g
4JlWhLbrdRka4TYF6kAJfGi/ATripseGdJ35TXnIwrI7OnG+x+qSP6S5VPfDhA0fBzg1kuVYwx0c
PYaP8jCF8xMsBLpvjDBsv7lXgEEBlGQ9cUI/qITyVHPsihN+vRY+ooMAu2Q50zjkhNoQ6S6ZdPjh
AefKOZA28m4gyvOeDNz6GUBm8xLOATenTgrjCPaDR81mad43V4TQCFbui23lT9KorDePDG0SQcv5
yCxPfPECPlTOaDtbxgnnkHCsRiCfoJjY4484boP3BeVyE1aUrYM0TLp35MWNXFhni3R0VqoaT4OT
ure5avOtPSw2B7Qk1vuGRfiB8I93hlkm3iarDy7CL0GoWWN3CKUC4+DMIScM3T61pPtu7dHVe2UX
9gnW4XQhNcNOLalcujdScQEKI1/rMpVvvKL5bpp6+9TrJd/3ZVldFJj4jyrpvDiKm8Q/Zo293NVu
N3CowtxJOkYMq7gKfCaajkW3YSDZGzA1zzSe2/fhYnrQ1vhI7POpiVkdBFl2LDn43vYIIjdDY2cv
WDjI8dvzaJ4rNWTnLlX1U6/68RG+dHUkoVVuDLigb6ip8kszeN2pczX4aYRySfG9v1hbUaTFHX7p
+ABoftx1i5ngCQqDbVMP7qc7NPUOQ9P8MklAEAihh1JVBcya+EzsCeJOn5qr8ef6rEwOVlidZtec
kVRtBmOn/96XIxYFRRGeidNuVbqc1oRoSVxnpb+1UhPO/OTV38iH9yezHrNt7sxZ5JXOeC81x96U
xpq9bnr7Hkvw/NrrbPkgvTjc84TEtxMulBc2ACIanLFY8znp1rqYJEw4R+4qR3o12AatnilLyfEF
CT4txrUlxFfVd3hY3W4BQdWyMDDtzeRNDtSUprsDRVpaKKPzlQA6pGBDXOtzsVJWOCZZTd7KHKQQ
PJ7AoAznNC7uKnTKi6Wt5BXycL5b3LDeQnDC/gC8wTx7mTLPYafCi8Hm7n6ehp4bBWWMN1qLfBfm
021e9xVIMD6oWNMTZ70gMBdRPHYMzViAjpXmSEMQIIt4MspzXyMV+TaXGtRWcp8YHqzaEY/ezHIt
Mjsjjtramz/I3U2cVY2gyRh4pdy3c1t/Y1PJUk+qI/cSjM60O36VHNkPeeviLKWO6Ek0sn1I/M6/
4PtCSIP9hClqVvVzW/YhUrO/nAcG0/dK96yIhRgf8kyjJvLp8W/KcZy/gzSSc4RByd2XpTsejaQY
dnErhsvQNfYRztE161PXX0bXbe8ml/PHDFluZ2dTes+drXrzwl5/C7rS/5wxGrFo6VpClmHyHfVD
XuEa6HhdRS1R0J/mqXXXvjA7hEZ+zig0Wk4KQslxZbb58F4VaGSkKsm0wk8w8IekTv2Fmqduo31y
WdQfZHHkelJ9lg7eJwoU6pcgKT1v4+ik+GYnSbAr6yk+9yIOTkNQGuClluaQhgGSuAKWMlvc31Dz
uvzSOWZ4K4OiPSsxd5uegjM6NI3uHHd4XKSj0Mpzn5PsUPYv1BDgWqrQlVkdApddtfbY31dJG9ws
Rjj/MO0+71dhn3G7DnmOT/nYGU9p6npvdUYv4aRY7jBzU1F8vWjT2bcsMW08ZqAhsZT2haYRupNL
2BoqyGexkrEb7PwOgY73xJjZkRUaZIAFbXqT9oN3hTV9a2b2O+ETfTaS0n0MEMKx+Ez2zdiFDpfB
2brDOGdG8CXO1xeQ0I0tdkvXR8NcZlfQrnXug04eEkvbqyYt9Z1OLPvZD7phM/kGEnKt3Z3hSURM
nMEbfIgWUbGMqmVtV8SAzfYefqfz0aVN3oGkrJZ1Pw7ho3AxJJR1a21NvExPbixTh7Nq5dypuIYv
Yg1TeJ8n4DqxjOpoNO2bIG5GXvbCMXFRIM863nQMOyvY4DWrf6R9ZnUQwpCh46729yy+qqjN2zkq
47m9q5a8ooayqvfw+Kz9BAk0giViROO4hMsuFo3/wixgPU12KGdSnGDjgsLo3wpI09tYVa9unfsb
Q4b3tgWLi9/P7Jg7Rno5LC55yUp2MgXc0hgHD9sF4Wok25ibdr18ZFVT1OyB4/Fo9dPa1dzeaPFK
eGs6HKekcu9iZtOtoPjt1APukWy1G1+ubdqIJUs+p7/Y0C84dDdfgNcXt+RxnSqKWVXtuN+V28Hp
wSZ2HMuMTPh7C7bNrS/8ibuCn70xoHmozRIxvZ7jfV/JmA22Av7qCwC+BzdPRMQ7m1CgrvAoNM4k
XSJRmvF1aEkrctR78JomXY2LPR48cybLCBuGzwkmZd4coY+suqSon8raKZPLCsYbhumJSbWEhmaO
j4OZJ8+m0vmzYzEDOpgVnIg1V31bqS48Lepa9Z648QGIKh6WBAgBPgvNHQy5Oj5k/YBSRJRSHmWH
vYNVnsh6RsxQ7zl3Ju0Pu5B+G5LBxEmPTQGaxk08wCnBIdYc3ZzNMVF5+4xAO1/CGhE4VFkSdUk9
HdNyXDYJg//rgsIuHe8p8YD29VZ2IVcg+C2dY6F88RU8uoXGQuVKHWOlWPkFyZZlsA4zJcSrYUzt
dd0D56ns5b1JAeH6xn1QISaGoH/WOaF4ZHQ2Q7orx51JR0Sk4GdPHBFOWS6KTU5JHC+LvQWP7kSc
kvu1nTPcGHkGcCqzz63rvImWheg0dLBNlcrXSgXokEXOE1OM7CEKpAm8WdUKt2B5ZGNus/sLtmlS
zkcWHrfp7Fhf7Ia4ahRMuohMr2y2gpxVtBgTSXrV2+tFz5z/nYLA0zSulkzab7NhTYieGCKKMNiF
sevfTl6qosor8Vry9ns3aO4hux8/wSHw9pURz0fEc/OcFnm2HpLRiZag4TbXptkhq3xil223RLjq
3Wh2+nFV6S65lGTot6GS861r8svJIN9kS1dwTqiaDiESh8ffHw3/eiz1LAwf7AzhZvy1XSqNkS6y
PsgOsmg51hkTxOpmCbhKu/AQHx2z5ETKLFVyywaE9Pff/E8RBk6l15IUy7rmsui4+zMSCBcZW5il
yg5iglG+SGrfQNKkt4EK1cPff6s/BRiu3wq+I/+9nn7/mgvMcGF5ABr4VpUFmpTPyEwefE70j7//
Pn+p5rh+I4z417IVgCjen7vBlJ5nXDB+cugrNGsCRM7B63/ywrPurm4UMY0hTNnIz07xXvkJJ+px
ATdGvfL1cM1Or9z8/JH+p5Whc/bR6FZ/dn/Ugn7qO/8lFP1/pR9Rw/67V++vTk5dUtr1Jx/nz8f8
QztCOPqFiIGHkn6Nr5Lj+KePExIKvR1o9jBthMl1D0XlN+BN+ItpmvwVISAWq3yq/ikpOc4vNilR
hlrLJPFIxvffkZQc+09hGRJw9LNf2yFtEsOE4v4Uw6jQ12HGz/DV2FMJJNeCNQbBFxe8tqfmvQ+e
o0QwT8CKXRETZ/oQjChHEvzexjiIUDAKC1KcmdYTfPIarZzR1/tYIDZtwM4FDsvkar7RbMfyl2xx
6hvdLuZ3aScTlNteTf3KBEdwRe8Pg73LDE8/4zHz8ULW4TAcWWY347nhKrlJcdlzgmafg3/Qg/TM
RzUSfdyt2FjcmP1cZSuYJuCuZblYazTer0NvgVBg83Jwhokj2SwD8YMoFCLuz1KlMOBDs0H9YTXg
eGl2ptVsPDBo+nuDYtXDoAuJBJuV0/1QGztL9tZaW+HLCJl2lxp5x+I30defCnfHy+S2VcSSHucJ
sIs0FBzHrxYLIVjRiLhb9zqXHLRIG7nMciUfVwaNpuXGEaMpr3jleZbNpRd3mZW5RziM7R2wc+md
RuG7HzwjgDLbUMbNE4XPywE0RWs4J79JJrWRDTUfzgiEedcEVQorfbLGM8Q5SNv5deckhFluMQgV
A/UZTpp29p4y55TEEzasauj9EwIQQfwlEi1FxYhAqeolmyYqpmABHESBWWpg7qas2MM7LoiV/Qxj
+H61rizurINtiYe2hXPDetuYvoelX8nPEJfDJyVQnDouVklnJHQJPANbr8uuqRnyGv5rBWX7eu4M
hxsg5OroYbfhiWpUTLlV3stDxu7P3jS5uhdCNxszwywXp2q8bWfsPmaWSd6WLD/Xc6VohEP7OQZS
acjp5rIFXa12imYPkVXTQ+f1DmhdI7fWWchMHuV1lxyDoPOdyLF5tiNLBvEepYatSW7P7oFuuWbL
mNu+a6vKP6yuFjY32dZjV1lfBZ4gDljRA+fEY9iG4tjaWGQcO8mZKbCG7J2y/5pKZ+iiRTvu3bXu
2WU+qBKaSh3zlEin2GJUNnaD7WB05dudkdeqnVjEdF9SkXDddQfy1hGxz5ogGPuVskx1unrMWBUh
Ea7JhJaHAZzrJetiyZa9y50bgkHLsWTMZUFicvDp03d+RvyzJqapPk8uXtoy+PaOd0NUHDLPpOKv
aZOGW+g7w461pbNRtSqPvfCrZwJLFwoA3PvrO/sWodFc+6aNKbYW50Wy+gG+1kWBXbkcadns8gxU
5qemyPtWuyp5TaoM1EPtQAcZVL5vc5Yyc+YlOykHtSMqTutvXbXfrZEwVuU14WPiGOiasKluwOl9
WSzztrQllmPMRDdqGVzu9rWxl7IdX9waWuhKqmnEWmZbb7RUoLX0cIS4P+am/eBBoNgIGCGfhh9g
/+h4NrZqkd2h7/IP4pghnmyktbXRz3W4UoPnPFb2OKW4lgb94QRz8oQ5JTERsBv3G24LAKlYifka
lXFAFwNmAhFrVfeAQkcTE5aasAMHUkoaRog22WUS7CeXbuMRHHaw6j3Wsp2bCN7ofZedRJj2T5zz
2Hzx/Dy1U33P2xqDkjXTb5JC9FJxuDdgLAYMqLV/DBoDMggsvOD75JXpXZgH2X6Idfndz8xwnZsQ
flYVUQ9vM2uH7gBTwN+WD13RBAec+dNa8e5+FEDdC05is8UR3o6jsWPXZ0pAZpOL+9f36+wiiequ
EDnsrzpPqDtMe8z+o3DkGlSC++YGY0j0qVoe9IRTyvGb8QXTBzOgLfXZyitFjNifPuDi40G07O4z
wUjA8F7TdpCnLcE1y361MNveLiILbweA3Xdz6eqtyPH7WyyOT1QWm4+ctxaFqNOoeqt1m2xaXZvv
xJmatTP1+gG2q+6wG6bY80lZrRwOJZ9sk819OZT+m00FnbFeeGttFi45UdrNg7cC1jquS82VPxix
wPjB4J2tekkiPpE2Jy1hPZOTrU7B6KZHHTbVXS1YKHckxnlmw3T+kc1N90ildC2j2orpvDHnnDyX
wF8TT+CVBJjHw9LMcx8R9PpBy5G9YWQNAfRa+oxlVUYwl5sbeFHjfe4bG8Sb8Fxjc85WWHvTGJyq
oc6pKeo1e3X5NW8HeLP0ip79KsD6PYoWfYrKngeHWoT9EKCY6SnOUERiBxApCOHbZqjUS4F28pIE
ZXOH3SAGEhtnp34CX5OyMXgWjTNvUlPL3cz6cRPPHS4Q2jABfvHbIoxwFO0OZb4M+Hr9/hmIHgJ0
5rTl2kCYiTzXgQ1spuZdzRbC3vhBrI/laODfKtQ4n1w5FyrKGpisgXZsnsdufHUmfAPugKkZEy+n
Z3y5y1Fkwvuw+PpGpOMyu4MhMbKNNcOXeXFx0joLN/qAerErWrvNtoiL3o3Ppu+JppsG7DopY4UX
O8icdTBON32tmy0SPhCd/x2Of65o/9VyFUIEPIf/Hgd5+TH+x/FH0/6Y/7Bb/fVh/5iPffsXwI6e
T1MwE+jPWNJvOSdq7Vg5AgWwTG4iv9+wAn1kYoUDarmM1T4dbP8cj+3gl+ui1TT5G3a2MFj/nfGY
wNWft54m+o4LlpL2ah9IxZ/y+FYN7M7GJ7Cn2ASFsGzsbsORr1EnQILuift0PTwmbstK0czS/jBk
ZXefVjSl7BT+AIXjZcDiilSEnhX3Nl50VoNWNSVU38VOdo/caWJYKQE6hVw8lskYL4kS6CD4c+On
ySrdV68c3nMxUziQF0+U0buPndLLfduET7qiLTwv2TKsNFRnsOmCAz53+OXcj9fFZsDA+9DidFt1
VWe+htDEgL0ZmfVQlqM6tg0jji4Clg1XZWCkDWqDs3q6FJPGFmII8RAvFN8WuP8+W6vBYFhpG0lj
KBB9gbwxhaGeszsdsBgvYxtGi0P/yc8n6ifA49rYyuufEVxtefQohubgonUFO+wmoY5k0R8W3EMR
YSoe2Lpja2FTvnpxvCIswpdBLnUSlXlgvtLmtpy9aggj14IoXpjEu7qxZUw3er67YNW7wmA9b9us
C6HnaRpLUxhQGDCzjFvh2NpUyMqgv6aEE+Ot7ynCQ50trjVotrhpgjY0d6Mr8i+zyrF4DUkvXpvi
So5UEwI04lA63QZVbnwu6RhGk13HRwou0u9G3gLmwju7+/nztdefind2g4Gf/z1YmI/K1U+su++x
btuaTV/u+h74tw4AjmeaJ7mld2oD2PK6F+4y6yYJBKnhVd8B2b8hJpumQOsEVYpey+pgm7owAnf2
YuOJkTFO0tLQ6rg4+jA0Tge3Tg79tssS6xVEduBtRTUHWGwVFQR9V/BewON9lH3brvnuuJvb1s02
lGPQDQj6/0sDPPIRtOn8WldpexNgbn6S0DC2GP8abw0Qxz6WgOxOlIelLxTZkz8FXXkyKl7sgA0C
LvDOzaIBF3skF9fYuItF9StrNvaTbs2ATFDKu+Y1lrelHOcdbRThLs8t+3P0CI6wMiwKDf4MMNI6
sWRGMbg0u/Sics3XCilS23oaY7HF1I64B1Ot0b4E/6zah5gWE2pIRhXZgDrXS2fG58KD5grTdQx2
ogvFtslTm3LBQO2KgIDzSnH7zJE7syLYKWG2j512XimnwALqmi9lMM10pAz1dcrEGw0iDohckVCG
EbXIOFvKFcgk+ZyG0bkQDmkZxGDWBw3ewlzftd5S3LeGjVlgntk2Un907GnpWHE/TzYF5qGr87zb
UNa6HNnKqJwRf7SjMXftZ85a5sotZgRomKd8UCdOAA7cLRquAAWRV4/VtgThQEFWd2Ujx5Jw/tga
+K3t9tyjyd9CV1Gn0hjdO2ZOMgXpwDLJ9KmsWCUgKeUqMELnJidu3a/HyfRfh8XIzrEQtI81Uv7A
FnZoZl76pbpaJAAsjFiGNY79WZKdj0we875AemWClg2pDQjc9WONuUpuxkGkmz4dSMNRj7c8s+cy
N4us08tgVw1co0pDwXTnnVX7tCKyM9Rk6JLKxI4AChWCed5hMAQdhwm+RFEeuVCIVZ+P5nrwvPk0
Ult7n8IyfAn5/W2S2cskD7TS+O3aWxKI/CxIsBpQd7hSY6DIz12D5iuz7rGwpL4GhFBWTdTkVvrk
YTRZoilnEreaQp6GTiow9E2WAvmziEfYXkXxUjhMVJYlZTTOxTuogXrTZLN10HHtX/TcG0+oy1z8
e4u6gHCcJG7jMu8AxAdLcwcygSQOx4A1sPbl3vIGrkqt18dvP68steriz3Aq1DHXfEIB2QryENdP
EcUA7uO0cI2imAvglWFyWR2uhl0mRe4wjfbK3QTS/lCV+HD5OIzWg3Cv34izxbRmt8JPkg+Q5UcT
iimDnxGWF27b8wWTtJ7XWtNt3faYjMDiu78Wx/+vlvgvxyVPIL79zbikmy79j+i90Xn2J0mRaYeH
/jYyub84LjMOjmsMYZbn/lc0PEActK5pcZOw9VWQRzf8zZXm/cLNRyCTB6Zt8TAe9ZtLzf6Ffwph
m8y4+6tG+Zsl7x/OMNx8/21juG/+RZMXnNXsEF6NFUD78ZE8f+8U86+n3iZvJd0ZATgnEV4NNUuL
UEHGrwmnTTdQyEoy2U/Jf+BPpb7AokeBhTRvusga8VxuuegXaqNdndR7I9eCPFQFj9hcmandfi8y
2mBoUXDo0oO+pt3cOXQOnm3UQUjL5DxsRjEBWGKUOSgblTOyFBjlbwBA67fy2oJRmQvQBcKQIFrH
UtC2k1rOO2YgcWHuIBOmy8TzVr22gmpn0QzTUDxiXB/yk+eh5H+ydx5bciPZlv2V/gHkMsAgpw7A
dWhFcoJFCS0N+ut7I5hZzcqsznxvXhOuFIxwdzhgdu3ec/ZJl3uj7b1XKgdeeGKtAmKq3PmR9Hbv
tUz1+WfeUZRv6BbZzA6UDaPKa+RnXe0i6XXUN+UK+NZbPOXuHdqtV++AWpMW2oKRZ8CW6fExGoyx
TMeNGAyRLvVnal9wzxvzo6614SjHRL6skzvfVxJUjZKCvhpKU/02NjbuOFOC6PUnBBgS8tZY8zI8
0A0drW+kznAFfoJtOU9+lBHH2t0sO/6aOeswh2rL+rzE/BypfrwBSycalZYKryYkoOssSpiCDZI8
XHb0mU9tbvgkN5eQbTLBZ/cKCxrvMAl5a5sYXCoIlbcy17Irk0kdpXuKUSpKx5OsobsA/+ZnfuI6
0bLDkiznEr0A9zVX+OcXWogY+E2cAgwyhu0bHhdg4XylSn2wYajN14nhiR7MsFrKAOlDnj5opcFH
qNFOA/4YE/50VQGCxSoGaFcTIFOMDO+klAmsskWTCbz3oYX+ggsvLxPxxs4L7qMoV4qFcVp/JNGG
MxZj5b2SM/XYr8raL+i8TB+vP9Z5VtoH9IbUOziBNB97mvFcmdyAm36Qu7bkRs8xOEV71IX8pjUy
+JOwBd5bst1EvSAOJXlHhjv9yN3A5Jxv1pM9fPR3TjjALaA1YGQ3ymesuPk0A0hINBo8evBi+m9M
msDsMGuHSozmbAocb+YLrhvwDhiWYvAsedYw26yQ2ad+7rFnhSO3KF0LHstr3XiUJlAG5EnLaN3Q
XJG873QdYB2VeTTjptxSnKqp5I6JdNJ05tnkJSv0JUASt/tk8WayZLevyJVI2EsLWYurK34ZXYX0
AGEU3LEJ6W8ZRy9sTL35iFMgen2/hVMNRPaSq/pSbw/71vT4GNkg3ida7YP/zt96J5iVqwGrigg0
rGxgSxHXeVzIHjKK9JvC5YYZGMlfisre7oDtkaCETA+4rbh4WCj5sgULR6qn7U/iV2s1wFPswdaf
zamOXjWQP4jQVAaMJWuJ9CsgySPIqeFxrYabYgqypnEHtpuPI+D0/KStt2LD7xPDxw2mScj8Kscu
ijfN1J9Hg2S1BUqRsYMGJyHyEr9IeJ13XdstHqp/p3/WWLDxCaJfwlTkqETeo8WExaN19NrZ4Vcv
EEDMjtBxBOLRzLsSx6UFkqZhh4Yg5/PKuYun/aqWIQnxKPOEUdpsjGzJilUa9E4fFzUz38mAPqYL
oR+S/ulj7m3hQFUOpJskLX4PAnbzlOeUExmxUs9CEBXcW83AFQQp8NhwowN5QIP3MSfg9OgR+3SI
+gRyOwiaWztnGk8sbtatTwrsmUmGF5FwcuUDz3nOHaV5Bl8UgUL6cyQwKJzj2oFLIasSBHwZEW6T
EYp9GEwDaA/Uie5YpBsqLwXMGeqQFOUW780NDsyLr7VTwPsF/FasRZWuP0MgBoduoaIL8g7T765E
wIdwRPVgZTd67cSJ3EYv2+q36QZJL0ud95OVDXDt0dvuHDxu9cJspuPXG3GkvsU5neA0sbi739OD
tnsP15+eXUz6kkda56Ldv9/zpkEbDV0anxmP23b/D46NiDIdAZ9xdOdzim0bGSe97Zk4WWClRKpY
3zrVuwHnle1+9BaIRk3req/IJfkify5pJCOkZQD3jlvJitxuOGWuamlHIwrswoaz/L1p83SRN+pl
nA24vBIA+vsTV46u+TpVEKL8ubW6ZP++soLZBWI1JW77qqcYnV6nGIT2m/WO/i/MbZXSR8iLZtJb
n70NzEsAVvmgJ4MBC736ViWzd+qaZtsMWrFtzsijkTkh47idVouFrKB+GHyXIzCheQmKXnKUlmQ5
svxIYv70GK8IoXC4I3UiElbvUlaqR9vkEHDOJUm94mHNiu+ZIIbG9ZHvxK9spbDaes5KZ+g0PDX5
MLPW8kxi7mCJqeH6GVbm0221v9VV+VrHenf2onkQ026hU0gdIrtnw3SRyW4bERiB4pmYhwa3+eDe
65UjIp7dUSIO5TjT6np/awmiCPA6xJBV4uQldVoLIVwVfWpJJ9KMur0qQZB4R06gcNDYTruh1Ett
Ovb9clLJ0AAj8Loy2vIjat/z+reqHXAOqnav0Ty5b8wRMgQEBcPkJLrYRaNtGH1U3SemYSWrKnND
adqczaRgRNmIhhaHbaxwIxSnPbTDZuY3tVEedb0lKS01G9gIZi73eWWMWFdQz4sBn5EFPAdztDMt
I8SKBrPUYuOrPHrclp0f45mZufyJd+mlud65c++cVeaxzaVze0xnDRtuOekvpj4imaNzfJeuuXt2
jIi7VydKwU5cZnJu1nCUamaoorkzXLCmihuH5BK5U5o1fy7MOntZnPIFDldbXItWmQ9tDglD69Xk
ktjWeXt3lOMPgn68L4nLOVZNiLFWbrKwBQwQuBxUMf1n3lGM7cggo8dD7jbMckwzy3cDpLgbt0uy
5YbrZX+DCFbt12GK2MdTQbzI9OJtwJ8cQfnBiaZPYzSTUZE5X1A7LY+JtVSBji14L3OHdl5vdQ8K
/wXlT2WH1lzOXxkUP2tQehirKHXjpsn6gPCeRENnKPfw9M1D5I3OlV6JGcatem69gcF7Z1MZhaps
6xs4aixR2G/JcSFtMaZuOA9lp58N1Wm4IGp1yr3BvNYS+SEXraId0XIwtOkGzW3rhhp2dZxztgYx
pczvzTYD3++etTXX79gEFko+jGeg9OxTgVf8IcYNKytZHQ1NdQd32yHkAjhlJnT1iPUD5RV82I+K
eUaQNZ3HxM96GFLoKGjrxWNOX+1aL0X/wthZuy5lwwBEcx1+Dtel/aUfC4+6xDDWcz9XLUqovv5A
ODX0snIo4f9nxKA/G13kHmEgaLfCbuEx0QZGrWnuBwdXM4kSJYM1x/ms5eWHWdtaJDoEAU7mndpr
wH/gTTmk6i5rPxwE6aK+5eatz+IfBysaPdBCSX8aK+tbAxAuNPA2+HojtjhHqD4Lk9HPUYcXLIhq
NX8g6gHSuNZRCaaiCpZc5GHfom2LWlYUVv6uDNNap6ORGs5RKBQBAD2WQBkLIJQJhsOVKZnDUF4O
EEpYSNyOa9db4hGKQqEj1iu6hVoch2n2mEY6Ugg9K7dZ/arG+BuLf7xPMqMNVldvmFeP+Mpjkq87
fDQyOvR2orEwdal9dJG7v2q5MkjpsgHq0nbSkwB3ISeQpA0du6tvUsVzkTKXfsUFX5xW3CI7WAXk
F679Sm9G8K+ZwyDFKMTLFM8utzh0RVM7p9ZW+LGQkkPwFchYfI3b8pb2kXrbADQXpok3dl6BJ6Ea
eCoHg97ipOxuB14h6s952y6gKexmEKcyp+d31lp9NQDXAPvYS08O7RRmBCoRWsvBLbqLegKD/Gas
OYZYae1+jMjmJbAjy6ZmYfleEOrT6O5WeXAy3EiWbxTwnnax0sREYx15h/zIhJddd6M82TAhXKKL
6ZFZ5aUVHf89x/uCZcoqQQGOSFW60BqoQZl8U4BXk6IQsUeTvSltCUg+C32dHxcMys/UooSwtFiK
0MFTn/1y4v8PNiu5nY1/paJivLA2eQ+qLzp670lX/3Z2HgVK165Njo3N1JGdj1IQ0TMR587MIi1V
9YSywzVPS80uik2lVvmZJM3xcTBHvE/JOHmvjOQo3nGPUM7rPVX1OyU/NleqiTRWlAARUtVdtx09
K09AW9Swa7JTOt2MGZc+xbefNXJaEiAzrNuhpFoQTiRRirWLhvx8v20rn9MNGVytilYWTOuGguzv
L4fxl/GLbhP4Z9qAGulo/AX7T8p2my6jox1kQmwhYpkV6KQ7bJVXNfPuuQ+9K/SgUXuqjJWz3Fwm
vK0F99jT7NlcrVhuHGlrJbM1K0z+kYvFnzNymBiYFxWuNBCM7CZ81wwJpwHGax1zIPdTgAtxGMOG
OP7MkYGJyVkSUdQI6IH65Nvff9i/6v50C2uf5UDuEwJtMXqwX7/70YtTTWpuAQxnZKziLfOggInl
DaWO5Vl85KZEazGr9jPYj+Wx7ekwvEdNpfXcPZZV+w+X/68ZhtyNQmKXk6YD5O/9Hf/i+dOsVlsH
dntmJoyMdrYGQbWnkfSqaMxwEYDZcuUM4OS4FuWpGTkVVBNMsIOOxhd0nWq2kxPHkb+/VH+RnOrM
oEBk02cyHLpN2///5X0NSVQgNEmzY1TjHCcMnpHU22qug/pgLitAcLP0KNrryiLjYAfP6Z8Q8v/h
uzJdqWPENUkj5F38STY3JbZer0YfH63Zc8EAVITbBoOnR8atjj435kwWNYdUpkkM/C5aK9q2KrqN
q15/dsWg35o18pV/WD3+w2VhXirxrpJxTnDAn26gSg4R3XgzPlYaJyRMGnMcziksNg4uZI8wUuKA
MJRgcwNtjJuPf/+l/Bl1v10MXp6MPtfmpApd/9+/lYqwZ9wVK9dkIbXgmGEBxcujWrfM+EKSxQII
JSdXPudOpJ307ZT6MxtvNNvGuDPthZ70TsAzTY791mhq2rjKfrwHTk3VFg31/ob/24n+5070dr/+
Uyc6+Jz/GVEqkUj9qw/t0VFms9o2qY04augoZX+3Rb+rXpGtMtpHKb2xSv/Vhzbfpa02UQPItrfh
OjfxH4hS67cNJSodfoyHilvofzO7Nx1e/5e91CSDbFOks0IYusX+If/0OJCJ3ih7dozrKiwzXg+p
ipc+Qr5JiDHgUa0H5dyUDq6a0cXbuqNJvn6ke2brvpHqRwVL9xrx3sOl1cp9vLS174CPv6nj6ph0
cji7LQlymK/tSz1U2hOg6mZrGmuXPnU3KWZpP42cOV4y1+uBaAO8O+hNW5N0jITNRibJEW7V9wYt
WSxNYyQPWetFPu8bNY4VH/M0ubFl2Z0ZCTKmaaOHaW3vZlUH22q96Wr1Y6uYu7q2S7JVYZ91M8KM
mHtBErffBhq1wZA1yi/HLvM7WS03uDDJK8ROzInra6IxyiLuUgsprfQ9Xaj1YG3utSo2DlplVW8k
EWeharYBamGGeDDvunwxQ9Z9DKdGTy/UKWlFWMQbydLm9Uu0bFwpkzOB6x0XNaSPEBjroNT1lSaq
wVS+Xjb9WzMekUvedYsn/BYcWki+CvM8MkB3pmgkGiRL0t9F/TeVw4yRvFBnTmM3iU7tR1366Ily
CvvIOXjlcET2Sjo5Vrrd4mEqR3gpwHUICp9M9yF+vGI5ZYCHIjJEitYHPTK3oFiG2O8szQ7JcPtS
KgRs81yeG3zFl4ZJni+RwNarsyfpstlba1sFGBpgYrGN71rLPnqwDvulFr6bG6Dx1kh7XSQNBo6U
Fro0VHpyAEBCIjdcOHyUJ4Pl+RlM2XpSujsGjoMJU826hcVb49wwCxNrMy44y40P82Cjh0URHHp6
9gn6onlpgbfQVADZZMk2GFQ3QYqLD4kciDBrObYUBTltWftcK/vVnddrZkzOLkbHuNcqjrW6WJOD
05SfV3IsMtK8DlkddXS+JxxzXqadW8P7btK1DXpYsAH3xDOqhp09cUu4XfzgkVS0H2JGoRx+4J7G
Pe0OffVNVQicadapNTL902Kuup936jJr+Zd1MedwTtwmzNJsOVoVTdN1BRiD+BacVJW1gRM34MRX
tJkm/mKf7mUb5Hr3QVN9CbVzjgL0ZyA9INQfdJdvsIZPsLdRnuwBXL50hh3fVIK8N+l+iT0lSLNw
Wt9qbO0ZvDmQTDQUZuAUafpYjsBFSR8TtB2S5dCg/n0WFWQfKA754wphI1BqvUFdUewRD08hmgt7
v3LwCSxUSmE1Y8nqDU3cp3YHn3HNy5DyMvEBthqgQyQRd05mn3SOsSCL3fHIxAab8GhcOJoMgUZT
/gVnHFfRhWNm0N7w7dib4MVhbxNWTclkZeIFJDLeeE23eXLbdd8njeN7AwJxtI/VUw7LELvbIM46
7RAL2yDCdX/S8gTCMuBUeh22D0ooZ4yOJ463Olwdsq/5i9q1gjp/AMBwS/PnSzqCM80qToNj68S7
gTo6cFauZ8Mk4+hgnUfyL37MUUIQD0E0Z2IKaNnY/RPolhObvX12yYCEAGM92lHWhkx4iKXHog/P
trAD04RTa7TeVwS2jykjLaYD9wVmU8boqX5YUu17aa7LvuiQBffONZ34+8qpDpO9bP2Jqto7xKHA
VlNNsETU3QnZFTvdTD+3NSrU2KWLXBvz0dmSe4rc0XaTO/S+LtwlNFC1BB1eVV/EdnezGM5+KI3P
Xouzy8WQhbNZWU+RkcR+6XgILrE186ihRG2/j4oWnbMuEWCmTB5EgZochTeBloUxhrggFRGqeRNM
XukeEyhPdWF8sm11zWITMq41v7oTuYJQjXufsEr7BCyyeva88Y2Q3iloGue7nUzIMqO096e4eDb0
4eKYfXfbuMY5rYHOWXVdMNchq05090US4TKXievj9/tBTrdAuY6JzVqH+mCaA2p2a8nCFrbxlUkU
QJq5c9HeIhcuMgC6MvkEicB7Xkxs5EWlX1Y7G/ajsbT73i3o8bi8YrWuzzSL03uYrIAJ2YRmLZpR
S+ALwXtd7LvBIkqxtJ62aVhg9216WVp1ijv8vng3NATwIJWKhO0lKVv7Y5HPH6ZoGI7OAlptMBiv
xUWyH4x+OszVrO0ZG9FcKUePYMfxXsQOXELT3N44BNZWRX5voaYpo8cadlw42el+blO0Z7ZZnPRE
exs8cFItPgOJ2py1cBhOLqlKrDVpRy5XZB9Zf9MzZL/pEGuscpPLXG/o3JJoTgOzySqtfUy7CVpS
I/3ZbPRD7GRv05hap1Vzn5deXVQOp5R+6w+pNc65qIpoazWtO7Ox9b2FUTjUzVKc3YZxWg1bEaV9
He07Wi4BzLVVVl8KDqL9C0F8EZwKGm5EahzniRyHBj1t69bTa8+JD7Jp1hIaQvAKd1/pwlzsPByi
TsKkg4cMvJql5LE1apyb5FgiCHuRA4UxMtdl6ZQbh5aqWb1z4I7NRDAn2UrWozSRFnXEuQKNqc6d
HJXj+Vnt4nBDK1ekWoKLrenWrrv5b3n9P9HFcvLRKWr//+X1Uz0g9Phref37D/4u86C85lbnAA7B
5A8P2K/lNfoOSaMIPdm7AuQP5xg1tMlcE3+qR70K5f9f1bVBosCmG7ElTSahIxv5k6rj71QehtxO
c790qnCnkemH0ETHdUkh/x6l/ssZ3BPc01HUaheTXv8DqXnkBrMPnMpizUMcyCpg3Gk8ysIeD0i9
11AfFw8UgYuWD2D685Lb5UUqo/QZdbnUugLwH3Vo5TPsyXwHPwOZs/Fj3MijmcMYjMyuoHvPFGrI
7ycGaaxMGz4+NxIgjBkUP2VihigrzpwmgBqWksJ46iuQ0PCsSYeWcXlrTqN6RslIM9tBULYMXfFN
aLAsXPkCPuyHbBC8I9R9WLylf8xqe+OfwUTbyWwoH9NsHUBiu+1lcWh/0mcvcxw7wG2zopqvC/LZ
UxnPZZhlKwiaLvL2vRoIFkauayNhFIKUHs2Y6YiDeSBqFtuFM7cywZlRLceV1mQoGqC7jdVaV9G5
R9SQj42A+y4RLN7gv7pU0VwG2Uw/OXYZLuVJvuxo90f7npmPzw1Thy5ZubsWg8UupY8a5xLWWYUx
fu1hwTuW5pzLDJNTVEONHkyyCmYjRq43V1LH9qfoGpAL/dRaVRtMS/IKXMogzdayT7PpjB8rvTZ2
CVa0QCyyjm5RiBoiLOok7TwfWpsuLmMVyfUJDXCeD2EKmEL7igKHzOEd3Uxt3Q8sc3SHK5yAPlUP
wy0MAqA8euwBj62sXBKXGDixXMMexC4+ttOhZO5xxB09H+AXAvNJac3czWXVP2pOD2yNYqJMegCr
So5kAKTW1ck7JHM6AORQy1eAplS1ZYF208xvNRDljUbfc0Ypd6h/rn+E8b0vh6C5t9WRX7Stlc3P
ldOJqn5bR7c1tfu5vnqqTrfllvCVLpseoj4vYWMAQY7vpLOFke8JOxJEhJlr0/WPHtS/xX6BXKnE
kzYuNis2RrCi9KinOeRAckDCNSNKzO3aEvPNRAJY0+7ZCCviNQqhvzEonR8mUHIlmsuK+RMH1az2
cy2eg1S3ODxq6Hm3+f2ovSa5leaBsTrlsuvtcgbCIYS7q7z2G0FBW9wTVpVH4gQ1TIuOxSaeMeV5
jawqL2+1bDF0H+cmZMxxssd9wUwQumGb1BW1flWdgWMlR5JLNfzlzO58Kq/lqYsSCkkJbPYtTwtg
ArhI5ac2MYFaxGV815J/cWe3qbuJwBrfTnR8/LwBcQPowgrLuBXhjL3kmC5Vc2+rrnqlmmQw4rQ6
FAAIPoqZj6ejqM6y6ERCUXQiJE0jU1H1DrsrWembbL2nkcSklq+cGn2XWbJfmFVj9UyE6h+H0anu
W7eJDw6UrUQfrTsvG+PnqGjmC9kBhkVVEa8/G2T/7Tf9Q79JStpAf7chPn/f8nDU9++/+kR+/6nf
d0MX0N7WHd9Ejdum9gd/T/zGmkSXB6UhlT9//qvRJO3fmKEIbHuG2Iwgm0zyD8Gj+RsbJLGqjocc
ctso/zdbIa3wf98KaUR7xIWCBcBILQiy/FM72lk6qZG4XJ20kXyN5kCQQZyNIX41sE8o7WkGbXOO
6dpvk8FStUugb9NCFEjOsS0JA4+sCMg5gT76rdomjPM2a7S3qWMc28rygXnzbNjzB9artg0WQIWf
vW1maWzTy8GzJp9BgBnipAU21TDjlMhurLSKA1pDra9vs1DmfAMCKyFQ/0lGpas3qz1wSmRMlcso
NVvqDyayEjSQqjwNLIxoT+z9oBwnEP0o/DFL4zvYgu6xWlLOLIlkbDsqkxEukaL1h0Qf2oMxautZ
vQ97Y1SoX6L3EfD8Pg4u6T7d1N3Sv+RM3K9ztopH4tyNoCqch3HQvRugJW3glnH8CVMgA0mZj6ji
B+I70hZzaCa6A5Kr6jilkD+2qXXd1M6pQz+6xx+3bDlW+l3leOe4ysHEzPm95sINcxDW7fRlcsMi
VjWMWibl3eZcnVpT+GI1zauHMftEKJp2jLRVP5vg+86FIh8gxwkItzpbA+jJ9Q2qLEb0wGc3n/w0
POMoZpLMWOcaR6V14AhB8nwrLX6rWh+a0VA3TqpFTE+NZ3tTBiz5YIdqyqDpOrl6WEm9201IOvb2
UM+B1qAvMDelwYDkAFneJ1Gmir6hJMZjpC9H8Re9jm5a71kA7W9uykDqZkD2ehNbZb4r2CESf6YH
ELolJ7s0cd0js9hu39pGGuAAxXlnWYwWN9UEKgnvC0yR6Uc8Ld5+3ZohkFkYM/HcmA/mMikOlFnz
kgx69gLtZPms2bRwOSta4ga7yXhxte3cUwrm/KmHUKGJXVQem94j2ZQf0aYBkZsapEAWgrwSgYgm
zfboAiR7IG0TmmIlxzuj7LyL2ZLdtmuglnV+qmulcxy0IYWUSoMQFzobd+6vm0rFRq6SvQtX1nlz
wmxqFuNd2NJuGhd0OplfrR7CF8McoO4XBi0cOVGQBuj2nEDpZbqbjbW81zRCGa0WNvhQtTedbXyu
i9aJroTDzMmFdMM3O+2cRzSwh0hzdY3Ym8GMjENBsyd3dqM3Vd7X1UQvF8bRsrJZzlj2B8Mtv+JX
j9Yrzu9d5fbDi9XMEtX/kHQDpGXn2YxUFkJxRQdQVN55qh0DEm2kUBA00GpR0mklmWxs5TH9TYqZ
F6OYzBz6Ee4ScMSV7dTOGTu9qzSyhLAZUXXYXPdyxFCEzbeyiUGMI4GhgMaALzjD3gJLL5036gyc
baGyFv2hopSMvmUbTZ8Rq7djhWNHNDUzFENNVE1k5ahES/AyHnrF3J9HZm870XvZF1zYi3Z0q1HU
J6suAIODIMNNPg4d7ZhohgN/M8UlWuilsT7nusNEuxZALjm89yj0qm2MXuG6/7aYss8PRjSPDc2C
1iEuE2czFZseRURdWzkvuRYxU22c+PqzjFcUx5ANmUaLCQknax+vSK4DOkvDU3QnypgWz26EBQn9
y12MGkIxxYvsL6ivLIHHASVn7MwO0tiksu/m0Z731iZbFaIYUeJYXGPfRlD4XEyucaFuV907Tglw
fOlNh40yelN5ZnvKU4/nfraiwMrBnvnGIEFn6kZyqJzRPdQYuu8ro7iuMZlqu0636uucWMklog20
r6feTKCluQ4P1ZjSxB2qQce7ZRtnF/GRpVXZ9qxSZuowlcIOmY62h0klngjuzELbULRbYTRqjGer
6tZJMEG7o2Pf9nY7frQyBPY7hP+XhckhSQZgm1Acx4e+Q60MIW2gdVuqdfnaLu0X9qjulmEwFiVG
dH4Kvt7dGaIVTzEhSXtYeaDqAU89mCbxa7S0ilMRO+qu7l2NAnER57ES0deVI+v9EumBcuz4xNIZ
HRH4iA8AoNIA1LP7cSQZsd71ETkqGUrViwOF8ca0DHeHvioPmmnJPiWG1M+Y+sdbM573vVaZIA0E
sOheJhiCshE0QbZE673tYbDHYXlQGCFfVqfuTwtuGmbQFfOMsbRabEo028gIG3FTQYFAEk2qSzcb
pEFIlnicEVbQMCDZTbw+ygHT2hk6bp+YBvB9s8R06tYkD02Y0wdcie4e2NhIIQpFg6VxNT9I5ITs
hZbXfB5do7/hrKN/Hwej3lv9KkPgH/rRVq18wwDfhPgeIcSjjN1nGJbDroKVl4upfR14Dm+QN3T3
qEG9q+voQNaSKrviMWSiK5PxNq8tJGFMqY6YsD+1rpleF1geb+TaCJj/On6ETNlUAnj46OgynahL
KW4V6KLeT3ny763MmYkpsrvPrlMxfLFzBh9rD5UU5RpTJdc+lZCzHrDDrReds+uXCfPGrpkJ98oZ
d5zwPL1FXWX7OoYMigfGIZq2yBCLJV1HoWsf5ioSoYl/68ZKU3GRmtoYtF3cBiQBNoGpJybJHnr/
ohkoPBllxAqzAfJXT5vqnRpnm6Mkw0MfywbBVsyjer8tXYN2qMh/Em3FT8AtJ/gR2mWUWp+N2aWm
QP8NHVxkrARdR0YhTxVKJ+dJok+L2fLiEnbNs7KBxTz8t+H1P2p4Me7/24bX23fV/5/XlHjkKv38
bzX+z5/8w9jk/EYzy0ZAoNNaQnbCL/29zncNyn+6WiiBUBkIeztP/NHxEr/ZxDUxSHbgI7rU0f+v
znd+20KtEdNs82ZGh97/ps63XV7k15YXDTfbQYm0nUM2qcO7AOKXlle8mFNRZXFyUiWi1dqtLNZs
o1EXEghNIkx6NDHA3/RHpWu7pYxxF6Yz2SZCn4550mlgQIia3Hc4kp88agnK28J7TSnEDojJKKJT
4ogu9Wy1dEjKnr02T6yTilaHUKdsiHjuNfg+O041BZbm3LKD0Vuoc5tyPraReaaMH0aKurjjNnfj
F2AnTEtHi2mUZ2eI8qZXXRURI9ZIgeTmcOzzkZZ9Omoi6M1seIhJIDr3dcXaN1dqG7BqxeiDJ2of
LWqcKz+CFLETDmyYWntIoyZTAXEI07GTiFbXaal2s5LijX7yeMmkWJ6jZpF7+tPJPTszJFpv3T45
4ykVGqWNJJEg6T3sdPgiCUbKpzixGIjKufFZx1IAM61+gTfzUrPybTvheOOaC/LfAsYpSIogRicY
o001+6e8yZz7qNbB5JpSgK22KVlQ2w584sLVVjIFI2/nYskJjWaE7b20RcB7ZgFUPeyfmuXC0FjO
olm+DXneHNkEro65GAd9SO4YN7HWGIswi8ChmeCbBIrsqiJezWtPihda8QoukovxYBeV/ZHakLa/
WrJsB/hGD7XRYDadLbJEu46v35us4bq6xrHPxMeUdORg4LOEedS/RhWbqTd1Lwvzdt+jPfipm7Ll
rDMKRL1AE9XKiSRk6BqAPIwflYlyNxgdZkYod9tb8NlMFD3s6g4AmNom3lnZ97nUIkDiNPGiLjIe
UDRkocWx8gpC73tvyJih27LaoHDTmIzVTJ1nj2U0s1EGu/p8Lew8QrNvRxQpWvSgy/4Dx6nKt2i9
nBJoneSy9JRPDzPRzu1nTnvqE9va8IOoU/3BLhvrksWtfMrhXAWaVQ1XS8HnJe+i5JJNTdndDIb4
NGGJugWKrYXGJL6bVfnJmaYaGQMdydOYmdjwGUveIUsnuqLsFvcjovvhedXAhWdjVMAjiooNTD8M
5VGYg5VRDtOpYquapk8JxaOArjCkDUmYLQPufCNnUcMboeVwbkoZN4uHEYi1n0MyuTYtNDbCABco
5Y1xDx7g46q8jzj4d5whvbBzREkenJ02HvbvpO0OI52+g+D4+4YR4xkl2HdhDKTqZJRsYWe6UOyL
cXTvkgJdB85HwpoT2zjGrDmP/Aak/VIldALSC3Kr6USobqm4mc1k9odYTcaN8tQaH9wITw/jrOZj
mWrN8Nj1C/WlUPtMG6L7kf7qrmvz5mZBKh+orcAdhHeg1k4w8Kxj+2CsnFOOA/Fdnk/3LrvkEhxy
mCqcw7tZ1Ba4TBmFjqyTUwKxK2ybzbXvaFqgIyJ+M7tysXb9Sgawo6HnUMkBtC6lv21oeyvCQuCJ
ZdpXG9Usnov8w2xJQG9ZO13c1NmbNKVJC1n0ASeeCXi0Q1GOl5CsXDuHdz4BaXLH3GQuVrbnLJe0
LIeB/ooJHXbUy/hmGi0Ev0O2TS4LYZ2s3u1uZrjPWFWCZCguOPHjoCwUQrQ0rt2Q8qPcZ80F2vwH
jht2UHfKOM1rtIYWf+tCqkt9oxeyTXcWEGLa6DRJRWBtONtTbkM/sJ2ufZBeJ5/pLXFCYOQeJBbQ
dX9p1oVDIlx1FOd5/pGEEjz6szNdLJOQUxaITwUMLzS6QzKjl/W6vWHZGF/W8bZY4+XHkHDKTUbH
Ae0QmwXj42Y4zJH6akZ2G9i4Ljim2pW+SZiGU1QuhV8j4LimxfCJjYWqnTHqsVpbgKebxHeF+TFN
iAjKtP+KlU8WmOwcdTVLBhNjrD/FAD2PUivF5f9yd2bLaSMLGH6VVO5xaUHbxUzVwYCNiUniJGPn
ilIMQQIJ7Uji6edrCWKESeIcuepQR+UbG9xITa9//4srGeFlvDaXV5gP4VeyRUSKQLAnM8EO1kZQ
stbrQGeI19JIKg0Zb/OVM9Jz2B06OdFjPYV2z4xtYrEjKYSVyNa4WBvEgykeuZ/bEh3KAivi0CIV
dxq739nWZ4Ktjz+gHzL24gvi9S1ViUaRJfvb3hJP/b4kdswyCQFBoUCpp4veOuHCxckZmGKFCOay
3EJ20kDBb8o0mg7zLBoXvh9BzSiSmRbExeXCD2GXe174LlVVJJZZ1xnFW1APK/VHCy2eRdYiG2Sr
/Jvvw0GR5FImFpDpRo6dkRkni+ss99S+PzUnG9IB0mStTlQfppGZbbSPOXJWglySyaJc3mVS0vmY
O8sPBfV6My1AWWLJmywMfzss9BV2t4ULOR1meaLDJ0qwrEJeh0fWBs5C3C3KL9B6y16eUa93UUbm
9Q3uZCWUbMQlAbsGrAR7iltAYEAYWqI3QZWIjwI5p1tpQDp8uP3kY/zVecBDpShJQzDMbd/VEqzQ
N6s1xy9kBngwaIxUlsvrUHM/aQYRoP3tZstSJmH3OtlAvaFZabJKhhTkepbzsT8vySXk6D+Dfqbg
VOL0QwR892qYFfdkzhU3BgkHY9Lekquo7IA1cJpdsD0oV5sbSV/lDP0e0RrFxkmvS1/iLNBnxCR4
U7cxZFz2wW1JGiXOUe1piuHfmWhLb3yJoB5MgwaGYeVDSN6LWaRknaskxcEiKc0Ii+dIHqoxSd+Y
OTC8riKVClqV0NzZoiz+4ZAt7BtLHycJ/MdYdPhq99qNt0TzSVst6+VBJmNhQVZvLrz4VOKYMt8Z
pErM3qynlJll9pi5pKEGgEaoa+kAKyVG5va2K8SIJVG86ErMZJONCK3IxiQHdkadKNKF/4aUrXpw
q633MgyzFMPibeQOsT1BZmhaW7Roaqb3sYWXvkL5caDyL6XlR9OJozvkVDkaX70kIxJHUTJep8QL
m5J+jf1xQaz2CvJeD46/IQwSy/TesyyrP8V28J2P2brWI5y3fNiqLiypRLtSU6JXYKelWdkz17nK
/2PxngQqDDxXiC46ECMHKmjTpFvqKHZZAUVoHMDcR123K91Pp87ychFKODEuMtVcDcOyuybOcJVK
OHml6QOD93agUkljBJPfgKogJBia5MOnyaYRvBwJ73wrhp+Upxne4PBIlMs01bFCxnPTf4+LuYm+
b+VkAyK6bkMtD4ckHKbvcmQ/IxRjIR7kOBt8TLw4WwFbrUX8JegWtEgVOUCCwsvDxXtWTE2ILqy5
v3DQZoynXZAdAaAZyO9YmvXJxV1Ytz7UwkulNB5SX03uyynIkb7QugAYOL4phSaNYqXccmbKIelX
Nexu8kv8AuJrF6sD5hLFuvWWZTlXOlPcr2Et2oyn7o2bd2SYol39YcMpAI7/pMDDFIkAYPvAFgCu
KYy1cp2qd5kcqANNzzHUgzM9WHVd6wqrjwzl2GYz3hqbnGC1RX6XAPr1luu8uFzCL8N1MHTsEsws
QggREErqBtjnhHIYDyJlg8FaUCACxLt9gA8cWcYbyZgpa6V4FyJnmZiQQj6Fwkb0kvF8+R0pdfLZ
Wkvew4L090Uf/pB1E5SL6Y1reKQShtNoaNBex1K00D+q2zTHQ56EAEX4nHQwIkF61Q0H5dqQWfvj
MKhp0wx5G/EbDM3+epjroXaF+wIpKxJr8RCB6GekAeqwI8WDNIyW790FhujLpb+ZLCGzjxkkNtDT
HTqLAVCbILe8VVexC/geAcP7S7z2IPRx3LkpIyBngccRHjkOXdYoHmofFlAYOTorXdtid+rkAzfK
9O+bNMhnHH86EFU9q7jdKEqhDvO4Gwz/v/b/u4PKkzFbP7gf4tUPAS5ln4PBcVDXi960J5WcLuhl
uV2q4GsfnRhWN1Wlhv2qDBLk3DSbzf962zUuurIMMx1coLrQFnmwr3cvdzDXxl8OFo04HRRX/YEH
lfSzavj1Ez7PNHtezq+eYF7V+mj211sOO5/hKn9cCySQKfCR4AnXtQBJ/rAWTOuCj4HAb5KbVV2H
bf70d/iSJ3zJexq18AhFPhWJcAs3WB9iRFg8vqwlHJXw1BJU6wIVExIFFV9AcXF+e1gHFpIEUUPQ
husqqD/wjFqCxpfzskqwZ7677rswlN3HlMf80R1U4wIDZsA1GVtxcdHcDyuBhfwFYlohpyKuTlz/
o4Zw9ARP3QHiGkf4DVrdn/YG4Q4JOKYBBp6uBAnPSaHo0mkifNIZNQEWuccY658+PbaZmqFBl0Ah
Vl1HTcBQLmoOxY6tcUZPz5GT0vrLtzDHUg24IrvHByhu9gA4JniK1t5Y5/XtQ7E06yb5FJX5p18/
YZSAyng9g6HXV/P5LfkCexKe34TDIq6zGwbxpxcirlZDgGJeoJXVZPDfk52AkwZx1oqmdPeGsxsJ
OHowj313/7QtdJULCVk1cyJeceI6nhJVpkyaCkK+6mUh4DuvHgHluNu2R1ALzHgqmNfuuz4eEBkQ
JJYOeBCf3eOTINm2KzAbcqCFH+BuASyicg8HRIuugLsyrIzdgMF52Jk1ApV1XcsBgdWhyjaAEN/d
sMc0e1gLIqZF1zTagGlWfeHs9gkqZhEvXCMfLa6elofEyrD+JZ5GEBirq1kL7BMMmGUsRM91WESh
YLUeFlU4o0DuKC7qYe9oWDTECooFhIX6obrqLnhGCyU4Ma2nSLV7gZqbfo9Eu7qOagFSLYHY8GYh
rp7fiIAepeWIwLRg4cHRVdGgn3p+jOnhLZCcxExcXec3OWKMgV6n1UKpK4GfCJaRcXpcZKHEK0Ce
3add9ZnNDlA+2i4RVDaEMF1ZKtVN4XjbbBkslMRSkf1ZfZ1dj+jSUNu2BVIaoNaAE0Gar67m7FBj
aSZw29kNCCqqutZLBPmiC7UINV6NFD5rBCwhGCwsQOq6duqd+oumhRe86Qfseum43qxCZd15UkGh
Ncz22zfsEcvnBewwOAE3CqCt8UYh66iLrkEY8fvfjRVEBZAcvLgHTKrP2f377gGff3Tjs/ZPtf/j
tTuP7fjRKasXyt1tTmwfZPc/nv3N9u1DkJDvhZ7+dCd/vW3c50Hz/03ByeqoXOFi07rc2N0GTUtv
1CK0yvYFr+x1Yif7kirU2NLohG1LvrQ993sQH/H1ahyyddmBF8T2LNjfpbjrGtxrXzJCosfUxU+g
UXiFnbUtvD/37NyO54clm5hA7X8/qYL6MQX/qt3t8do3wfc3lygg/W9NmqQli9m87f0PqXV31mze
NaDStmQSPeF2NktmgcSepG3J19S46+7LqZq3Wsmd2xY8mtlOowGiFhX2Z63L9TDvD9xmj6zPcVoX
vZ65R1mjHN2YbEFalxzkzS+vRpjaFjt+PjbpYAnt73fMnWWPq3JfUtUuxEne/g//fVd8F2Ru8qya
a/S1bX3c4ofYGD3gTr3G9HJrY6Znr2f7pxfVgeZRgFbtbzlJ7EcnS+Zp2mjTO/itdfnuo+Mu7OaB
H0dR7KjaFy1EpccOZpxuvUKHwSs1ET9h2BibUPkJDK39nScQnuLjol/lxn+eV/xzpv+L5rDJ/Fts
H62eOEqAct+6Pibzjd2ct9jdCtyvbUWLgLprm1QCrAkaHXOHJb1G+T8PwGtd4fmb23nhPjamsR3+
8xp3/pUUu30dV0MKgodXGLwnv425aVsx1Qc8t1dRdu6FLYt/77jNGq+xlrY1/n7lsSJp7mrwNxUA
Ruui4zkO+ftyqq+yxgTaFvwB3b5IV7aPtgmwlpVXuO87J5jN34ySZ3OboeuvsLb8VNnwnMpbEkY8
r7CWqD/geUPc+/y0bIi/dE1oXXbR3FXuYJS2LeZLajuHDXF3rt+22H/msc/M1iiZqfgV5uKTqjVO
SV6h/d3bzDvrBWKq5n1X1Le2NfJbyV3LBnLvJo/BOnGb914fRLW+9zKAxLRo1IpO0Ov+Dz9b3Z9C
mn5weJ7jT3uK2ql/a4Jr4h2P3tyO//4XAAD//w==</cx:binary>
              </cx:geoCache>
            </cx:geography>
          </cx:layoutPr>
          <cx:valueColors>
            <cx:minColor>
              <a:srgbClr val="F4E3D0"/>
            </cx:minColor>
            <cx:maxColor>
              <a:srgbClr val="B8643B"/>
            </cx:maxColor>
          </cx:valueColors>
        </cx:series>
        <cx:series layoutId="regionMap" hidden="1" uniqueId="{20861222-C8A6-4DF6-8194-D490361D786C}" formatIdx="1">
          <cx:dataId val="1"/>
          <cx:layoutPr>
            <cx:geography cultureLanguage="en-US" cultureRegion="IN" attribution="Powered by Bing">
              <cx:geoCache provider="{E9337A44-BEBE-4D9F-B70C-5C5E7DAFC167}">
                <cx:binary>1Htpb904Eu1fCfL5yS0uEsnB9ACP0t1sX2+xs/QXwVtEShQlkdp//Stna+eOpzuDCfCQIEBiS7yX
5GFVnTpV/Of99I9783jrXk2Vsf4f99Pvr1XXNf/47Td/rx6rW39U6XtX+/pjd3RfV7/VHz/q+8ff
HtztqG3+Gw4R/e1e3brucXr9r3/Cp+WP9Wl9f9vp2l72j26+evS96fxfPHvx0avbh0rbVPvO6fsO
/f56bWqnH25fv3q0ne7m67l5/P31dy+9fvXb4Uf929e+MjCzrn+AsZgfRSKKECXh5z/o9StT2/zL
44DjI8oZoZh/eYF8/e6z2wrG/8CEPk3n9uHBPXoPC/r077OB380efn/6+tV93dvuadNy2L/fX99Y
3T0+vHrT3XaP/vUr7evk8wtJ/bSEmzef1vzb99v+r38e/AJ24eA3z5A53LK/e/RvwOyM0bbWML2f
hQwNjxCmiJOYis9/DpARR4jymEQ8+vb883d/RuZHZvQyNH+OPMBm92tic650/VNxoQgsRrDw877z
A1zwETwhYDPss0UdWMzfzeZlTD6POsDjfPtL2srZ4/hq/zjp+5+ICqFHFCPCEI2/7fpzP4bC+AiF
nIiQg4d7bic/NpuXUXk+9gCbs/0viU1SW/t43+n7vvu6Tf97kKHoKGIRigiJXgwyDEyGcMwRjr5+
6Wcf9oOzeRmc7wYfoJNc/6LoQPy/ffiZdsOPhOBRFFL8IjQojI4iyiAKHbixpP77qfwnXL6OPATl
/JcA5a/ZyfPw/92b/yUxI+IoCknEKPkzjDx3aEIchU/kgIgv9IB+bzoHpOk/T+tlkA6Gf7eSX4OR
7bX3de/01235390Y4UckZhEPKfpsK/j7yC+AKzMGMQijz8zgwJv9yIxeRuPPkQcms/81TOa7WUMa
k9wa/bF2Vv/ETIawIxzROBZIvOzJkDiKEcNAEb7A8/VkfIk1PzSnl/F5vp7v1gpL/b+/hFP7btaA
0NnjcPsz80xwZySKKY3Iy6wZofgojiLCGeef4Ps3lvZ383kZma/r+G59sLy3vyQqp3Wvvb61P9Ns
wiPBwZ/F8RerEAdODR1xgTjG/AtwB3Hmh6b0MjbPhh7Ac/prGs27W69AD+pq+9W1/O9Bh7IjihAQ
Ac4+BxX2PT4Ih0cRWNa3qHRgOD82p5cBej72AKF3vyZCTwnb9rZqACf3+BNBIkcxj8CCviY4QJaf
kzX2lACxGIvwS2wC5nCYg/7QtF7G6WBVB1Cd/Zoqwa4ef6Kbo/goZDQGPk0/s4MDhAQBug1eEIVf
nsffI/R3s3kZmM+jDvDY/Zqmc+4e85/q2MiRIDwGBTP+pl8+t5nPjo2D7zvwaH8/kZfB+DruAI7z
q1+SCrzT/r62Xv/MUEOPIJ0UEYm/hPoDKsAFyDQYqgXi5VrAD03pZWyeDT2A593ul4Rnf+v97b3q
/WPX+a+u5CewAXwEKQxhlH2BAGzjudFAoIlD0A2AR3/90s/ZzQ/P52V8DoYfYLT/NT3a9eN0+xOx
IeiIxoRTcFkvJqCg2BAC9sMY/lY4eE4C/nY6L0PzZdgBJNfvf0mzeWIyH2pXfj28P8ViBBGYws6/
GPhZdBTDEyBvX3S0g8D/IzN6GZg/Rx5gc/bhl8TmprtVPw+XJ0EAHBmQ4i81gQMxDSFwZQzyThwf
IPJ383gZjc+jDpC4+TXLAOeluVV1dfsT0QCVnxMKBPmzkYQHcUUwoMdPLQDsSxYK1OC57/qRGb2M
y58jD7A5P/n/YyX/uUngWx9Fetvdrj41YDzrE/jrp58WD10hB0O/bOKLbu7z/u4eoEkDJEswj2+N
HU8f8t327zVU7XzdfTsRz0Y93vru99cBkDfKCWFRRAVBMQ3BqsbHT48AXEy4CIGLQ8UBRTF8l61d
p35/TcFKOX0qQ0QYvCioEK9fgar+6RE5Ao9JIoFICC0I8MnfWl8uajNDrvBtR778/Mr21UWtbed/
f40Qhm9pPr/4NNsoFIjxEIPOgWGCIUYhPL+/vQJB5en9/0NUKaqO2vDEhkGt2j6BWm+QTshmW92h
qVmVlHS1nMnQuPUUEERWcdORx2kyzMtq0VY2/ez305xRUcuWFMu7aTGUvkXCkDIdPbrLOc5vqqln
ic7j6N1Aabdvw7y7WEYRZGtdF1EuaxWwfT7Cw2SIJ9FsgkKVW9cV9oQV07KtpujSuI7cBSPN5pPQ
txOXNMbd6VAIam9ImfXs1C/tEia9ice+krQi/UOxzE5a7Kcki+tQiqJZL7Mf06X0c0pcSBLFSP9h
LKJRTbIfqmBfEh0tsnUVa9YlYPsmz0wVJwTbulw1JtM3SM2tzNVol8TpYoh3YOP+gbm6fRPTHu88
69QGT8WDacW80kzrxIetLuQwYLwpsL6eS1JexAXLii28QvYzK7Iq7Sait50lnZMOVN1Vh4LbqaST
5GFRjTvnWZAsVpBVK7CYkoGrIV0Ua6PVQgN/hUIT7QcRTSvU9QzteiHa+qRbRPZ2qTh707Aou3bd
jPnOZR0J0sI3kTkxnvo2YS4r3g+jU6uAYJaUMWOwB80g236yx7GozUnXMNjLvhq1xLHPQlnO83jS
9V3OkyBv1IrpeLlqbU51uMnyym1LFJcSuo5GibtxOxfjYlPG50ElNGuLNZ+zbEvrCr9vFjJXcvHB
ci0MM1R2+cj0lgYhN2+14729yTljLFz1luIpWI2dEd5vcF/Mod+pPLKVrAoTaXSb+8XlgJxBMoqM
WFWeJrht6NkSZeNqCjO7ioVFOz0sV1xl8UooapKyrMci0ZHLJa3bKlGx6KTrO8+lWQKipY/wuDJL
NiRu4o20AbsupyitIrzLe7ePZl7IZVwk0/UZbZc26aNyQ6cqO2alXdu49DdBoC4ngph08DXrfJk6
WQ3zBxSOy5oxna2zYX4TmsLvWqfUaonb4rStgnDXRLRcd1mLj0VgO1l65Fc+UIWs6KSPaW/q9chr
fRKYedmFLZgmjg2+ETP+w3acJi3KmSxUFyS0K4Z1bVnXHUPrQLHzerxztTPHTtP8pI1Zny5LFa5c
M2/qQCSeNv2aLg3sT9CmugpskreBCGSDCpXkSj1GS/ueTaiQIqsbGbfhIgV1JU9CysdU9HN+aqPJ
Sq/nZtMWy5tOB16iWiM54ChLqCvQBcy+OCmiOXAym7pmhwjpHxvTzClXBDYHjG3bNkNasoZImy/d
tm7bnR2jNy0xVyXXpwvKNsL1YVLg5VrH3aYOvThm+Xjlhd7ZpcIpD+dVXsDu57FK+EBvfNtu+Dzt
CxxMUkT9tHaN6VZDtniZZ/RtTBYtR1v5FFXm0dDQSWzHOC2M6t/owO55i1AiutjLtovACWq+p03l
ZFFNkwxB45eYY3oZ9squqsnZhIlhhLPVeGQBj3iDfeWTQIl+y525X9isZYtDcRyDuzzuHcnklJHi
TImu2PacqBSsAl3mqr0cCr+CTsKUL7U9mzgtbs2TNyv7jDWSFz44aRpMrzRu4+O66VQCgLl1MzXi
A2vV+zDwgzR4+qi6Cm1z5vvE69bIGPE5iYJMHPezJisPbv2yI2Mj8yUWu7JgV1nsLsehC9fgJvhJ
XQQjS3wZd+/Ar/QpHlg2yIZ0xVmB+yFpu7LbhADUOqzb/izKI3VFpkns3RReLS7oUlpUH3yOcVKI
/nyeqrVtWyWnomFysf7Kxxa8i1Iy68NiXZCSwPRqequoPiuJgujQZslUIrHRRXdtbBmvcbVkb8Zy
3DdB65IJdcUNC4qbKBdammC49Yt4H+d4h/sohnPcN+vKmEkqPK796HZ1XGwELjLYxZaeYZS3m5G7
exvN0Spyi9+GHb5uMlbCAS5rnlbKDCdRO4ZnCpGrXjSnxqu3cYkXic2yCms6S/C0qzgQf1Ax+oTQ
KCmffGkT8AvuycbrYrqaALpKNkPeJuBG+R9llqP3JuJx6ggDUwtoJjEb9mweVkNbHgOP79bR0OIT
FxdctkOj2yQTtUrK2fCNmfplp+pu2zXF8aCzctOZUCe5CBqph2ANwcwkSyaY5CMVlaxpT+9pAHjJ
rg742byE9FJVNJALc+3e9DpI5nGoV00Rqbtmimky4v500i3EhNHcIDpsbVbvxbBAYC2EWGHXvRlm
f9ZqVt0Pk90KPr8vWGlWA6wnnsq6TGjE9Mkwkx1yFVpTlXGc5FG0nE0RNYOMsrZJ+0Whk0hH+XoO
yCx9n5MPWd03VyREpZWB62yz4iV4pqEi9iIPBl/K2qk46SCuNXq027mOihSyn2Zt+6Y/xbnNEo1x
sxV9qGVGghsVjE/heczTOhYy4NHZGDL8NrDGnod5M0wpnQ3NtZyXor+yRcB3wpfL8TSQGzqFzV3g
hiDfZpXty3XERuIlMWh0ktJ6HrYQZ/Fq6MR9FQwXSDGddHTsrnxkL0YbBElbBpfVrPrzctLvvCNu
3U9xfdwu8TvuqbmedHmMA9StECwvxda0f4B7pdsRzdltsSC3GqPM7cgU4FVRD2oTm1hLzpsyqUoK
i/XDB5HnfmVDHuzzYSzfNqIbpRg8/xj3UZ72UYNlpIi5rTmb37AxiGXZ8w+kjJqk4hV7y9ii0yCL
wwQzVVzb3IZyGkO/EcxUkpCpTif6ZEQAWCHJRMp1yzU4ZAHTy52vVlXx0Ljybg4DdiWEHd4RP6xC
0aszE5ZROg8QslnRoCrh2lGVLI2jsgmdOfHLUm+LvqfAEWy+R9hsuzIrkyBizarvRX3FK9zm4G5V
fxm0hG8XFrfvgkVs626ergef0zUSWuhELKU+tV330Jb8HryzWbciFmnvsv5GF+gktkRsGuHmNBoD
vcqaGAKEFnHaYTIkKsKhTYK6wGeWEJ3UOGpPC+QXCa3o82lFR7EdazSlTLX3Jq9Q0k9Go4umGdAb
cJB+WpGeGC7jblRmQ4GIr2lFSwhePrAfWibISR7P0doAF3wbjo7MSc0Nn2RAZ/KmUgTdWRPFd1Rb
Jduly4XMVCsDZIAw9LDnWICzXCIO9Lgajlm/BFL3YWoJPs8gUSFgt9b12bESJq2AeSSK6yFXSZWh
alQnrh/ZuqyG/I0IgIiiPRCtpLLDWyeWXYzHhzqL403bsCWtumZa9Vke7zJbY7lMkZAQJDeA2nFU
0E4KPTSpqetCTrT/Y+hol+Cl6aVtMpJGps6ky1qIf2W9VdQ2cs6aTjYcmS3pMJXKFcOxDcdV5shZ
oQpyo2nsNqaJ+YlWVX1SdKpKSibezItam6F1V04NdBOiu94oIExFVq+KKrtBuaukaXGaBZSksWqa
1EdO8qHIjl082xVrzXaxcO4qN3nJBUZJHdgm0XRIuZlacCc6ktAZPkjfDpIvpfpjFN1pDAR/HXLY
4ko0N1Nt6xX0KTcy0tXJGOs5LRCvUkhVCjgeATUyZw3ERFPv6ppeibGimzgn98b2N3UzR+dBvFx2
FeQpuIvm9TRamrimSxs6K0mayO0DNw1rtwT4rRmdl52pqpup81WCcQGhbg6oLJALJKlNUqgoKCUu
6vq0rJabqm2mde2B0+k60w+lQyma2HK5aDjlk4nlHNJKxhPPbhgyp63q6Zmjokv61n4E8utlqfwK
FUudqKDEAOlwPimv1ovpqxtHC50a2ufrllqxohTIDm55JOegMPsyB+cyj2W1FmHUnsU8uwu9y1NR
TvFGjeV02c4sWAsfo2Q2DFgPasR52BRndpr7MxzWSVW3Y7J4V0pFw/kMF+I4QDxMlrgmCRuGQTLB
xlNO2EMN+YZBwQfMl9u8iTcM+f4U0twZNqNcj2bZZbwcVksQbIz6GPC2lyj24SnyRbNtS3fRanJi
JwXuUbU86QcdrpsG0tsBO7Ih3bDBdYQkKYoTDu3RwBPC47DkNxFTRBK93E6sv8/6/K6uSzg/Nbns
uz2rs5t6WDoJ6VT+RxDgIemp2XV6WZKcsNNF8Pe8qVMnRL0pIThKnPPmLMtwIQMbolNKm8tiBHYW
+CJMun7xWpY8D8/KrB6BngUXfdwOXJbVtEBIKDJYLkSCVoZBo9Yz537n4AT/MTv1SMoRzkg2zlIR
7J0cqekGqaLqg6mLql5pjaozCFl0kVNNDBC82rEUK2cvxw532yGY2iQs4nJT6CB3SYNdqJK67JoP
eEQ6mcYhgiSnaW/GnpvdMKhhB6y63Amm7IYKS9fNvOQnY9jHa2f769ktuWxrcS54X1xYHaCPkfb9
yaJ0fNwQ7rbYzOVxX2fzOhqpu6Z2rlPu8C3k8MW+tBQS/Dw8X5Z8SAZf56dkYiTpoft5D23qdNUu
07Qh9cTTYoBsaWA0WHeC8dTpHAiAtZvBEprmUwBJVZsXEu4H5SloG4G0JDzPac+TuCnICiuTnceo
i7fMzHe86oWsMLtluYEdA1K7t72xW1fMu8gNi3TjcIaqGmiFVwxisfgDuhV02sL9n7So1CCDJrJA
g9ySjiV8vBdj0oPt5PEEdA+y/jXFhQVlACf1NBVrVYdmB7xxxypbJMZUwxrcVbQCbz4D9JFdmVJv
CtWcQzLFr/oioBtIhUFxIVPxYSiFACZNw3IPoRqi0AjZwtnsxYn1lsumLGiKMxbJvqySYID0o0a4
PWGzD2WcG731JUWJc00hy86HJ13Zdse+Jh/bpd/Pwjj5lFvgRZ8h8O6racmri8IBjHUZy0KUeIWM
GZNgDJCMa92lZcuDk5EWFxpXWJZ1tc9j9rbmwm+AX7fJ1MDx99O0tijc5CPoHaaLIJeJ1LzuSw0f
xXssNdxlWurmMq67/dzMhXRzli45WYHKAHkWJjapgsrKsVOwPANyDfFJqCbwylGYbVVt3GopmwhI
y3w8gqUmfWYyGfYd+MgIuRQI4N3AijvNoh2n7cXU1dNO+xmnkEKegIt+22SDXdN+WkGqBScZzSzp
Bj9KsIbwbEE93vBpBBllgaBLO7JzDbqai2DHi361DHGZtC2yAhKdxb5raQCyyTiOfI0NugbfeYXn
fIYVDd2qjEfIvPiY5A7SwS4I5bI0sgdFIEWZHo8VdPzLiNo729XissgDAJJHm3ZsVRpPZLnhiF6w
RXTp1CCcEh+uOx8xSZ0r4gSIcpDGhs0SEpziusrUI0ftmV/wScnjW4LwuoGLbqja9B3/6Ia5gTRX
zyuLliLxlUjbwiaoaIp0aYePTefKxATlH6oN1KqlGJLMJkhKXNcgqnDQSpZC5Km1oAUotABtKbI/
irq4cAocdOJ7F09JE1J2XvUDPg6A0zdyyg2W4wBJ+dDODl6CSN4MZSVF2LQr6yfrUtUxObbxSVOh
ExdGSVxMFRCx0vRrUHHyYwhZkSwXxFqI0HPbnwb14jbUYyMki6nbadNmFxy8Widrj1xUATVuFZcT
MPLuOqBx5dcV98G8dkE5uoQgBVJbDDnCDO4D93pdUIFaLC3sUZQ1oDn0wRye9ozTO19OrOxOMyQ8
KBby+U2771Tee+AE4J7UlzuO337813Vdwd9PV+/+/OXTFck/f9o81k9Fan/40pMS/+2tP6/vPanf
3+7yHejpV5/uWf4Hsf0vH/6YEo9IHIFw/p+V+O3teKv11+LIk7D9ZcgXGR5F9IiHLIT7YdFXrf2L
DI/i8AjTmILYzyHXDJ/6Xr7I8BiDQg+FfxFBExMoyRzKL19keAQXOEIBTemYhNB5DjrOfyPDR6Dn
PxPhqeCEQ4EASgBxyDmlHFrYn4vwYSzMAho4fuN9A+y4WSo/ywHBPJPFVOK0obm7VNq4+4aV+Fqp
MrjCop03lgZzkxjNo8T4KbYyzMyYBkCiOkjzV9E0NB98GMLnxEGOcxkMtQZ/PDXlU9ghu1pN5bqn
GK9AHBKnOAinCyXsmOqiBPkPz+XVUpBlK0AfAgMN+ke7BIsDBjbS82DS6nyyRhupfDfeiryZbxlR
s05zBduWqHwItHSlA/3OhO0xBKTmrsequAVxd74IyhmlmBfzBwj+LhFNXrKEzEv3OLgchLPG0F0O
t4BB7YovURdoLWvj8U1PpqVMn52XFyoh5Ps6yCcI4hi6PZ96BaE19+m+2nMIqoXSIsh8/GZxROwi
0kerBk8ulqKegEQT3IJHgRglLmrW4FM7Ylga5CF1lOgyHDaQ8c4rxqJ6J5Z+2C9ZpM5wT+sHpMvg
nW0jf6XmYFpFuij2fdQhJbnqzFtjMr7JlWvWvSf1OefupjMk2kbNeAraJb7GCm+YEg9FG7d3f71o
Ae0p3587GkJLC0NP3d/QJU6fzuWz4k8DjWJ5Fjb2DUjw2Qf0hH5e1+g9XJGdLgIWul1fELerirFb
UWUhQFdBt6w9FHn2Uz+Fd02JYBtENE7nuaXl8ViT6E02w/9agvEjbmp0kgd4PFd9jE5J3k4XEc/e
5nTCG6G1eVvacUji0oRbbUe7UYELNuVA4nSGUtlqCSs406QLh5NwIQ827k9Hh9G267NoO3PnO0kh
kdTTXK6maMSrsBFqHekPphHFMQgv471WNYHUi4z3jcvIjs3GQVEJDZAzqyFphn7d6XG6AqMsz9gQ
gDH5Um9L8hBWunAyzlzs07JYohNO8yrRGZ/6VGvfypoVYhMuDidY9zxl1oKEZwEl2Vld7CFRb09n
bvC7GeSpR25akIUt5GwxFCVEu50WhtZWeb8VU6NPTNeF+0zN0wW3aNhHZQuLw6Q31apVS7EF0l6I
ZKE5vgp0N537DsGGYp2vNcTR7Rg92WZQLpfVMPp3VPn2TuRlDkmDE0mYT9PZX5+dA58FFWuOBTRu
Eqj4CcBSQGvn87OD8yHL8oEFV6oLIWcVvd0EyJu38zQCp2a9SKAkCmfH1cv9CIlY4jvfzAkdZ/VQ
NPV01sQ4O267sH3HWgoqgTLhpuXN+0nQMm37uIKEFT6lHFxkZDEQuzGA/WmdZUqGXb6sfJRPq7mq
8dUUupJKNsNSZ4iye5ARdQLual4PUGJ9cqh1eQzZSIdWUQcCmQ57ULqLaZjOXFkvl5+ObVO0kBnr
eN67NkKnqKmzj7Xh4XseVP6dAInnnQ2W9gzuCjhIERpVqZQQq+9sWG7a2gHP6ieQsiTp+3hD56Vk
q5Irfs7Dtp5Xf739+Kku+7xuC30BEHdYyGPo5Yig8vX99o8t8kG+uOwKuwYKth1iSM6uDd4Ui4AV
oAKHSdz64LqY9aBkBLJ/s4cChJo2PATiKgnYYA/6dJsdA9VqbsshdrMU7djkUClw2QdHZ1hMCAR0
1+o+WP/3C6BP4RVBIxBhODo4Pxbqrw6pnF2ZeOlWU4Gms7bJQT2IM8givAU/k7Uj+Ascg4uxIGWs
Ym6b2zALoxM0xtlHsD3ItvFc30Kqh07jcSqPFW76bN0anl0b1laZVDaHLOev5/4pHh9sPoVuwKdy
OoMup8O5j5XTbqFjdFX3UQRZhffZRzjNGd8678xbtOhlX0x+OjdssJuu4rACbG28440ejuuK62QU
2O1M9FRtYG1w3cWV2IiRdjpxbW/PF+71KcOw/rESQHc7P/qPA4QJgEgDgczGfhcuCx+SEhLbi56O
pd2wgUEmXkDtesIO3FDfZ++wQsU24AE/huoOXmWcxWvjSQ4sXk0fXGyXDWSo2U7PClIgy6DW0mE8
PaLcg7/CIP8DDW8wWi2kEWtSl3cIyrpeEdtKUjbNztAh+2AZmDpwgunik+llIsgfXBaoYRVD9fqi
t2V2vEwOXxns5z6tChBSBW7VQ9j4ZV2EKvsAJ294pKZ68iBPWwOl8eNe22VPwwW2j1bg+RrtQjnj
qrwOGwx6AW1j/Z5VxT2pq3rX5mralSP2kJ+CuAJqGz5V0+jTiJnprEALxJK/PghAEg/NUBAKnAHB
Zd5PdPCANoCvrnpfDu2VMqhjyRyCgclPvtmMU7uZs1YlTGWwALWofA1UrLmFngUQ3RD4pFVeQek6
aFmqTGGOW20gYZyrUJfJEBS6knlu110LnQoSLCm8m8fQ3ID77+7wSIfHXoOIkYo4qljqFZR/Nxbo
2H6wXbSqWDjDOaCWGGmIyczaoOyp/2GpoNSYB1M6Lw3bTRTkQ5CrQUFTfjZJgPVGtHFwCZ1985j6
/v+x92VNcurotr+IHWIQkl4ZMiuz5sFVtl8Ij2IGISEQv/4u3LtP22W3fbrfbsR5sMMRrkpAaPi+
NSWZPyuKYwXzq8ygbxguVn/TxwirFvhHtZec+3sdl8q86LW5AOJoXbYG1ZaL0L3449hn4cDDBPdT
domusSCEjDBZ6wC0fMw5+wTlbZdN1jbnwa/JxQYkw0tAvarjpoJyuA5WkJDpODflM86B6lkDUWyT
bVxCngxVV79oHgng742K5QVkJGRNuxC7QaLLsfzsCeY/eHbZC5xpHc6ErziqdAdabbONTMJyNrlZ
y47gcRtseS0iaUgCIhD/LsyMZeDKYCtSHusoytrN75+kNPpUkAinzubX4ccyLCqXSj8em0vPmL38
Ee5eIqnGyzepyMeuHbCvGtXxzGFnJ6nXb/6VpEtzdpgIPJHLMFwC4S+HlIL7fusPW8Uxn+btvu5F
AYASKpiHCbXlhfF6IRMNRuRrEDf8xIHw54BggbDwuPBlQqZtySNrRcp1XIFpmwp0w5OHWVgpVJno
oKfMCNp4CR0LklXh1n5lbHkwg2qrlKJsLZKlYX3aArG9Yawr74KOLSkOA4GREW67/7aQ/lZ1/V1/
/0OZ9H1v+X2r+b/pWa//mQf0umn94YP+P+pssWugqfz3je33Ftd/KdP+8Vv/7G396C8fcjFK4mCv
BCg+8J+9bYB8DgjTAW+iThDfdq+/e9vdmQPlV7wb2ATYDP4viVkY/AXhB0f8AJrRkP2Hva3/eoek
qBIDHyo3dBpINIpe9bZmC4dRzfN60y+hyLEMyzEZQrDA4G0Wex971J1RifVNTkhj3pkhsm+aSINy
0aJXL9+N3i/aPP/HjocS3E1ERAChUAR6NIhf7dcAjcdGlLO9CVTv38hm64tkZgPkIKsFXJbYJZrf
MTtiqUwdNypV9YQ9AnoQFqVcsP6zQKF+i88oIXVoW//NRj3uH11Miy++8/z1T3USnJ4/FHr7Hccs
BoYrAE/wb4Xgdz1aVLES79aZm3ClUgLB29o3du9nD4YBrEusg/Qmq1jBwdPHkI+4hoTHzk5oric7
mM/lqrWfVuj3M40NySamKwnIkok2MpdDXd41szh3WpQ6QyqCeNalumzaBSqySnvxdQVKrTv+/j38
/BoQsUBQO0GJ7MdhsD/0dw/FnCcXb2z1TW8K8TzIHbKMmgBTY+xn1DzrJB7Hwm/f/v6y+1z7vm5j
PkOzy6CpxFzEX/ttfXdZSlYZjVr2Nz3f/Bu/KeebXk9pxYvy+fdX+hHRAWCEKwkSADjiMCiy13DC
2KP+h4RruOFALz+oBQKrY2G4A8QNmRxRc7ulIXF8SOuQLt2fJs3r7gBPGZCAQoAPbz52h1fTHHkJ
VSn7rrphqqEfunqmHxrkg7RHCmgpjyfAr47g1R+XVi1BopqBfdn1dKdFuOhqjcGppOFSQ59Rs757
E05jEGYld+7L6IHRJd7WsZSKIZouYGza/oYwsUtDjPurZfrzi0Idim0DLrUA6Q4R9rTvXxSBIKGn
tPCufUhiPlST0TLxvcb0URI618vzUlYNdKWQ2qybKg/xABlcGviWfTUMSoHUobNIo6G2XyqIZz5b
Opbs/PtXHP3UAiNtalfT7046+Bgoe9XCxBPEDVNpwus6UmMhOM7UcjuuEHGKg7HzDJ2gIve2c3RO
yhLsz+T3R42G7dhGY5A2gAQexpZ2a8LaRb4sIN5OThsw4FSNb2Ld8Az0BbiIoa5xdJuwXpKi1v3N
Mnr6VnlbmEvpC9CDW9GDAbZld0Fj0z4EtbyTrg/XpJ2ZuoFu8MkEnQfm2wIE9CsXYG+I5m1LyMLr
q7ak/F1B5uhcxty/2uSK0mEhZdQhj8ZVJ49PrksWx7fMB9CQbfX6adTKPM7QcZTJ0hl2KLSaT1ER
BE+q9JfmWDDPr5KtbIqPMLZNNql65b2fO9Zl46iDUzP0EPkp0X6GRACg/hh2zWMlipUlVkXyPBXT
nDqMw9GPAnGrlm7No2VSB99ffZu3lPkyhVqHq9QGZQGNZzhlMzhjFNuSQOoD4ROOmmBJe9CUCTes
fbt2pLwMJjE+0tDQ4yxqLzjouNs+8HiYck3WejtYUKoHb13Jh0C3y1ctx5GmW2AIVAsysPKwmnrA
4liW3Ek788M0FCVIqbC76PGjCbbzacBAdxaCS13XXsqKhSVsoOuWRKYt0hAFXHecYpT/0ezI/RL6
EdIIJwJIAjPJHEKzgP5aQ7Zexc22tcX9vCjTdYmrWtdPn8uiDILtnV68FaVZIiZs5cOnwHW1Cadk
Rt83khvI7rpmPYtKbUcrZlMAiqmqEWRYOzwS5oWn2kFjCXJfgOlyiogVr6vjPOuLAuehaZtFoX1b
JEmn1vjFbalIzIaLxrGlzNza7vIHbULMqKUYfA3aEmfhIYYqtbi1WDqxTIHncEy4sNFQ9bXVBHmI
wuEFYtBWcQqRoS8gECgIZA6DLjoII8W8FGDoISiC9BBVwYH2sttSvlHsmH3QRHPalZPXJlY7qe90
5XVdPsiKf/VmyyqSkSEwxyriM7+BilEW5z5khtE67VetNnehCXa3Mh9lybq80HZTBzHpvjq4Nu7c
BdG6G1MaOBTCbKWuPU6VgvINrzV48cZu8wH6xE2X4Q/xbtsaOkoMed+/1F0nulM4CdPmTWnih202
YXiovSHwL8ul1KxPWBmU5lhMFpgrDuPwXMstAAI/4g7ywbRAtbi/bijcazcu1x13mNoelsqUFb4/
n6cQguZMFqGcAThavM6KadQn/Y7Sf2mbEColjhvoMqipS3XySRVdyIo1cRo0jQJUOlQgRueioYm3
TKO4q4uljtKwgi4XmFa9eZegEKCUGgtJcbsC6irfldtwKit/kXkjIqgi9p9LdjFVj+kjQ7C0S+Vt
iVkr7/0EXh7tW4V1FNz4W19BQQuprRc+uRZ6wZt4FCDue6HMNZ17HElSswa/IDr4+A5FVfr9u81v
+/KsXNeuB73Qrbr0jTRPUR3QD3QtAOtwH5P3MPfg+HMdA29Jutmvu6wN0S2nfCnyyq/Uu3ZZUFnU
sraPmsbLx3EqwwvLFllAL0gJ2Dle4HOgRKrBME/Wv9nWMYzutaH+EygH/MQSexqYCPjcNbdBV1cX
0xoEy6lnUge3lcfEc0/UPjnrWoG0hvRT360uMtA/qwXvBi4B3NgArti/xAkmnkNOMLs77JJTxn2x
DiejRRHsPHnTPAS8FxH68nqZr81q9uJzR4XRrMVrPiwdLj0M22aB8XRmO5KG7Q+/3/qC/Qn3Bcrz
JqLQMtzPiu4IGGSWWyoai6UztrKp7vuJYclPM6oCif/DnhqYvrxVfuQmwO1jSfC6l2mdrzsPSuVk
h0vXw7oTbLmD3nTfNLCYUjwRNpBV+HudbPruuYCd5cxtVXGQG4CwoUeS8YelD3EbKxQRD6FZib6U
KHPry2Hsm/qR47Q4ashbbpSQ6l1EAgDoZVRWwXngUsyXRTlIm7mJqQUFrguPY4BhTQlT7lPTNvRu
nTUZLhRxtnlZ4k7qi67wuq8OMAL2EEiaQflD1BzmVeBKfRiBtL14pOgOHaBOlbAI25yblvKhGoy+
FF1T04wGUyCx7SGkLbFlIJ6n2rMyb4Mey2TzClBEUT/46kuHDdmduY8plS/7jp3XFCDxYbWbzXHI
LOrSn+Yghi4XAhuctKElKL1V/X4SVjx5DmX6GVz85H82undw1Pg+s6dqCfBRa+eXGxBzGcvTiNcC
sUMj4sM2WGugNWftY21BRHCmL6JutfRiW2K8nIZAjXgc22YYrvt4ja48Q6IhL1Xf2UvplhHad6q7
8gmViP5MRI9tBFsn5ODQdy06EYvlCqeAU4+tVH61YxEht0A6wNi9gfnHE/gwXUx5ybxGnr1iXD6W
kgAphCcobk6VAGm3aq8AtjgrXeXVNmOSVoGpwztw8Bu96eIREA4E/SS+jvwS4h2H6kbnSznirS28
hyhn2liHvUPrNvfXcJ0y2wZ8Om5cYfYDVpQscwXMH2kxakg9F+r8p7qcMNdw0olnzPVO3/UwemCD
DUAIHXhXxkuyztCFzQv3k6ax7A0NerVkC5Umuo6KltsHVYCVx+GOGZ2PwEbUAY2DW6+q0DTDFZvG
MrwLVtJC9bgOwJ2qdfXkdTN545J1cMUECaoxCL5A7eH+J9HIA9C5BtL9lZCTUxHWvYtjBlCzKBkS
LYEP/B+S8ie3XoAu+LsC/ie33s2Xj9MH3Xz4XiUQ/OOX/kZSBP0LldbOg4KKJ0g1+w5JIdFfBO03
3Hrw3u2uu3+KBKLwL0LQBQDfgLyQUz/+H5FARP4TUQB8IK+61R3TociIRuYtBBC4sR+boDacPeKK
0l6F3SZseb01E3y74KIjVbv+Cks2cmMHFxM0OuUMFWPSVM3yRPkUn/Rmise248WW9Lj9nRCKbwOQ
j1drjZYLulFQnShwoT8LwglmgK2a30a6624mzlSd2UDMB2F4dROsHKYS2JXQlthtFwqUOoUTIrwx
sqNpwYg6EMu7u6Yh/Z1ZlvlB9DFEW5WTzTOcX8s58iY+4wCI+7c4EovnmZQemk4+iIe25N3DFJjn
mDfbSaP4gViTybtY0e2B+O30sMqwOIQCt78VZs29JTTnZhQbao4QMHnsoy8oI8gTqka1TzOMFB8A
WKoLBFoXYAi2eL1TatR3wFjKF9U1s0vR+Y5ZKG1wECXzHxlV5QNd4zq3JLIQSZB+vZrAvV9xpd90
bWVQwvoB7BqRDYOUhOP21JsZZ5C/fmzWFTLc0DZwhXi2ulJVXzfQN1P9HuTFAoU23uGbtqm7G77Y
8uCZcjtPXYSypHShzFrLWVr3DdTaNWiCu0Bo8DWtvIUYsD4A821g8EP1qtGFXpBlWK7Wsp+venRX
cJt0MQecs7hHZ9R8aFbRpAa+k1sOFfOFA8Z1zRRZriIcLRccQMyHOgqHM/T45jHmQQucvPGavA9G
mD6mErbAbozm681X5KB85uEQaPt7HB/ho0FF8w6YSvvVBZo8BXauUAKv/W2nqXcTVuwgKTFvMVYg
edXaizulefc2nCp78DlIgN4EJF/6ZjsuBFyeF07rZwXm7NY343BVo2tORWgrldSYODIRnhCf4E+b
p1RNPvxA6Hb7Nl0h686juC/ve21Jk8SoI3NXdCiByAAlpC43qLejDzaw/LKHcPcIn+14E03oFuee
QAoXbHNaaol6xvcESjpP1Fcj1B8XrRz5BbFx+6XuZX0HKUGPOSW324bWI/omwBGfIOXlXVJI7YtE
LTE8Q5zR+bKvYob9qyzPVTO1CcqdOqu9lr6Fipa8TGuNRk40JC8jPV9XbKRrAlDU3k+gcN+pdgxQ
jbfjejnSSj6B/qa3XEXJxEd5tJb1dxXR5gHtfZA36FwdXKob5G6+37OEwlS1JaWBERHNGAPnsfTe
klRgAk7QJxenAOaLE3W1bhOY1aDnLVa1zgk4ge4Z28h45/p2u+hBUuR27mgOoJBcM1Thy3G245gy
VfF8gt/1tpOdvJ3KKMhiFYfvofsRTYK1vb5onGMyWfnsHuO4CUEg9y2Ij9ovgUcU3XnebN9DO8KW
AsSWovbQj47c1kUI95xHe5AMHtruZ+b3aoT+bijGNFKqwE5SjVu2dcPn1ociIYEqYL0OURc4vBpa
NVntrPcsrdYir30qCogN5ZqFlY8efat7FRxWKPbgquLjeh+0xH+ZdNHPqYRgeVSHNh5wtl/7MEus
kDGFspvX4ID2THYilYuDPgZ+URSYjwXqdxe/kawbzYMBZ2RhQOyw2s/bGMC1mhoOz9+YRTZolsep
XiX/FMmmKHv4i1uy0DedrRfFcj6CIjt482zqz46No98cAcFPEw6u/6sD/t23L/yLG0EMzK7t+veU
yqvvTvgmFvzH7/xdBnDyFz4CJy84k2g33wM8/ZtQ4QxZTUEM0gbY5B43/686ADk0hPhit/mTEIb6
EKf132JBsDDw8ccCKiscMkEs/iPP/itkORJxuHt0EIaPZh4Gt71q+A7DligiN9gE5osgmKVJW/j3
uzQKSnEVzaHQCaNTf9XEoM4zUVqefTdWv0BmXwGzaInBmsDTEBBsbCCc9rv77upKSZQisC0flzmw
OXNdnPtV0GaOVd3Ff3EppGQj/gLqK1ReP15qCmvr+x01x8ifqmMb+EsSgtDNgXar/+KpMJQCQcM+
XnqIGu77p9r8tRkdUgngmVwrAG+byiawuKmBj+P0+6fakevvKIhvA7jnFUYkxKTAvvLjpcAyzU1L
MYCiKkA3uQDd+Bx/XW2cwZNYp2wIvUQVcLaBOBjS3198rxh/vji+I2GfxYDWXj0nSO6iCEdjjvDP
xolfryV025HCF1D8z3r6X80RWOBQD0HKGqMwZq+uoiWHq08V83EScGthbvaQstFVMZvXYweg+veX
e8UlYUTpzl9CigtBFKjO/aG/m5JU2SAskXdwlC42QDumL8hT+8rlgBOy7S7joh7/IPv4eRgpEnJg
qkDqFFKp41eZGUXZwIYTDvOxJpSmPVp7vCwx5L9/rn2YfnxZuAqwbQGVl4DGaF+K3z1XNBd+36hm
PoaVhf7D864kUH8HTVK6ko7+4Zl+NYrfX+3VSwNrKpWk7XzkdvGTYqgSaTuU/HUDulbsSQhN8/H3
DxjsLNTrJ0T0cEzRPQlMyFdbmSubmC/QPB39Mo5uoyFqnyWZi1M8bPxiHmSTzeqBWcdhmIv059gQ
foZq+WKW03C0s7A5TusFDhs2flrX0Du5OBJJUBgFFa9LWlbK1Ic+6g8bk/+L9x/Cc0D8GMK74KcZ
x7WMg8FgGVXLHO0lELQSybpSm3teSGAcgm9l5MMCF3Qz5iizo/dkY5BBoRC+YWDEUX5IcQtMSv5h
LdBf3hr2532FU/x5tRhq0YIxoK0BC1XmQVHSDPTtChw+NrlWUr9Zq7BOyQLFeTa0W39e+3q6AvRu
m6xbYQGzpAe2outEObh7Q+DAWdFzggQV6S7lHEw3Qbx5p61ZhkxZY7KFwR6szCSeZ4DAz8byAoU8
nOhT5LEDZERVYsOJ5/Ownk2DXmnx2jk1Bayia0svy6h5AzBG3zRwtyJmZmsOU4jeYvHM7SDYdgHz
+Ja4qA0RhNAWV6R05MWblD2iafLSgrqvjQsfDEcHI5hsLkxcmlt8cn/4/Wz9eYFA44XCAKseZzDi
5H5cjquWdKbL/tJ1iWp1LkEbk5NfrU/zVuwW5M7/j5ckrgiEEfFQlO37zY9XFHB6cniVzXEqipOv
o7z15Sc4566mEHwJkMC3v3/Cn892Thl2Gx+si0Dp82pb01LYHu/GHGvXjklgo+UkhyXMeQAr9O8v
9fM05RTqiwDOBgEJcfxqmsqZohiGOOEouKWXg6d8hLrO7A8D+MurRGhk8T1a+BaU16+sI8CBzYIB
9OIJyR2wVnsX4Cv43e8fxv95H8PTIICQo1qEX4S+elENuA8ov3bKbvWHDFRYfYjXDloN3Q/A+DRD
SYGJDy0+eE3+Amj5OERQmf/hNna6+cftdE+EitGs+BSNE+CnHw4MpYZoqyyDOA/ZTPkCXu8Acscc
kDMAKVkYbdHJ71eRT2T40g4Le2hMvRzRttvrbtvCM0jE4g9vIPjlPUFuwCFIEahZXx0rMvI8ryhD
fezl3J/IRHNBZgD5vVE3hR7RirN5fNeC3Uhb5bnbeYSOLq5IkAneD+C4kLrir/am4StiaZb3sDMG
qarM+Oj6GQYMU8EqgWyYc+/aG4+YPxUXv34AgTxceIeAx+32oO9P4cKfROf4gkEt3YOckAg1L5F8
U2IXS0fF6qzQUPN1LDY4sabuDK7sA6/Yk55icZrHAtEkfLI5KBVxP2xseOLR9gU5RP055KU4gIJw
u+/Tw1lh2gO4xvEPR8K3BK+fpsV3T/Bqdi6mxQ0PTh9hxJbnYhP92SCOBwAFycwuqA3nGPkkNTmF
CKqA2Bcm8N/PzPCXs0DAZEKxGH34534cROQ9QfZPZ32svdLAq9hy+hFl1R0DMJVAUvh5aO36wgK/
/AQ5jpmtTOshKDPEu/SJRUBCQDSM0THYmAU0ZJewYB4RW0DIcaV1nUa19L+43vexVbJHFjY5JTVI
eE+8jLyeLnxLyZVHESuwDcMHZslj7HAhGfmgxMC10z+M+c+lG0LdCLBkVAgxQbf04/NSCPebosaG
oOr2pS8gzK7bzNtImQwbUr1+P7q/2LZj1MDoPCOGDyavOgrdNnE/YdM5jrL/KqBlwqlt6yQCjfyH
K+2f9Gom4Uq7Eg12OEZeF/aqkPPICoqZNMmnxg/lS404rDbpHLoJ6howOiSG0ryI4W76/UP+4vSN
8W1JEBFCQwhs/tVDGgnxelETfZyZewch1d3K1AOJiq8tMx/R8sbZ76/3rfb86VlpACtYgIY7fr2n
C+vptaowZdGG9w9ziLrHwWrkeriGQrt9AYH4NFTtmkk3oriJIOlHxMiUEVQrv7+VX04mCofitwhi
aMp+nEzVbCwtEaNzRESWycjI4gQiewCi1SBTWtZff3+5XxyaMSQQu6cRvTea/B8vF4u62VEwvGQ3
rUc5+kW6zbz8Q4/4y/HFFyyA1diHN+KvtoRa+3LwIcY7okeeUm7XMrM9HE5xwb3TAjFPKkFYZ55T
bb4gSi4FGtBCNuJdblv8pz3y56YcKj10hWjKIXulr9fr4ma6lbrBzSDWKod0DIzdtF0762SKBBcv
HXUHcxozQTI0M/nDsvJ/tYJRDWGwUbeD9Xm1XRhYqeBQJ9PR+RGSldjkUci1pbnVlQ/j8RIPcZwO
Mz4g8ZyANNXGqqUZqUekcHSKlU26eG65tmUokRlgzOynyNnSn38/M35xm1zEu0sSgaS7cefHmVF6
8HnTPlZHJBMgnigCwx1pJXLU8tUfhuQXlwJHHEFCyQDDQab846WQwqNHBcr/aLai+xqFjt1vfQkl
vheT/+KxUIPSiOzfhIMLvnqssR83M/JIHWlQTfcCDN9hcKy4rKc9+fN3wMgvNjFcCbAISkSIGl8j
FfAQyHqYcaUqJDIrYAt87CRMOTjdoMRbuwjBg6X7w/bxy6FEfx3FPtKWoSb+cSilJD1kiRReFMgj
046uIAdqZOFNBIEuv38+8c349GrXRKWBIPudC4Ul5dVM5k00zBL00REiOPCCsXMG8lq4hbcMUhTw
N/GkQR+gJm9TFdrFO6BzRGbCBh1Pd99xisVVhcAYT8Db2+dgtFBvTGDH5gx6AQRaQcpYfhggQkRI
J0QMB1m2iOrQvV+VcNoDI0rBHkDDJixd/MMCGbC7pIjXO1ZQkGw5BKtIppJN6T/FcwAtVxutNDjU
frfGeSjGMngrENjQfYlrgCUyGdHBlJdriRw+5IQ0U/lGt4PvTm0PdO0ISVQX5R4Z/XOHdBHvCP+I
1TcUEWCIATSzK+5jDSkTMse4t0BvMsH4n8yRaECHQY8jrznrKUPyVjjUh5mq9hF0VIxIot4bLvyp
gTjdySmYEENTPXc6DiOoF6BqPcEZLMeUz8iXObgGhFnejVAGXtUW7WSVxmJc2qPWi2gy6ELcmg0W
KrvLzoM8AbhDNwbZ2NG9uKo4Dz4wiDlcwsCvphuPhukRRJTHjtDD1O4OCSH2sa8i+HGdpwR7IDCw
yXx2Vs4nFLErQr5WUR2QZAUdZzRK5NloDW9sP+GIyttih/+IF4AsUpryN3Wpdh6vQ2qPjkrrJ2DX
6EXH53vgvIcZUt2XYgzat63HyYPpY2heu3q98Fzd5qESt3PrkBCoD2vJ+oeCAUSNSgjToDQ7BlGz
ZI1AypCc7Tm0bkmDUX+omzhK6BwU2Vyv4QFCs89R6C25heAG9zCxY6wXkouogm9TbIimWMCTwXYj
L5F+uX5kBgqRaEasSM/sh03F9MLCg57Y1SHoqX2GbCCPvVjdUdFNuU/66q4JkauFaDn/kndteQ25
aHtEt4AQ0ap4XreQHqnn31cVFO9QdxWnAqxfutbNjKJCs7TFKZFpjXCmpl1PyiBKq9ocxV/N7bdU
lCWazqCeg2wjjcpXA9axLpFM2rAGwVPIBanwZu8KHj1AwoU42IUjpmmbttR5Zs6KwAXHDaXrQyHb
8X3PkX3Ul8jCAY0cZysx09fYU0g5MxB7cwDWRzYM9DS1ULuwvlhPIakQcusYmMHVngO4Hio6+oeG
urcdxGJv+6q4YDR6rGb3FoK9Pl+IAFA3F287BBFMWIEdP9mZ9QfQgRAkUu+pEbw46yIErSwHnpMa
wYPtoqCZrcWWlegbHqrJs3dKTvxBzyvOxVBfGQdrU7tCY+g8hDXDvXrBQ1OB/e+gx+24/RppM0M4
u8DrlTW2MpuDnlr1sKUkqDQnKAGHSpgn5DiCOg4weV46GFYR36bQR+AwxSZRy3l5N2Lsb9SCWVa7
ok9445/ILB3UmWY4xP6GJEwzDPmKBZEXNKBOX3G3yEW/g7OSaQXfYgGXZrZBAP7O88MDqSW0sR7U
bOORecHwCVlczXgRNm0AhySfmE3cAA/PlefFBnE7jE8yaZ2l3hnwLNEAaRXEiEg/gpyj6dts4519
gt1zvQvaOnhCEmFTnZY6nnIKFfCNDxf2YagsEmpXBTCurDT5GJMC9STw3TFnG2kv4WqePiHyVsb5
njad1gutwqt1RTBCZJviqwC4P6eoAqBsQuINyTbH1zfgmbqv0wiBB9yL2n8PWeaUoUWjtwLagnfQ
icJKCH/h0aBieeIuQhCRxuc4r4Wm0QTqvA3op6u1j07wNOgXoHCgQWqw+buQHjOhDIV6W0Lt/Qk5
vg2UDp56y1RQXdQIMm4Re2iaQwUt2Av4cGjV2bAsWVzQziA8UmNxtIGHyE0Y9jIZxzStUXCdII9s
MgYIOUdXKqZDg76pu+hG+CQSU0n7rIplF+TSyueJkAs85QOJYBLvQA2exr5E6OGCfeQsRV0+EqSA
IhMAYr+DxnB6z5Bx4hHZ7je6lEhEukBaln22wTov1xLe+duKK54NZNyuB8P5FVQs+NRwhGSBVPGj
NQGMvKhE1DmGsuAW6rjxPaC7IAdwRm/lhKWa90O3HTbk2hyWAVbOI3xP8rZtR8v2hCR6i0WksKjw
dgHCq3PTieiWleX4cbJyuo+2yX/SFcb7W9zHBinjkZcYVA/e70sklKl7RM6NH+neYaZ9vO35u6qu
jhjZ6oKu3R5pCruOP0Xq/C1AZLN6/GjcOL21JcZ1Y0x9GhC+p5JtLjGskCAWZwk04jgLoz8jC5Xe
RpuCYMEOQt6uFYUWESLOzn2GojlC6CEU/CFi88LFL9yVj2N5zBZRS+QkcYUI7r5ENhaH0RkBvAPx
n0YfIXoVRdTaGJfyJqbz8D6WcZOZGQbcJIBTAqGtHEUkncMgl4ars5tIkUnIxy+nDg8fCba+4V6N
fVEW1UU44rdH4snbGcZYSC04RQWOFE0wFqFqT1Oz65GNAIiTQX6FWMUOUSVJYQVMnXJpTVZv4zAn
G9Y5YKxevzgH0Jozi8BwiSDYonDtyZ/MPsvnco9/gcz5sUI02HM0IMY7XQbcJHKqmgdupvFDiNjg
R09sSDAY+6W8dXHX+4mO+ultu3vBeaznZzKuzUO1v+5gKvgVrf3iQUUWF2qQioBvS9m1zwh8v400
Ru3/sXcey5Ebade+lYl/DwVMwi3+TXnHomc3uUF0q7vhXcJkAlf/PaCkkYYzI4X2s1EoJJJFolCJ
15zznCBLpjszNiY89biIDY1+eMXQHrpAmYljaybVxXMUP7Ge8wdKdv0cmmxkZoWw+zRLRuJbo0ym
H37DmG8dDUlUr5i3dBAvPENV0Gdq1O8im0sDJ5oXPYiElmvVDF07Hctx9BL+du6kGV4vR68nuNM4
s5JbhFO1tS4xS98ZTsYQd5wK3muzCwDKeRiLq3XY9T/qwKBnGs0yW7elan+A57ReRIwgExqG9d0b
M9w4fPTae06L+UdtZw1IHLua8rXM3OE7gtDZ5T2DOG40DZfF40ne7U2VWzBAKHmfZrswHsLe5DTz
vfG7boL2vo/gzg6t3Vx7OFivOovae6sP4tvIa9M9SIwAW0eA0aJLFkFpwOe7MuL+U5umlYn4J+g4
42uYbccazfwPKmr/hp442sEwgFeJlsBnbto7AwthJ3ibu6C/RuUiCiqK8QCCireGx+bFkSIfVq4f
p3ee6Jod7rPuWTYjGu85+dHHNf8JsFCzicbG+eqGsbsTDYr1RqDEtx1drV2QK3uL67Vioyk2eS/5
HGJpmR5w++s7ihC1qkQWvdhFLNDY1I99KG4gPUP6W2h2US/lRmGoubbMf6Bdj6esJDCggQt9ayoU
6bgtODfAae+1mRo32jOa2wow1qMX2TBzdDrEHLrouICg9eDTXPPopv1pnKZik/LZvDFjJS9V7Fen
OKmmFaU+JWDI+o8R6pfQxeyAYVk/5PXofBsLgZnetPY8nfiH04EF86xmrXtxhqEnPlFvAxIwdf01
VMueqe53CZPlYxvVPtuyhIJ0zOrpE8i2+AFPv9r5ujl4ddFuQpiwMT7q+hCo+Qvzv/I1L/15cfhw
kWxDxBz0dDhrf5og2GZ53h1zw3RWY2RgHC1Fs+tQ3p8TsNMbKlR1B3rG3KPV6h6HFuauo8L4Yeh4
kcGN/LsBgfaKwfS0oikVXzBdeC8ovYpDmvovOjMBsQFvpQ6klFuV6VRjiVfJTRowuIHdd4yc2fqa
mJHajYFh7nvbmjdBOjgbRdQB096kx+rNqDCeJu9McSE+ZcLdA2yvd3ycOIDrjO409lr4FEUY/hjz
wf6kG2FdwzKcUS2U4qmBpLfW1LA7l7PrXEZwYCzX9++nkXfJHXHz7nzqwpXsJZ5TrZvvM6sme91g
kb+2SOse06qArWzoquFYa6CdijLr1roBasoCAWxBb68H36OgF3H2JZtgfcRwneEPFtnKFcalnjJ9
P5v2J+jy5Y6P4g7pdkah5mJkjfzhWgp3EWLWlBliJB3ANzNkYX36EOCX3+SlE5y7KeX0MpNt4hb5
Kneke1s2bg3vVEFynxHKHaepHm881+CxA9aDCAfEiKcm1hlWICchACPDr7WSEgkhqPGMjxE7tPEm
jPrscwmIbO9aDOAZrdU8seYFFQ9XW9+F0UILYphNV+ePab4aZJafQpWaD64vTjLz9SEaexIfuvym
4F0+dxWusk7UBctR1UMW6voLc99p5SEgtbQRfiZ/Y0Wf80XWCN7KxJ3XbeONi6MTjt049tZnbCrw
R2z/K2yM7xF0hzcq1uKt6DAiZl1nPPsFji5nHOJt7w/l/eRRsRSTtFh6hz3YUo3FjnJIH3DGjOnJ
cGolNqNvdv4BeiMa10p49a2hIBGtqsmvbxnfLHDbIItr1gAFh1BtudlbWWbVPbTY8h5mbl6gHeYA
zRLVfwP4ZX6tuiz51kYmKQS2wQ9sUQGcXJnVj5OAhPhZUvHwvqU0OUj8wceMhucciybgiQJd6ZWn
JbOzubBwR8QMJI/wb+0n6mM607xMxCnOdfetzHFLd0PHEAFISfkjFxVThUVJ/WZ2mfU1f/cWAHPX
d12rozc7lzThIkoh6jZz1H0z3MYoV/Y8hj40Sbd6LFooT1AoIGyQYNCP9U6EionGoBNuj8QeKHDq
Cj9e4g04ssK4jt5cy+V7wkYXcgNhCio26SzcRpUz9flm7Pgt8Zggl1qAzvxVSxhGiWhWVN05nd2e
vtGsRitZK5gcMTAsi588GwE2I6EYP24SEU7G3piWEqBnQ4oBXsOYyxJTVBtPkpmyLt6jUoyZR90a
jHz0NsoRpnQ8pJgEMYaVP+xh4FWH1sFlrpCwv/1yMV0Q6MPKYT2Zguo1Uab51qzrFf1EvXdCN147
Lb5WUNPLUAA1fvXooh8D7ZRmjHtQFqQ0mMBvD43FFOjWbl1t7Xp3ds+T7OtHV6Go4C1k37pWUcvf
Rz4L8xDZmHl27lAxjPsSfnAChb4ff4wes9HVYOP+vfEMK3nKp9HeVwNuvRLX9j3kaLIDmiYwnzCe
dNNBM4aPbonT0OjrRlS3jNoFv3VaRbx53qQrg/1f7Ra4StMFDNIEybRhLsNVHI2er5+JmvmW0r2k
K37Z8DJ1Y/c9xQha7MNBYhAbQsBi2LZSW68Lk8/PiugZEwUu87+TwnFPqkrdU9G5iWiyo+lJhiiS
3UrG4UI6CR91QcPNQ5jn17oczAi5OfEo+H9n2AC3yeiYUAsoIQu/snt43HbyDFbF3kKdNk/spOVB
lYNzX8aBvqBlSl/mOVHPyhbjL2uw/3lR0HJ/////71+is/5oK+H+Xlac/xwN/5sXhcCaOK1Sxse/
C1d//aZfRagE5PEw4Oew2GMCxxbqdxEqscdMjzHF+++4D4fh+K9UD+LdBPUZUmgcI5AVTBYdv4pQ
HQ+qh4e10P9nvttvwM67Xya4fxYc5VsfVrosbEKfIDl+JL8F0usP+5tg9Oq6nmLrEAQIyJf+LVhL
kJnEE03tJUU2oqvobaoC4G1DECfP5gAAhwVMDbk9Hq5OzTQ3lCPmSz+yoq303eAumeKGMIuqeKqr
ieGnJQJKsv4pGiMNDGdov2C+yGXKLFbGz500qhe7x+DRlIo15Ggb8hub9fpcJzFyWB6nX36xZmq7
c7/QyPFFyLnCl96rje8wWPVzDjlKf2ecHfrZKe2Euia1v5VksgQ8088mx02w98aoeqINjRnD0CeK
60AVBboyqQ1IsGDlME5X45ZVcwz+GEB5V6at2LDP01dL6mIj8yR4K/IisM8dAikuS23bPKRVfCHs
ADtl7uFwoKStAXQpolIwYIhV1OVfRTlX51hx/rvBLDYulf5nCQJg61qR2BhohzisHfVi27grS6Dk
8RGPQbqvm7K5i5bH3p5ntDiabM5e+65INwMw5efE7Niuc+YKipCx9V+aLqW68D3qhi1jQk4luhkm
+FEI9Hntz6K3b4Gi44UzCHV8km0gvgyNYGTmFap5FbEIsDjQJ+HKWa5ybnEtkjq0nniC8aCZbAXH
OO2pegomE0tzUQAhkXVvXTtEYgxKwANipME5UDJyGakd0EdwqqH1wgWuqqHGSVnwbH7/18Ji9Yzx
z5PeCl4aXwddiu9xnSn3L03FQ98GdVWu3b6MXjJK7IVr5AWXno6VEJiELQWsbzd8CeqcJ947h8Qa
DKw+MhiBpIRSWE82tUmMsxgbCVDoYWE7MPlxkt79wvOZwxyXr8Tip7v5HFZIMxl/WfXZji0ct5mY
+YP85aLYLXT8c5/PRXIygolfQFmtjrd+nHF1yzFCAqNKniFxBMd4406InzeBJgZrEwCnsa/RWGCL
7/rIjI99M2KmBNzSf8uymn46X+zPAvQ/kLG6xVFdZBmOXPILRjydnmHyP0TA5GXF441/D+Z+cbHa
GDHXUmn+y8ys8/jeT2qd8LbMHRx3D2DxWtAOM2kcbPOOkAjv8v6Knj/kmskthZQqLO7NFtNDyqww
jl6UzHE+I6XBnSmUPWIBlZb4Yk4TLmoRaxjJpmxeW9oQksVcLbGnZ664j7Mh3OZOm9TH1Ellt428
wXHWjPiWEtop+LMm4ASXJCq8T2RYTcbL+28ZFPMQH4qJNAwYzC6/rNt43GUGcuFrKIkDggvWOaRP
eYr3mVyLdn5EFMbipC6Wt9Q2l+uD397srv0U1ufQ62qqDdKjruGUUqcFYQy0E0B0us9rNDRY1alO
fVVwQhE+JDHfmta0Q7pT/JhntAirzDOWe8oCtbCK4QOV+3oYVX322TMheWpyvV4A0GrTh/Z86GZP
PZiKYpXyvXl1uNMcPGqoRblPK2SFuA6aSx8M67pxA1YOttESQ2HjeRnKKnbWk+z8K9thdpbhFL7w
ZnoLmtK3Hpjr9IDRZNe89mLoIgxltma0GDr7TAXlbkZTvTbH2L0f0r77OTOgfa5Q54QvRVjox8Az
qOBsyY1tSyX5Y7gAF4QaBn8dhaizmmu36ta9koWzccNqMYUzOZ0PGlwK2TShz7w2w6MPyxgHtoiQ
Ta1sGPLHOGawBD2T6zshS3+RPpNub2jrkRcs1a2C6QzDLLbjrdE7NNYttGyMvaJh2Js6e8icSbLG
lxTfV1ZTPRRjzfR5zJcyyc8Tos9QW+1gHEzfhV86p0iyFcjGwPoGOmR+CeJB+zuqMPLVpJd+d1qt
ngbXnY6LQn3LronuOTWe8X3Ll8QW3aZqc3IQizBIWdOTEUDZXVwsXZE0EepqZwYlEPTYnL8vvkc+
AarozoGrfEKFMn8SRCVGzuuUZ925Z6PWrmEjEdA3y/yGADkc54qN/xJ9hlc8jWb/4sbtVVKOf3dd
4um2MyqyYqWndjpVvQ6uhTKYzRi23uJkQS2RB2NnXYqc0/x+Fk5yHM1w34+e3s2jM266Nm9u1IAe
MTeG6K4aJafJ5K8IWmiGB6uqPjuxwiPXh93MfGlg6N/klWk/R41TvxBUIx9Zit0lLqjDyaabU3jg
HmBS+I9EycHMG3Qf3Lb4OA6pXzRbEwL0Z3AE+iyi4GmObe/TgINqX2u3lntXVXXI54N8t8MokSSy
LjtAKIWg2th3XUdz6AFYdbeFmZgXVc/FGpJib953ybJisUkBLDLJ0BM6MbFdY48tpFBmZW4Qxqi3
qNFlsbbE4GbMMFDmHlCRIDo2LEH0lNPW64Ad15PNXvk1tUMTwC8b+dshEwM2QqM5jp7DXa2c7I1J
aHNWxTBce9t8UzJobyBWTv3KUrrx1izD+gv8CQyzIrQfEWeI8wTL9D63vP7HKLR8m+jq2i+6N4vx
PsV1F597SQ5GXOQVAkL52Z7m6D5JrGiTeznqjcDSF3pzBxAxJY3vyRNgaONWyt7b0prGyxyo/F70
Sl/aOc3YNU32fZb242uQesyxaYDvwiZ0b9kzkPkHtrFsmeqR8uAbUX5jRq1dbRLIPfcir92NLwYi
EcsCzoHw9GkRurwhORJrt26eI0Ayp9yUL7SuaBhpKjZdZr5adnzMVNZdjMkVn5WKHYaVOSh+CzHk
Fuxncu5iEd86QT3cDL48BAMTitynG0lMiE6MyhqwBCrpBX9hYK1tVh9gTRp76Hn4GVcw+vbeTJNL
ieaJ4A/rU5Sh/YshtKykXYt1peiFPV0UG6thg9zZjdgmmtyu2AmjeROL1mPyzCN8xxLG1Cvbbpz7
gNb/Lghl/1gDP+JBX401f0/Sr/NZ7wy/H28IyXaZSsfPntla52WBvbEcTcfJqBI7dFk+poRrkShB
+bGzUR1sNLu2btuY2oAC47ms+bokuSu1dNgnmdOTKeV4njpnEa3zjSPLzRtOoPGQ6i7tNn0Z3i98
6z3cM/hrvS2aM3ZveKJuWYzrqeoUyvllDpFA6TwNIhvYGnvmRkbQZPssuNR5PD2bHS37yi2HF1YI
n0kSjdauayEFBOUUP49NCOeiW+T9beewTir1QZsxyLUwCXbe4PE+9DJT3qpktQVsxx88ia4gcfkk
lPigGu22O5EOPB2LJCTdwi+LfaNE8NKE/OFjo+VjlNX+jkFflG15HKoDCYSknCwW0SAiSUNL64Go
zapbySwRrA3j7swoRTgrFP3DWUtBgiXgWQd4b6hv/FInAUxSdwR8jj8qKBK1TXPPnQ9EIRZw8P32
EEpIQsVSWjVlJ1fFSCjrLAhbWRdl5uFkbZttBiUHoUQw3Kgl7YJdS7+GYbIESfpEWmTleJ27oHGe
eb7lN31VOAj8ylATWwKfh1xDt34YSh17DwVxWPPaNULGS31GWVAp8TW3bDPehV6FFXc0qQVzz8pv
Yx6y8VjoCxOmbjsNOVmtWRdE9x1lwI1dNA0n7+TEn/1yROU8Oxk1lghf48GqH2ZE282qjJMd5p/p
4naue22rhJS9sG2NzVC7w4l0p/6srZZ9XZWygHP77ilR5amFN9IEs960oY1ht6u7n1kimPuxb+UJ
FWy0l3HwQqHGQLsDqOFLcZ+xUilW7pjn+Y6UjLg4sXZFPJOG8zytEBo0GRiwigyvkgENUkiy7nRe
FpjrQ5uIvqYq2c9VAxfEieZLPkDC/nkadXdnAAq9JdBEptu4Sd3ha9A3T80wVdhlZDpAC9ujSMG3
ExEC1SaO/1BbxafGKXRyJuDOjy6o4r70aiFXYxLG1My9cMxVGvE+ZzDfgzxL/Ad4Bq75KS35N4nI
ANXMXd10UDtw9EKKWoPS/zQnmOkEK63Yv4vtpr3j6Xck+LI01OEPnfyvrfI//pCpvDS+f5BAQQNG
Mylo2ol0QCf3UamaUyxFZEnVB3daWid4/wti0iqo3P/8hRYN3L+90OLTwIQW4Of7oJGD8sByt+CF
IKeD92sCQFh91VKr8TaILx3T0GX4DHYBbk7dvP7dVw+QsuETCQTb7n+zEjbGZEH01TVBR4395Cmg
73Cy2BdVAPaJTOBVvR7Zw9pQJRX8n7+49cFxwUUGXIoHNURNDnTg49/OxMyIagbWh85q+Olw4AZx
4+et/VRlHR0Uwmz++JH91hkgAeWKScYUPQD7o+IQC209/fkvtIjo/vW9QKaKwWHJ+LaQtH54L+JQ
DZMd08z4Uoqjchg/uGliP82Tz5ZbWun+z1/P/aDq4wIIB30uYgjfRDD6UTIKtwPiKLN0NC4yvPSo
Y17JouE2MKB7bux6+BmcvhDXeAwG5yil50TTurOMpLzJ3AyslsFpvvXaSsjbd3hUSfJccwKwH76M
qCG2BJtyJwn4qNTqpQcnKDadkCmO6OdH2zOg/7Q6l4d0wL9Bwqj7pXZH1T9CRkCWN/eWRc5p5TEa
fZtpIvM1wQl06XFE6kjqxDSg8NOsp9J3mldVTAzPCT76EQAKeHTCmDaubzu+3rPZuJqEHOsL40qI
FDwwTbpqy4juZ6Mbul2Y0S3usXvKw8QXSnyEjeXtZWLBy+qsoH59H4CUXmv9EoHwv/HmX403uejc
4P99vPnpe9f/4z/OOH/5zt9mnP5PuCc9D8u8hRdaLIPM34z29k9I7kMMxChaUOba3P+/kYtNPPim
ZRJZj/8d7A6T0d9mnP5PVrg4L0BycjwQ2vl3ADzeR8w/p+riBxcsKnFT8Vt+lM6yWCuqLE6OXekP
Z7QGLtHTCArPwPUAgYtlmpUPjvXAB4vJD/tXM9WEIC7lD8sig+I8GvydRFz0iNEAxp1ThC9p0Bf7
BEI+SYFLRUVL1O6G9zpLLyVXR/eHvDoboqXaEFRlmOQLwidz19uM4ZRv3KWAayNxqoJ8YIiGRnQV
o8l8tipAcqvRlVgwvQwpq3ohkoPKEBPa9Dz340ITQz6Zjov3Z6klwY5bp/69wNRLrclCiLITwln7
4LKDY1w2W81Gmj4Vam3cp1GTdRu2veog6aNuZjVVK71Ut/NS52ZLxRs1k7NjJJEsLBtgbiHcsFXI
IKbb2qWXbmBzFDvPd6mGEzWVj3HiujtGpQ0lEv8bnpB1Dq30uaY9WcUBVXkgpl0wUrgZrVlvYnoR
8Oep6B9zZgt3sCed++i9zK/fS/56GviLi8CYCR/HZM9CVWyREpM4Rx+44XfON05HiyPqkHWd4fv0
3c4n4HvNAR3xxV+6D2tIbmOOo35jT6YoNj70FVL6lFixqJ7Fpaecj3igYDkPPEIdo7I/hKrqn0U3
URyiFrS2xmhjfwezSdfSVS7vhztc5sA+9DRR6dJNDUtflUf9S1RNJute+Tzlk1iH5Ai8SZVNJyuh
VMSAlmzcnOxyi/VekcXxA3Ifp6J+q4sbuCPtFV4ibR7Eu8RfNWXt3cZD56FCNaKNkfjjayQj+35q
62zrxp6+wP7/3r83k9U0e9tlk3Y309GddEjNlHnOGsqCvmAmjlaFRVs5VBy4ltN/jrsauQigmWPy
3syq98ZWvze5Mo67N1O1w480G617Wnj3nMWt84j+NtvAeRmoZruWWOax5JIptt83TBbfFOGwV6Ox
ja2tzO+iKt98peoOsXrVHselKy+W/py9Hhl3pZyCVxYKw9NsDAgUx6jgORbR3pNsQKtvvrf9LDBR
mxeVUm+MemuAsNOQNtvOaDu9ypfZwcy7vHX9vtymC0roflymDPkyb2gQOTtrTbDy/cg4QrnW69yF
ryZJbZJnIKsKsyQ42ksbMm5I+ZV7WKT0q8uQw2XaEUfNd9MeiN/MllGIXIYibjGOwW0C93dVMUIi
mtWzDzFnzgM/ga0BZItr16ZnhPzqqC0S51e1J3BuD3Gn7JvufSwTRFqCMZLNa/k+tpHLBEeaHYxR
ZjrjMt2Ry5wH1QUTn2X2g3hkT4+VHPP3wZA920F5ACwA3QZYT3amRc1yMN9M3VfarN2bznWire/U
yTEhDnjbNr1aeb5h0Gd7wSchYRmv+vlcAZA9xH2X7POARiDybGPnRhNjc3NSO5RC4AN0kX/WzONJ
+2jVGU8kCvEeEk80WfQKHcb5HO3VfVKX+RaNHZNqRZhvMOZinUHWOWW5M29qyov9KDrcVVYZ35Aq
qrgC2Tw/Ufq6R5f5+w2zHOOF3O5kKM6DmcebsuhQkaSLjFgbDmKQ5szq9rNNm7GpZWcf9RzNW5ev
OiOrq2+swmlZ1wpDYxKuW9vcYPV2/GPujbTHvmzvnVA6T5iAyVLwGlborgWMcWrmaR9RiPrrsMjz
1zkLB+bwvjqzogPKLEd2PgT/JuNAKAjWa7nDs2+t9DxeizmefiBJJHN19P1d4saIHP20GVjXdD8L
BGQbdtc0z4lXWZvaNodjxGJ7XVP1XtJieOPB4u3wdpK5PsNUWxVRvRBYG6W8dVmm/c92xdNm6wu/
u7CdDndjbD3G7P8PjlGa59T0m7Wsgmxf+Czy6dEOHWvwlcUDdlv59bS2KmM82LIyj+ZEllsU5snR
U0Jv2S+aZ69XMAFqGey6xrQvA6bys678lOFc8RB5iKz9Lvb3Cld0sIpk+mNIpwHoOOmHYGY5e5U1
FpvQsdtjG1rIvrI4bzemdu6kVZOure1p7fIRvUmaOL2mJuu/vCA5cprzcINRxzohVQcUPLRnXZbt
1pwRcDBa1Pi1GrUlH4SJuePE6E5FcpRz+BUsbnmMXfkNzuiwHXL1tSzFsDWtycK8z+PGkskxkF18
GBTD7DIKriOiyb6rnKtT2giJsCbcK5GWJD5213jKHgazM+5VkmFG9HA9atfm01hcYx9RrvZydFs6
xV698sbO27nokDciD2PUXOPQryUbm2eRT7TYA9f1oR3S2DvNWT8NN1NnxvWWBRbqQzvVDusyBGAx
oihVT+bWA1+PTS0Km/mxTM3Q+Kw6W0+EAPggulO3W2b6eYUTUefErYqtTzk+HTB1PLq+9IjmHLGh
rrq8ENcRhSO3FTNkwmbZ7qxMi5kzwnPtrggfaW/t2jaSDTqs+ZPTDPoT4dT65PeZdSYWGofrZChk
SaWvvbU15ePJBBnN0V9UXAM6iQNxNvPWKjkxAxC2X6YsyDbUc9mJAfXgsMzwy4cAPuipNEn0xMa/
BbSodpMdxN9AzWKq6ZV7101Bu1MAzHaO7FF1leBJV3nrcIHyiWVUYsbxiyA+HM0M2BLZ5N07Ulgc
lqSmcWPO7rBS7FTUiqfbrFa1aBxyW4cy2fagwKxuZU8Dkl2eXObO7Xi2rYAvB4D3fHzmc87mbuqs
KkZl341kLy1DK1h0xtFoW4/CD3x6vsJeCNbDRa+/rvu5TTFE4I8jzHYmkRSb9SYHs/bauVlibZDu
ZfdBItuHLETbDTd8Ql++2IqwiOidBHVzmK1EM7PLNdBYEwMTjY+c+k/I8EJ856F1KbMAEkzBm/95
dlKx8zp37/QRSrt07odpmVE5fH8akd/sjKzaDEXgcNrFWwfV0FVMHussKiAcOSUBmEeRCvMTAWsZ
hBK0Ket4cIJ8BxupYuGU9+YaFH//mcN73jpcpDML3q/Cz3M+2K5ZrnhHGc0UOYMBFqh5slX9gCJN
Dq697nsazLXwkvIW9w5DX4/4hW3vJjeNq5pdCEX+AgLCPXpJAEKwwt513xUgkbedWxV7wTgXh07j
nAJEw6QAk7DwTUdB8hZScz/DZvPPERmFbE+m0b90JqXZJoqtOLwpTddZ25P/uS+Ruk8R4wAvdsWu
MOZ4bWuUppIhPEGyWea9Oo0Y1ZqJIK0tSACeJXZ4U2QkH9jQxNd9m1pfOE/TU6oMawvM1fs8An+c
1rks/WhntGlCDoA526u4LxmiVr3zwFTP2bqeqhY5f77NRYqWUpfD1tXjeJ79UZHAHKuHzs8ltiPF
sNDF2VkTFfFlasmRIse7hskNoNhbNVZD622PPYHoOmXW07dbw0u8HXol/5td2frCMn++QsltHhtl
+RCK/Dr7waa9ewors/gcW2YRM2fPwhMKjujEwsY8mQ2KSZ/79Wy2sXfvzL1aK7Opj/Zs8gI4dFaW
L5rtVPkWtT+OJ/IZ2Eiy/CHJpSirnfIad58VRnVEEoxuNCzUE1YKZ2eYcts3bXabxjIBNMDINVuG
rxwS44YPIB8WfyRIeeTkc1B3kC7P4DZfRrjT+zSXRKl2VS8j3vx92JtSoxSl2VJAMQqGIsRU2H8f
EC+jYnJc1DfvfX7cLKPk8X2qrJYB83tT+7/+/6/6f7BetML/vf9/7r8k/yJt+uUbfm37USXB0sXV
ywn23vczQf217afN/skEMYDJ1iTCBsbS723/EliE6TjwGQX83u+jdAK353IXsydiSvA3NE3vkqU/
DPHQMIUOhlDGDTAGmC18aPfJNiMsdAqmm3AJuc2hyDfTtCs9Fb5QKjhH/HbIOsYYjVLn4n6wpgk1
e4r+aGoR1UlSXs4knuo7zAbhtkwt/ZDg9bgrebqg/64LTXoo+F5lwu88lKXHOvzB8BEVtmtgVmBL
n5NIhzwphxJ+rhercVEFFZFxG5ZiLE+1zGQXEnNi1cEPp/GndDgoxoB6PMb+YKXYCH3i6094c9vx
kYbXFI9GVftAewU77G2cKTmfuZbCuQ3ySK9NXhZZZ2N6zA/sGD+NYLf5AJ6WTawqUtwGZbJvfRtk
laq86Kkq7eRp7msHmxSoG7QXxleq9hQHiZBAr8oku9e1e+21bI8zNFPi6qPhS0gOAS0wWFSwnXzA
PTNz1iGe1ILSGYmsXRGEMKY4GHjSKoxDSplje7b9GWsLdNxAX5M4H40jQlo1bfLciKdHJtDDTN5D
nGfxLhINlcSeYikZ9mNk1n17sMw4stgBlPnII/TBK8xU3jSaBpZ3gaU7kuVfRvL/OxH+4kRAS7Mk
af33E+H6Xf3jleXpH0+FX7/pt2Gg9VPgWnZAA2Ax2Hv/mP96KvjhTz6HAocIZTTyRsZ6/xwGupwK
7sKIZFL3r8NAYf4kwhBat+WYCFYWVuffOBw+ztsDl0MBPoMDi4sR40fknwVxYTQpyo+YKJA65VXs
3joSR9dcsPn4w6X5Dxuk5Zz5wzkklteCvgFhk488VKkPy4SxI16pDazq6ON6u87jZF2zwQlfJq7A
pW3/LtZleT3C0IgyNX3OPSSi/D5/AA1Kw7F9ej9er7QWZYfZIBXLNAlZvV4sS33kOdSLgfWkvNT+
i83JBybC8uJQRhBdQnngCP+4LmsNs8MKIavjTGX5rSxwuTNxGoPLhHD8QYMrIlXC/CuSzX+4xHQ0
AelYQFQJz/3AKUConUkV+OVRltZib0r6byNxWTPhqtidYnP62y/Io840eTnuXpOQlg/PFlJidGN3
MjwkzAvOfsAQYVrWLGXgGG9ONHp/sZ6z/u26UnA70JZg1XJx7Y/6XHoVc44jPUKl0i0aeC8irWSe
W3NcBYoRG2ra1LoGlNFkYufWQzu61QsBRqQ8JiAEq1Xsd/5DP9mEBMvRZczcNEmH4CnUn+nN/uIu
YKT+8ab3XfwgfPZZ6xGc9pGNUZVhENO5DQcXSpp4Mkrbjc5dTGz8Dv1MsCnb2FInCz4G86ZuiWfh
Mzg9GCHrRttMPA/1Lla7cmoINXGgbzE5KbiXOuxl53IOrCtp9WVC12kjMH2PesHnzXUgIA0p6GB3
KNEMmRL4MtlzsGtcbV0N6RtyO/hmfWbhqR+sRWwckVJF+ijZeu7XYHQa9P9y1iPL6JZUExJ69B1z
I8PbpMyywkNmjgacpCTEgCltyS0XZS16RL8jBK/GLZJY1nfuUkYFJHOlmb7pRTiKe11N6lKZCTtk
z80QWANlIspmOQjkVPI51diq7mi+MQ/lrQzwX7XN64BB9nVmTHn0xhwRKA1G8xqUzvh/7J3ZltzG
tW1/5fwAONADcR8zkW31DYssvmAUKRb6HhFovv5MJCVdMssuHvnZL7Jsi0ImEojYsfdac93qXVcV
a9HMLF+jni687NZ58Vt9vKdKZ9Z3kqGibR3vtUYzHp1+sS/OCYk7goyMQzmJ8dnFrC3XzECZfHSh
M95Lu+Wb1pk9rOi6cUGI3bgEcb2RxuUPzgvCMB6zWXHfFkWtFPxoJHiIJ6z9zgvUhPE+iVAyNtbg
MDaoEtSjaEqY3naIvu9/PKtxGqGnjC14m1fJYtVB5beIWh2+rDkpKELdoFCzai2iFcqfMCkOWaM1
dAJcpkwcMzFBfIoVlZxfs54GfSbJV4FbxXOiStd+qTjxPcdRzcvfYIYRUysIECk4HWMC4skAEIwY
dpGvtvD80TssdZ6U0+IwdRfxK283DtAxRXL8I1NHySU4UsQGRvN48YEN9fJdB5sO+2laebr/9tg7
a0v6yJcQpAC900hXaEqhX5/+mT4My3Ux6SnrxhzDwFD1HRgiFQyREFuyVXiA0fz6gdtnoA/AboTh
hUE7u16rbpC4tUdf3JPEaLTWqvctQsx6Is3T6x4bDmFlfpEhVald4EN0casxVFsSraZVaGn8ARK7
DP0wGL2nRgpEjUymjtQqbTfpMh2CBsNweE/ALxL/uHIcWttE6YaX5iymZxdr5h8KYIhaM1eYk9th
0szhU8ftj8n7KdWuM2PEk/ArsAr7SsNbn2EAdJTDfe4eayuMN2OCETAsBY5lC2BM3IzM1ht7i9Le
unZQl62VGvahmEbG/NX46BZMBOI6TPjZtYkUJHKvOlj2nzvdbII6ntxVT1zmDefl/n4gwwbPaaic
Lz19OZvnqxtAs9JPuFAezU/bryI8TrpZ0d+pOFG3kpYUTKZrt0i8I6Is97rWCeddSTqVlxDzC37w
Uesq1CkRYcyAhf4QSQw8pNNklAQ83OJoQ1kBzW2rTnCi9sInpIZ9GRia/bGPI+TcbfNSGl56ndLg
tvcNDBvFP7io6lu6ehH5npCdYoP/wqRPjvdsczzLZljGyZ65PLs0gpvdtEi4HaPn7DLFMl150dIp
cpQa7+dFbzvG1Ba4OOvnCSgNSsNseBlJXHpKHZcFszKzRwCB6Sf6frxYYmJsH+pdsksgtBFjLmDZ
CRGWAdto9eg6xQYtYhkwCLWjrWFB8jkS2KaLT3NXG18KsofnAxoc6R+sop2tYW3U3UgvD8jN0TUt
6+scKcfdgPo55qIOL0kHjW5bxHkHQh4fQRY0T3nfvkwosVj9E+OpK4QMUsl9GgVzwxX4keQoqtr8
IrVQDmvaAfpVLQYPsYKfefBQhoNDoooKrKEx1ryXHtLUpYENoqJELAmXYTvb5lNB+ymoRlpcK1XE
cF+I0YC7lduOWhVWSHaop9lfc2SBcluzY7UfnViYpBz6Q8L4gCDIajuTxY3OOcoknNYu0y4JEZHc
uiKsV3PvRJ/pg1d7LHs+NAZLD1K+0s6jsZOtoYR0z9XoU4vUveNfWkB115mh+FkbgYuciHCbxcLO
o5aolm46kJvkX2sjuu+2qAga0/JFrJFjPXNCh+Utc2cemgZ3/X0X6T6mB215lCTohCCKK+PaMhek
WAPSuFud9OPK5NO4PUR5Rk9o8PMc4AIuiJTP5ME0WSU1wEVI2yWP4LhoXdy8ToogMskazVuFECNW
rIPKibpuh3TIvxR1rq1Tv+LKKZtJsSZ3GNuOxeVdZ2jgy0yLbAiN9u4kXpqnlAX/tAR6MWb4jact
FtIl/zy+7YfSL1cS/SENQ6nvMKkyR2l7rfujtDJ2DvTQPBHm3DgvXs7+2AGnIZoJPRjBS02FATPv
HY+KYeJcs/vxsYzSwWLQxCmVRKhpbF8eHt2LJm/bPY2p8bZX1L6FP4iNMedkfpmDuagZJVIAAiTc
CGeK3orqeTCbOr4xHcWnTgrEcetB4fsIyjaZvHsbkwDDrBrJJXxybCgNbtfB1xkC4aa13aPMurRZ
J40zPYRa5Ty7scHCOiEmuBzqloZflkuM0ZY0osfBmxnUVCRRXdqz5ZNt5nvGQ15p+rGWsfbat5i2
Yzlg2uQzU+Wc0urMceCx8POWnbwRvfFotc3isWhHfDatZ9PjiMZkuaM0RDAPOExa1rL2sVHDROjL
h3D5RVPwHC+zLJbMvY6fUTMaTg093cKW8VlHgPIGH0GoPxnaZDs294nS8sG18PI/MJnMYfhhU49i
/54ZmXDZqsj0YdDhR81EFiNM3cj4mPpUy9FuHHqyCA3KDeRuJJTAfURPlBdJ0A+YrQeX6WuhCWoQ
z4wRLAP5YmTTK1ATMYAesksCdNzimEPiuOLnb+4riBeHTMXaZwxP+JZ7uHmqi9l6JgakDHINXAme
ts3lgAjdB4pU0g5fkWh8YU9dCGTCuoPekwRWG8ktjQbyVGeDMT9pI4dK4SKK+ty4L22WmBVlCG1d
hTjUyKhIerfIXrXEdtA0VOEe3lQB16xBi8wbOKxZFV7LFoRFPt2IEQYzzzWFgWz0G9HX+o1TTCpQ
JNm43VTsR+k0G2rj8GF05bRN2USDtEErO9rwSXQyzUZTlnf82uzL5Zgf2fmKnU3sz4oI0H7tE+AQ
ifxKZjbmK27VjT7V0cdac+VzW5nWdaWKJe400ikgx2aHLQSTsLq1CuOeyq/cmNqgvxLy4hwtS9lJ
gkhUpDDES29A+b/X0vm707j8ILbkFd46jkV4KK5VnDFUBKqGMRWqbjXhsWIFgVOAnz3GwMaEqWLC
ZGpQPqamvmJYxUNaLMY+VPQ8kTOD/xDhRh53t1M2pEyIKbt/cxS3z08lPo0ID0Al7FlaEOfH/lmZ
qWDHq5mdnYp+NeJla5fC9/0j/5vTD91QGMP0Mjj2Y4I8Ox6KMGZQUvX1PoeXkqwkiqTHBn9jzjwZ
QxlKAI4up+Xw/esurYRfWg1c19PB8i5CPLDmy/f/6ejPkTy30gq0xZjm7kuvFe2+6EbkgYMXs35V
RTnduy6jq/UPi9f7V6dv8+bqwuRUzAvOhzjXV00drITBcKv94IQcQLC4mI8kV1UX6SnU9E/lZt3i
iVoqb6JJWNxPH+G/HbvfdOyWrthPP9YbhzJgmr5NvvX/U73+D+puWXz91a3848//1btzPwgdtZ1P
2Dng2KUP/1dH30OSZ9DHIsKOBJxFyvd3787yPwica8JH5QIT03P5v/5q7PsffFTFS/aFu6Dv+b/+
Qe/unDWLWJZ5A3pZ5LKLB3r55j8/5ZNRZgaUPX2fjdW6iF7zSLsZp/CQLmHHQESYoR87PdyIUH6G
j7RKre4364g4f9GWj4AlG4w435nIrbOeXsUbWPt+pFPjTPp1aH+esPR1iuw1WIWZWa/0vpGBAOGM
ci28quso3XmmDTjPfCZSaj1TQNSkTOoE7yaVv+2RhtQeoamxG3IO5oRQo7ACBLPS6282cLykiley
hBKcfUk7c7P87WQDGE2mj91c7RIERp22mRyxBzLFmCHK3EuaQ5B1Zr2vJK0QbLmBngFps8qniY55
yzOxHwmcK5BV2KZFGgQEkiSd7+y+Y+POGZ772pXjpP7K6q1u02WXGAXv8DBKzODLnFn0d654Nixt
gzjkZYYwsilS/I3ozWzXWxeNwA0SY3jJAzUWa4a/91Srj+iH2k3WFRvV118kK8oOBcxt1HkXqVFy
ciBOIs3WjQtj0Z35GEPfL46E8lsx2vouS/FMTvrwrbQj6G+yu0ToyNCcM3Ltdlxs3iaZdRNx2P8v
/+AHr+A3i4vJwRRewL8fB1y9dN3Lt1h23/u++2Um8ONP/rmuuOIDnUuXBYSywGNuyPb010zA+gDj
hEaquXSvea0ZP/wlEDY/sKkBh+OP6Sd4wt/rim18MBfTgg5K68/V6B+sK29mAlxBF1QHWFF9Pt1Z
E1lYk6vRFkLYkuSvpBSLncYJh5dAH37sUt/G/xd9r/7FROBfXQkfMhpWjwX2DU+eJm1pz6PBlUyk
K4Vef6nLaiR2PZY/Htl/dCWuISxmrzRhT5LonwqCqCe0F/FMvcciLQG56TcdBeDKbeann37w/9tX
8i0f4jYHLb7WeVCN8nJDVO1c72k/vJLj/Er45WvKf/4nl3GWoRK/+JvfiDCYmbKeAifUOLmJhRnY
0RheZwDH/vmt41kVNrr0ZRh9Xs1ENe6DKuYbqbBoL0kNzOiomf5lW/4O0c7GeFY3kVJmEgjD74Th
5Ly37ynIUwAH6308DERgyul+isbloPVUq9+WwOc7F4UpuzoFogeiXLwx+miGU/FuVgheUe0EXkeJ
mPpNuKIB+6L7gNkTm1YhYtn+P7mfpHOSf+vZuATOXi+3raTJ3kHt3STVA+wcxGJCy560lL97/yl5
W+bzHSk0FsG/rvNW/1ogzIjtp6Ri8K5J7PyFrKdNaurhw/tX+Rdv8S9XWUxNP71bPtM+pUksz+SO
OhdmOz6pYiiPJQTT/+TW/fR9zm7dANMKlypXinPJeGJMX+aFr/p/eL30t19qKfuQJcNIWWaIy7P6
05eqwsLxC2gj+1qZVVAz7EAMVtN0mW0M8YJJfGBggNo2wnH2OsV9kOZoqOnilkfVUBaBt6R96Y/s
4oDKhm9enMAcIBr0QFFpbKWXvZ7IiQA71FUNqRpx37y0d0TVkKLKPzLFYbHRswFAHDvG3hsbSGWt
MD/hOK4OTpjCryoUMSvF6OxDILvIsEqxoy3t4wId3WgN7gsRbFaOfqCayD70fVwiEc1LtIFe+dBr
qX3EGDt8IwJD7JgC8dldg6ukdnVBeJVKybHx4wq9Uq5/TbOYNi69M8JmiaItSAmHPNzXWxCnNd7Q
uQp6x3bctbJCFBGGRKW0aqxewFVt622jh6TIN0xftJahAylGNFcLFq4i9UC09KVJ6DKLSwxiaMPh
DBSDt0Cy4rpCiEmRdrRhse1o3EJMoZYL/AVX4Qtofwi9zE9RTOTSGBnpl8iv8idQhckOWzBMDrcw
P4V8dyJYBxrDNfrYmc/EQXsVe7Xo15YFmeRPiohmt/lTN/jOha91xZ2mJf2XkFtzEadNfePK9FU3
+E1l6pqfCj95HbshfEADWB3Qv/DpGUddTLkJh6PNEW3zbgt6eylymvt0TOwDK3q/DhXUSBUBsqMM
wAQNGrk8JhEt7xUO7uQ6smpxk7oEn5D1YlwbFdhxVxL+FdCXIFL59NjnmNGP8BGBh7jcsox0oU8g
StP1TKYPRWcdPfqzybE78pLsi5jBOBZoeYLQiZfuFt53KHVz6+a7pMSOdmVIVYvABbf9OQ5rgDmA
9YGblFVGu8zVwbBrNM4++VrpPNJTA5bmxdWR7wggAtHyCppSs7dTnHYVjaZHq6x4fpxWdxJEwfhw
GRrF0MbkQmVrx9qi0W7yE/ThiDl9NGumhrRStLWeuuKpa1peO5tzwVrZbHHzJPxdb9UKIChknvip
BzmqdtIv0xcxINMXJe+R60HlXSVCQYlfxmxDK9TnGS7BzqklOUSD1poJunnLmYnxZbKJeicaSA1G
UPx1FnX3B1YCgHIaYv4gH5zuo/KYN8D0cC5OrdxirPiwrdSsI7iQZArspY+NvMA+Okh5vjQRmp8x
jMoN8BwT8WT6asL7uQwJqQYoOxtbIyom4j9Aegdx4cbXESbqjYxyQYgQv5AER8tfWNViv/UDevDh
Az02mQVxPcbfSwgI+xIB/2pCGzlfkvTzGcCb2llFBbdNEI+6mQe/PCLofu3CpFk1xFzjkATT1kbf
e9l6QdyNDyQI7/tKfZXxlBwLcs03EujQBVuhdxdLXkpwpSA4jFxdKTLwNlHGe277PSCH2ss++UY9
X+hi3Bazl6+jeayRbQ6MBIhqxyNh9TkPNavieBvnDJJLmYobi6Jy22i89Rmo+4ABLok+gPg3M7Pl
fTH0amcs+25t873h877AjPNv/AELZj52/p0FPeK6igbjMbVD6zhKnqiMBZWTU5iv9Rzmqyr5+k43
8xoVzGJv+lIO3zqthZwY0bpdE8rn3xku2GZbz18ch4WybVk/3FgjiCMZ4aK3ZMKBMcHbzFTFvwur
rL00IMDCB1wqLSlamoXAN0hoTlnETEkc08Cl2wqjJqP6fpGxDd9ip4SknSM3EJ3OEwymrk3yG6sG
qh4PFlaLrqhvumapqysm+Tl+X1byhhbhqjCYrnjcHZJUae+70sDJwqo7xMlzn/nGd31gtVLLMwJg
z7jGZ5Vcp84YbZlBMhEbqCRWmtY71ylE3A468VpVrbl2Fkpt01fjWs1u9TEZuUOzx6xr1D38XBpN
WskvDN8TuAMuGLd8VHUUrn0oAORrwcnsJGuPhp4BVjUvfaYK7rmo5NZKIUREIAmuLVQtX4Uh+wul
gRPMKokkr8v3nQsMIoWctStEpF3RpLmxEkt91uDD3kDK6a/CdP6U6Nbwyc8mP/AZme/gITr7WSTz
Bk5AcVNrbXibZ8+wyIogseLXKkK6bPfJR97np1bp0d70K42gm6JZ4yyob2hqm9DLJ3rtrv1Vc2gA
mB6bHnYF+6Alcf7U4J8ml4IVRy9QAgHXrUnY5idlorXUFq4NeHjmN9hy9hqYOo3emn27XCPyA6aI
nMNud2VMPCeWtmHVdwIVP+ABFjMmQn7DI5LCfzEiPTuUQ6Nj26s9ONvIqhnaAG2C71BbSbGyIkAw
KyccGrxEhfmxK8ziODQW8kiv50xf+bI5WnknA2kUE9HEYTNWnnsxDeZYzGw+TKiu3IIo8vvGHJKB
Hkcaazs7Ydp3hNhoMes2i1D5R1tB3sDbJNGBr6nFW2yFs2i9Vxx+EFRRdxTfa8ddZBuRdxh9rzbW
wyRgV1mNo29wmrGuT0SBIezvUTfdli4CxxY/m5AozKMUVXTcwsJgmKMK1p7uCyTgDDn0mD8MqcVU
Ficz4gOKaxvcvjepY5mnWZDU+lfbl/sawwaJQNgLbUeLt6bL+8XCoe7owWhXhlVqadBD0lhptjnt
eE9NVKhpR3587vd7s5H9Bl7HC6bTbOMNZkYQTQWR3muMz0VvjteSPRq7UsREB+YkNDCRW/M1r2v0
LcKLJ1eZgcsi90ZBaalphwQtvQ/otGB9s12WbzuiOuG0xGRm0T04ARqidp9JWGdrf3LU7v0C+02j
z6fNdmpoC8dCXmifVdjdPEdQrvR837CBBq4JeLePJJBUv6VO6CktryeGHHDgZ+qKTLS4b1uAxb1V
AB82xO8Oam/a+svnoUOAqomM2zeiJg96Fe8AnweZ2ZPUp4s2Y00dvOSlzOV9OLHNvX8H3pwMBc5o
joa2DVqLPsdZm7GzlVNEQ53vFYPomzKEtXMCMpRlXF1o4BB+CF7/bbvgPLrK5o4bAC9Q79Gvtd5o
B8tlaGi7Wc6C0gwEV4Ppo7VcEhuStgUDhQq2UxdTDzr+cHvadqA5MXSN4QFuY4OpcEgc9ks1E+g6
duzr798P683xhM+HrHSZ4HjIzc8P5fWYVJpvy2wfI+E+StUVr5XV8E4N/QCfFsEzxTYcYl6kODX6
a+VSaxoMkW9qg0I74UtQypRHHzhxMJmcPLtkmenmRIZd2GYiLktE2eStI2Hq1TJH7WXo7CMSOnbW
yMF1A30sfEB0br8ADWWqKvjLztcM724KSQBehdNIggzCry+nXbEsdeGvhzkzfxehZyyn2F+GPcu9
oKJELOui2TrXldKuhaKkdUtELuN7Z9Gp9CNNz8GyP5Oyq+01ykZIeLG5dVpInkRMHN//Od6csyGF
nDSJxINbPKZnj2c/uZhEEiPZC87bOwf920VtD79bBt50LLgKjQoTNKlNztb5by4TqQANVahhsAsh
o2fhKhm4rxsiiLD+LNi6CX3OdZxR9L7/Bc2395gShahZH26BgWL47Dg8GZmt2nyI93YHDXGfYzG/
1MIQPrKkNO5IrmKqq8HXw770lImJOS/2p01PrAvmogoNz7LeAvltcgkwL+prykkbzgb1N4zmquzg
YBthf9DCjoPr6dP/dxj2u361g8Topx/6zTTs9ntZkjemXs6Yvdh1lz/41xjM/kCXiqYwimIWRP7u
73a1r39wlicCVA1NNLrVdGT+f7ua/8n1dZ4bgzXUYUr61xgM4fvyxuJ6MXhxlkbfP2hX/5hW/7IA
eLa9YB+R10K0cM/7hjn2t7mo9QmNbZlN1EdVYgScEq1rrNGs1MJM4c7hHm4LrMUu0xgky+0BHZyh
b+cGIMEaqowm1g35A04Q0yzUsAVGMmjFt1r14c3gutNFMRl6AC1sxGSPEMxYAXnqkJtOlDpuzqxL
s9CJkTdEn2hlxox+NzDB5p1mmNVT203tcULCcA2ZQ0f3M88fQ1OzUHuC9d60Qq/TDZ7x5iHK2Hz2
eiNYmQ1K8xcSY9wSrVRFcV/R0iTMoiYArZAj/IK4BEw4J981gxDtAc741cif+exMVcrcDfHIZVzk
SzfG6xBJAh2CviedyNxU2uDcIk7OL5Ql8LBVlOBq6LSdQSEOdD7EuF31ihbWEALQAumq1g43ZT2O
HJjhIEG8LQCKgXQP9ZXKHeuj33KbDc1D+iMXwUrJGrUpEcnvTbOJ8P1y53FiGsdhFsVtr1nulsZJ
cafPeYW5yG9vYpK9zJXSs/JIGxByhj+H62yIvS1dYx1zsV9cYdSL9M3kYasHilXP6bp09E9IDvtL
WdmfOyfqH4yuK/2d34bEwZugTVFYSD8juU1aT/j3ScbDALojciRdDkNheGXT5AgmSwfhXpUzwz7V
3S+JeymdqEUDsqhBukUXYiMQ8dRtsehFuoHMQxsJiY3RusKKiq7EAN7zbCxak7awxhvVpc5aIEbR
lqOhc9KnLEoVa9GsiEW9ImoiAhwdRUtmm5/Q0eKmXdQu06J7KRcFDFtys3E1p9gPyGP0ygDsl6Xp
PXZY4I6LiiZc9DQLij5LLX9T2ANid0mHMjxpcMQix0lF6Cw0luwVeso3IxTatjqpeOJF0MNDjv5w
Efl0i9xnzgVoUyifQWaZduCWzl3F07bG4XJRLYIhTtcuAI7uM/UmFP5FUhSzQ6+cRWY0LIKjSCI9
MjBvHfNFjmQT4HSoF4mSAyXuCumUOHp+1wQkJ0+b1hjVOj/Jm1TDc3PSPI2L/InEDGSobB9BelJH
1a50Nv4imZoW8ZSKEhshlUtPFlmVH2JF2+IfHhBcOcZsI79Kf4ixhh/SrElDNf1gIugbHvD5MrVb
OQ2piU8G+X4pyNE0uXChwtz1PsTNT6M9I2ySgF2sbSkWaTZZjRPX56Ar/Mn8JNBL66scybNat6EV
txsk5JrzeRRWmR4Gsp7rVV7N6QB2Wp/tctdW4BMeVJLYw0OfJRINXBRpqH4hVqj0OcuAaJb42E8u
93hxvE+1S06cOhnhecyi6LngXEbTOzY45GVaVfB4nuzzI3U3g3LjZKz3h8mLYKqUvr9B1dVn0X7q
ffuZo9/Qf/MyYWQuOtpZ4IDIZV8dk75E4r8qw6y3+A83zA4pqjQNmo2O+vmxzIjTXuuNBcjV7FtC
B03NGDf/3anLPumn3+zUbKD+uzv1ZSWTjuPTy89T5T//1J/btI+4xED2LwBOUaCxhf+9TQvspwQA
M5NkkndSsvy9TVvWB6Kv8aa4jN48YQrOen9u0yb/QsZ+jIKZyek6GLh/sk1bZ0WysdSN0LDIx3FI
wEWz8utEhaDSQbIxtwenDIlkTFPNuNfjZr7yVcIMoUn9HrWzp3/tNC9EGi3awwQO4Yh5hQDF1gSg
zOH8stLdcpdx2FibJCcXKx/8wqMPKDPwiDdKNpXei7URp+MNpA/5PQX9dkksSf5km02/qWnZryMY
MFdE3sVjUJqeChjBwXiN9HbY9YU276umcB9kKccfYLV/e6o8O8VyB0DomahCaap4y9nt1zuQTrCO
K1XXh5EF7xbnkthFwBl4nfrle/G5fyrmfj+LPl2PiTcKOGJTKI/OjiW8n/oYQX860PZmvBHlX6N5
QD0acg/ev9JZQ2C5kscAn+MBlsTlDPTrN5slQZHL/PlAeEkXANyYVkjrtZ1vhcmDMnN7R2cyvH//
omdn4NNFSWvQDZBqPKanEd5PIzqiP7qhKLv8IN14ylYa0UIrDBEe+KnRIff1n18Nvg3VJQUaQ+Oz
mxktOviySEma0wcnuyrbEwylNQaCW8Xj+9c6P9IuX40UDC7iWahD3rgHxyzK4yLTk0MTjznQqpjk
qaBpaLdSY5HVN8XjjWylcTl0mdrPhMXX9Igpyd7/HG/vMOY+bIQAP5dh9fmpLzc6byJSJT00ktFr
MHZTR4ppGD4Kd9n33r/Y22fIwQmPPRnekI/n62xYjaY7t3ooLofamOe7CmRN0Gu8wTVc+fgwIXZP
A68Umf+b6/6rL+nRQhEGw3gMuWfrUoZ7HEINkTS0ZxVwTX7NwZIDwXAJ/pL3v+PZtWxODgAABK0K
fl5s6mfXsuGUGCoWySExmihoRrAZq1pvp4toGqyP719r+Xf9fCparrU4j1G7LCzN83YBFg5XazWe
oXkCextUoVcc4Y0pI3j/Oudq19N1sGQSoX56XM1f332JHbF1QXbgo3FUGoxDypeyp9Ikd9ByHuIk
oYYaSTkCNwNzN9zoMICv3v8MZ8/Ocl8BOLHQGSiaETSfPTtY3zKsBT2fQXVRUBuqgVMyoysMQRoe
q8gH8I3e+jfr+ekWnt1ik7waRMaL5udNWIyKXGaooZccYj+0PrWpWxzRI0/XlPTxriXzA9wnzKcS
SfgYeesQmqo6DG45/mG4edNythTFMQvLcB/pWnEMk5C/zKl29/7d+Vef00EjtGgZUKZCovj1J8qA
nw0ztLO9bnnu12mSdrtW8Kj5iXJaV3sa6uD4GGh5Hrm/AzR1ZU6L1DAMDzKr7AvRi/AwJr51LTS3
87auiqs0qGIBP/H9z/r2qV34u1jbDdwWqHPOPiqhgNAn8yE5wEMlxTKDjpqty67rN+9f5+2b+IO0
i0faZ4k73xsTzeSmaF1yqGjc3jFiorgvITNe4ENyHt6/1vlyzuPpg0z2TXZHWsoAQH69/5PfOZ09
piznsASCyA8BN+U1eWS8KtuQyfe6HofpwiC74Vkj+mIHa6L/zY019BM899fH1UckjLbPoSjg45xt
YTmyC5M3gwhrObTTwctNFtNejFZ9iGQ933Eg1786MeGXSSJPKWAYVPn7rPXJLdDp80UqPArsobiG
BAbqrknJG23yXiZrMyvmK0wLBMUmjXk/51b4qkaZP/lTPl/NeUsTXDSt++DB1z2aNFAuFF4//LDF
YN47RAU9wDbW9z1No8uYNqIM9DohiMgb5jtwPha0xDJWUH31/iUPJ/3rTMbbVafVE/Z2QpleUY85
9bEsGrBrdOrD/dwZNhBBnFbxyvLw0BJ2ktnw3RrTfmGwbnyDh219HCyrblZ4RJfcyDG0X3PV2wxe
+9GKNx1946vI4s22HZYWDnoJQ3MW76qLnNeILrxJZAhl47oMdZ+mcwKGbYtx294Ntk4xhIil+8P3
pLkp08Z7ZpzQ+vDAU5433n6sI1kluHxdt9qdb4JKIgRWes+zHTrByJzyylv+bOdUfIzJsexNkwwd
jqAk1x5FZU1X7DOMMZtpuDnd3tAd+o1ZxvpdTepMdqyY0MeH0IgQIJh6EV9lkQDR1MxxSjb2abWS
BhOcfmaFAo6pfUHwwRMJDs3Q8cgZ8x7CJPducvykIwtLjx9thCyfJEw4bW1GenlrZciJgtTm38OQ
Or5y+zoKusZLvrbkozNrZKoe7cQscgJ9HDYFfM+0i0jrMAm04d4Wlpl8zWG1bI22sl+YJmMR4aVh
cI/neb5zBm3s1z2dsVsAKuNNMtkqDjzbSL7kbs/SNBskcy5A0421PIfFUIUAtQDCk59EFmaAypQC
BoT+vC1VzrPkFf18FQ2k7pIClDA77Ds13xWOpusAN6lziC0A15XyBToUSgN9qI4HbEPAVP0SD4vi
ffR5ep3MHm/bMIYYLmNODK5DeJYbA29b6RGcv0jL0yMwyY2YtSwYoePdMFZutn0Kbyoa5op5auiQ
GF61d1EfJwfdb8sLQPb2OsFdybCv05eR53yk2+PuwYGEj1HvbSqGPy+NW2ZXCEFwjYWOd4MYY4dW
p8ZoHY7kTKTWs+/z2tUkaOsV4R5aRj4qyIZ5bXLmWxvEX2/FWBVruy3zDMIYPlGRKIBWGAER8mzx
p1rACJH50OGtV7Ema/jWg8D7xdfC4dau4yzLGWT3TNY7G6ecYz+3XmddRUVy0xKeslLKGgPFvHDN
hkMsWpN8dEOXLJquNuFUIt0gI3Jd9+XA5LLQCa0wSIWYdRfbAGbVRMT3XTx9FbX5UtPt2qRaYdEd
s8slkdI8aLr/GdM30fXKqslTGX12NeJWvhQW6ihwrytlMhNxl2aJ7T4qFV5UpRd97mtzxm86ERif
FyzA9lIjFeZ07SaWddXPXXMHZKc7aoo09Xl2LzOvmfx6RX6r1wmyCRsz6r43OpriCX2WpHOigMRN
kZWCc7AZMIda5F1Kh3Q0GElooFcKAsNH6I/WdsTfh3tfmeIChGFzQ6Fkx8Hgsl5knp5/bOsp+ghC
dniYKof6oepqP1rVap6uMm+2NmHhgh3Nev+PlK72AdvheIgbUXBRquirNtLv6d4N994wTRtrlnKz
7D+orKpaxeukbgqCArwZPaJD1LetQdpYmVkVrtuJWiTzaQBlpdutCV9KWIrwszNQZEfwIuExnufo
I3n+goIyb0sYm72Tg7IBb9ZmcdPp/ZOXz01gDIm6tpsZ2GCU00oNejez0yVKt7jQSFDelmnm3Opy
7ICRyuhTn0bDhSXHoE/C4ZgOUqeNjjH1i5WOyCMdEigxw7FOHkrRxkeroW5fmcgU97NC24rJt+w5
IuTaHVGuHhSE9jPpTM5WxzL5LDElv/b2mBEkS4DVo1k43qeRRvS8Q6AGgFMOSHwqST1Wjs2+nmdx
PWqNe9fmQPCsqlocfY235wQt9mI0yHypDdl+r00abPWCNG56i3gPWycTtx3ytQ3GkC4njfuo9HbS
y8VdHjb0TkMrtDj8kxZCm6I1HrVEo/vQ5+LIjyoeRkfOyL7CnEBMTdnfxlnv7rye9J4RLmXgw3EN
EDaTI5aWGGhJLd0NngZ5GqL0ZvAT+2M2ddVt1HeIoEIjPYDlMK+4g5g6C4XfLTR2CunTURPlFQxz
fR0WwgQPkTt7p/GsSwHteNGiOhhiGyPAGlyheJrrbT53/ovs+UosNM0CYiBIxO+rJR0kdPxdrErE
NuUAczLqwuipBHt6LXW/utFpsW8YtFdg/joihv+XvTPbjhy5ku0PNWq5Y8YrYh4YnMkkX3yROWCe
Jwe+vndklXRLWX27Wu9akh5qqcgggwjAjx2zbZsZ3dK+MikpdUPqfANogIhTNdFJG/AP1ortwwGx
dv7eM45DPJ2G+x6OLQmcOhi7lZFRKxNSOttiTxydCxN7vaOu2mMAkNUxl3PPp6unGiot8rvadfpb
H3l7bzVUlq+SwN8XemkPGOVoeZHKP1UU396kA0sDOxqLz6xsPHdDdLd5tSMw5q6bIpw7BcDJ2gMe
aAwlWlKaty9eV78TLdQbUsV2jimEQvUVqPPxQ5Amn7gJdMYhohwE7ppkg9HEJc236TKcpMI/IyBX
8xdPNllhfp2MoF4nQ03zKeCnjtqtaL7xgqH69GQ5HhedGms/4BlIp8iym51ZrSkA7O+kGLvPtM24
Zzc5Tw1uAjA6MM3aHhSY514MpUdhCo0bdkgZro5/xMaMQyrpcgJSdl8yJvXGj8aNSwpJavOSAPR+
Nijt+7TbxKe+JWhJvpaBkeMVW3xEa2emWgmPfFmUe8O1iY1jc4o2hTu+zr1MLiIrmjX4i1yGaQN9
NaFxfsUpKrrMECvXfd6gatB9dnDAx9GVY/d6b5epuMFPma/zbOKZUZnzjCNhGDBTc3OKh1Cmjd5L
NfVH2Rb1AOrdrLidzUv06FspaF1QtcPBgUEpVhJ1iOuSjP8q6hbjKckDsQ2ooN3UPBR2tL30x3pJ
hq81sxETRpyvS6PgXWj95F3Bm8yvipK4wSEMJNczW713haVeZse0PgyzNn6Y7jCdlT9HT07JFgp4
ndxpWwfg6pMxNAenpbELG2YOEZbVYvLMwVhtoE4JGAPNg2u9RBFAonnh9krml4uqeBFOCRLVN9gx
4Uak0npZEfrZ2gsF6m3Zzys7w92hr51KHvQIXDAATnxmbHqUaYIJdPKZ5QBIVgZzcjjE2KRnF1uc
Nky2P9P3frFwEiP7roD2BNsMLuEqK9yj2RXOSiYjS01n2PpREK0c3zTWnuJyFqmWp9mhkX2RH0vN
N46rwd+ZMwCmAnrzDguefmxcM16ZdKLe0E3E+h80YAPnDkrwaB4ThN1Nh5p1TNo53wcCecDU48zn
uR12lLWLz6yXmOMsm6cOB6GjzTJv0wVJs8Ua2p0Flo5zJvUuc9lxAFHReNLgXveTZjsrZBjb2t07
bROvRDH6jCb1GqsBliiOgndadgJCTFpv/Z7wVmtUm5riw510kwpTdPDezpSrt+xaThA9iexGgiaw
7h4j7kfi2ttK4agWQ3ABYH4sjOZtKpbbIVNUDLjPdasgG1cIRnnSsz5afqRN9CKD4AEAIPUCNDuX
af4RiGTaLTiCQ68PPsFqdauFlD1LWuk8V3nSbkRlfupAcrAyIm7ysXnIiYSv2Xyyr6xPOvbwB0fu
12IMarx8qNq4XZgIcDAPr4u1fNVjcnDTwdw2Xp4A8g7m6FXUXbSEbetnR7vFBzNDZk4qmgblssHY
80XTaLQf+vjsNM/CH4enxoftG3fJI8CqeO9NQbZqm3H4Ypgt3PFp7DFhTe15GFpj3+r0+jGH8e9Y
iffFBd9PBLOhjbuLp/aQNC7yKLVPjBNeEOtdNbEgB1eY2SFuqYUaBsdot3GhH7ALBN+g4c3G0ahp
vJJhFnS+2JmjOVmn3i9gAIXY3/RdbrbX72c2WfpBKRnr8Dm9OkcivH3B1puyur1a0e20D0WaY7ju
wIGEGeehvWcNnnHph95LQNdUV5tsgGjqdhMjZxbgUx9M9eZHmcI7jSc85FVZMQC/ZxCB8QfuAoMp
Y1HEZT+sK24v6EzXncZcDeptiBgQlNEwY1S47+CK6EvDM+6FXNF8Q6MuUzJ+JFwxjSsuqeEk46an
S+q+GDxuSxO1f5QHXqcTdnjj93QxJ0IAszwLelcxjsOUibNJvYEsQuSOMEM8yM7pN67TMolEyyg+
q2pynZs+Hq8jb9CD0YidunttqExd+7nhil0NReTA2Z5vzT4bs2zFgL6m1GnZetJjvprc/t3NC3Od
tBz/KAqv75x2ubJagGWxJV3ByWwPZgaxM+ksdbRiB1GgY8j3wRyffm5qfr7eWNskcemuOADaY2eT
5eMOVF/x5ee/EviF+QBU232sqIPfEZVc9qaV1R9d0TOD6dZEJcByezstHHsMhk12PUvpPgYZb2bS
xnC8477Z/hSK6xyvpqlxeQ4ZujEIjVqESRITXQz4EeHdgONZ+nLnFk73Cq+IX4CW4CLkPrLcdwgv
d1BUsIcOgr96STXgQU26PbROCUYPf+12MWKxX7JhudHQU3tQY/xeAJPVUw2s6NKMxFRWsIebHUc1
ZvthyD2KyDKFnT9ZUEUQL7kZDPAAlGiDdYWlsTlkii55rn9iDuegimq8HkZCiXqKoujTvdtC9Q9l
HvRIMhRGx2FJ6cMWJhaMmBy/8MWRk3Oq0oUN2eIgXqklO/687owEUDkdEwbH/z5/oWd2uY/77tol
qsm08Gio1Q8DAimiCGPWPTtg3pN8YMsm+Uf+VvoCvpi3DZFyBU9puaEXsNxVVymuG/BIeLOabn9i
IitiIVvX5gro7WvpLJg3vmGeuo8RDJ5NEBPeq/MKPd+DDwhOX3wpBF+S0dJ08Mrr/1v1vFvS1VdA
v+XNNzjmuXYW7Hpr/JfiC7QYqjayPgt2Scd1HxOLOUOTAvbzU3iShql+LBIv2phyNVkL3zTVRvWB
lFhaax7n4zPWX3nGHKCOY6yqDxULCLcq5qNjgJ062NbAbnLq1VHBgP3IvK4/BA1FC+HcjT9LnXMF
+kQ3/IYlfqghVFGUcQJWU7kDD2eemVva1z64vr2FyLMju/blZsQW8jBl14rt6wfW7LL4W4Fd6aOh
eJg66qEbj3lPar9HcgXLRerogxbBVSRQ5PqGrwvaJCNW538OTjeuWPszevT11xKL7ipgmUfUpVVH
0fPX6XvFh12zK1XDHKBYkAfr27HfRJU731hI4Dc1PLy3Fr8elebuIk95ZMrb0nIVYCuLn7xn8nHW
JbfDncDU1RHjgATqXK+CqUaac2oHScGx7ZFuVlDg4RQMXCXeIj4jkdYfrCKNiobDms901ToK5lTu
UtjB/RGSTbmL3Mh4WhgIfngKEl0Y9NdrsBUzV55TQ+2OcKlzDpiXveERFqMvibHPd+Pxu+8yJ9OR
KfWXrkr0ux59tlAdB/IWKbWONjHHCp6MddqcZTeWl3jqByz9k/+tHm31I6l0cBydOJ/DaOLJZCdT
s50dbwZvVnIFjEGj3lLXcWhUa61Wrb0KgXsNBKqaf5ef/2NJ/DujA9f4/2p0OHz7iKt/MTn8/hV/
mBzYjGJlsPiPRDFxITL+0+RAnJ4UPDSMK+QavM0/LQ42XG4WbhgRf8fsXle3f1gcCM7jqIXSwjYe
6zA0j3/H4oDN4l93bhgshHW1IbOLwqX/F9t4JlUzOJ5yL05sM/Yp7han0ptp5DF8yZUG3dIsMouI
GIaM/HFJ4O98StP7HlfM2zQOcH0D1X+CuKGJeRrJyQGC15MP9BEq69L1+cBQ2lOt6eyc+wcjv9Kt
42iaOLyVjTIQvpPcKk4cZrrdOOL/vsCOCjDnN7m/Tbq4PBRqthB+BqIps4zWtFzaa2i9zjZOpGlu
KHu5Z/C9op3EpM65VQP0GMx+N7tjczSDdvqG2PpuF4hPNuEmGt4rb4dUX7+3rKzpkipc2Ebdh9Wm
ZPG0H8+ceM02Pi1srfeihvjPH8q4lKmhNFPMSMmFL6n2Itoaje3K4yFZjHRVsFagJWRKqdqMzddx
1md7sOo1Z6N61SWxeJi7snroqetYj714zZ0keNaOnm91qa1dbQavWvvuZhTzSlljcW+nBvnEoTUv
bVG0B3zIitEmSc7FWAHRc+Pkhgn3I+gbZ+C9rjcO9T2npuBOCHts/OwyTx1miv54cMn8O+psew0R
QjllC9us/I7exsBMvg+DSaXDlOgvjvRRvymCB1SHgAdeK/ffTZPuB8dLY96b6rVIitfG4KXLpl44
0Uzjm+oNZ2MRn9zYWeJR8+kxRXkTRzgclyO+UysJikdvAavGWSKuD9cr8rm5lrH4UhG8U0Oe7T1z
oPwnxhbJTz96DLcIsTsxWu7Mw/jq4XQzGT3Ymczu5rlbbtUUi1W82M05tkyjCxOhHV7FqjZXb8DO
Ru2YsbxayePkdvnZKer5DHnSusGamW6JjU53U9u0W5Z1+itWM8JvUoDiGjKj/hFwfB+469pyV3jp
dG4XlewpP+3OvfKXiuztFH2LTRYK2AOdfSx7wCrzUHsnWQcc35PeE5eJMrHQbYMFzh+J1XLVuCPV
yH43vFgaAY+w8WxST5w1KAEol2uTTPCWgjNnlTHa454F4nUC4afTsK/tgRAXCzkqOvQ5afihvMat
OUfN3XPUemUBO9IkYzag0ft+HuxJ0brn1jG+uQvlN1YcX1NKKnJDqzUmk/ojwotWbdWU0QOITEZW
AGPrnWpVJneF78fbPHLEJwFrKpYT6X7NGrUg6hQosuxT3d3UGkRLZT99CSrbujMy5a0Z/tUWex7z
eJmxIqwmw4Zu5qvq6FNIU9PnY8Q08ZrLnefY1WZpkOdcFxIn2yvz0JlZ+wBv09n5+TS8OLFTUbNc
xlR4qSsqLYgSpFhrpmKZ8/jKD/iV3AqzTWjmAUVl3kQjbTvOsAHHdKd7NW+SyV+eR93ocAQ4ScMT
7MU4YFvc9ra6if2yvXNpeUJUa5+SzHAfAmvYt6W13CLoTmTAvKMz8LEOU+pdDmy8qVSeXPy/BT1p
EvFQk5Dz50dCg/VN0Y1ItWZDiERIJs1rbxu7y+ngz0msDmRKvEdGUBPoPuxAXYubgvlKlNV0T1d2
e55TSn65eYpLN/DnrpwyZluXWNwUmmAdWZM4LI38xiHaBRralAciz+ah6EjEJbIrVrqsTQ7IKtph
eIzXKqnZR9azCmfT6h+XIJ6/Qy2pKRb05v2cFva9NzcFnQAyBshpIYjIxMl23qAR9hQ3cmEu/Slh
UfRc5sLeNnUZrVx/dG+ELo2wYnw7BBF0TpUF/ptViXg/14jJhs7pZ7P72YCp6bhvPASXPUYT4zuS
mBHqKbZWrESGHylwRfiwSfXQNa5kq1GEfdWIj2gpok1DaRIwvpGczkgqdkU1SvxmLlF/bov8oauq
4RhT+byy2rY+mXnU3y2lQ3219pc7IZPgtotbItMkgZaNHbntDjAIIy0I9XWX+XSeeLH9PZpLdGhP
fx0oc8Wo7BHxVli4V63rGOfYsBvoBs70Wmvm7etc8eCi8a97xOE39Bo+G5ZbrxfHx2kFE/kG9q7B
DSsiauck9juDCZVVXpNcpCrL3YId+mMqInutewz1A7d0E9D13hndmt4eQzmPCYUVABwWH0tB/rAI
eeD0IDhVwyDZZGLmD1yaTrD2kvF+olP31dBOsUoHSFKzWxLdZwFQhkYTTS8ichs2YY13jEC2sRTP
VLDnvsneuBfnDvLgw7IMdyT4r0EXQW0bb9jK4dp7SmfinKSnQj4SIHQDWZ7dhQpOyMgP2UxCFHpl
hbxtXROtZeTTo+4OW2oi801nDdi+fXVOszrbVW5HZ5oARlUuIllP0AwOfKDi7VCQzYrg7SGs5c1G
+6o4R07L7XtS00eciHpnjMI9LWPnfZVenn+2ZKIvTtfed1bhPC6+/Sxmu7tkgWrO00RRHOzRZcdU
z7rY8UYiqfFwdNziI6XO6xCTCaDKO6l2I+r2fsCF5obaiLpjYrLcspPIhsxaVndLwwbN58k1hml6
L6PafDOmcjoHPJVRKaQaXwGEG/t8GZ1zUSfp0UycbWXBC8Xpc5u59os2KKgUfpFTamgp1lBj/kR2
od4Nvd/c1n4vV7qrra1o1HefhQsSYhzv/A6dbIqv6eMqX86xbU+n2smiL2PQJaHXkaWsl7xZ2xTt
/GAR9hQXZYnUnHqPmeJH6CWhVX4+VkapdTNyV93UsXxXnW2ERWXHt2ldnfPJmG+0S/ekkvZz3hBd
aGCIbmyM3jtkimBLrly9t8Osd+zN23dtlNSSBFSpVKM5HrwpHbawbd8n4rD0DBZyS0FKmNlRscmH
+MMYnHndEk2AUZsuxyCYQw974En3J48qRbqMK4qH7LyKIAYIMNHCy5+v0s4jh6rsVDY+j3pHKpBm
E619txWFSbvAi+pLHtm0wFj1zteivSEtV65LjWkzTu0CB4MZnZmvue2Y6UDwL8XoP06pe9c4NctG
G2VN+wMZ5pSEw2RP7x2oNmS+1ql30ySX23ry0lXmtBILQltuCUrqj8FHSkObXTikZJ3rQH2NGiRi
+qbWTrXoryURxXeXWRAsSfdRRIFa84P8KIai2aZMs9VqLg3ktk74qyLNKGtcWmDY7DmgOUk7KylC
MbOVxap3M40FajDg5m8Kv/raLheqmwsUVbYrQj+Qobjl3MsaRACGoAJ+K1TNE3RS8rhwH1jxEK7X
6DBiryxD/PA9n45I0lTh0EPRqNw+2siEAZijR7vp8uzegcFCkJKWsJNSxP6b0kwPgj/1e4UIiQjP
Fswrh5r9GHSoY9sNHV5ko0PiyAc7pBje+9LEqENbiZKGbCTuPbxsV3R/lF7k1Muvuvby20UDkcOi
la8sRZZFlYB75aOv1ZCqNQnvuPqKf2d0qSQs86B48jRLevvIjg4hoYecXj1N88i7VvXfEIPw6pac
lMO0xcULAy+X3siUnTprJ0gyj0KHqFyDM0VQHaNZf6/dOv42YXAMOSM4X/ia6t2IJrWdzbE+qJk2
z1COvl6Lzk/IpvrNTVPzb1edW71ZfPKsbG63vKJxkwVBsx4igh4Jw39FZY8uv7VKyBvme//gmnLh
E8wwd/EG92mJiVM0reN+s/OajfDiLfVJOcG0ccivP7QFMVY8eO3RKGpSRVMcr12L8H9YxdOwt3PM
CNwNQE80lYkAxxHGnDqyslGS7d322ieYO+ZJlJ19bEXLEYAqio2fYxN33LmwIMvyeiz8q2edjPZr
JzMCE+RmCy/sEKDCBtFnJXjnHiA8OKsEWecNBOhtlPq8rQIczqOegmg9ktJUq35YxA1BIXOV9l23
bq2cQrTO8d2rsFRDvuApnKLWNcMh7SRnZNpMi6Mu0vQp8vP+refoyczUjZe5ZAFWUMS49a9vtqKt
CN2zZ/pyzCK+kJyf2rAq6XJwh1oc5rRrHpUqRL8m9ZWy1QmcQ0ZXyUMfBZAyGtm8tGymv8jab1ih
Ry+q8MTZNusJC2cpjL1l1jWGBzJr4TCKkxcU9eMY665kcVuX3s2gY/seZMOHt7Q5DtdFs7NBQF3o
nhI89hPy7KTYaHC+zfI5f00Jvz376aR2vhlIPDvIpDtGof45awdw+wa5stq0o1NXRPWan6jcpm3K
h1C3JbsNt3co4wMKEVJjx3pcxc70uXDq48RvOCyzKz3fNZ6fAZsM8uShpV8tFM1CZn1kW4LHi8o7
SpmCw0SH3SFelvTsxOxSCnz8l9xhcvC0y8UkjM/cr5bnGDeEE7qYOKm9mrlpCFqMXzNuFai144SD
KPWWW2OuFnZQtdr15pg/lNdzkgVvJ6S5sQ9lI6Kj+lmxwMkXl11A6X2qqIViLKuYP68HWem0Z6pm
KX0tBWtj/s4bsrVAbLns0qL5UvWTX9zKLO2sTT7jU71pJE+BcKy62F8NsdvB7HNsd/lmzKWY7mRg
pHuXmCHfcDTm177UtX5aIIbwfIUYQpz4bhCdRbXWMHjU54SBhXHvxFvS+v62iuByrkg5VpCO/ovu
ri62e0NflkhTGOs1T3le6Je/MU9eXYl/ci0KYit4+33c8Igr8i8VM3WDozi35HSJjM5ZGwEBcmmO
/EWKgwHoVEXvZmHtxtQ8WpmzBd+0dWK58T1oo8Oy6Vj48qtiPkM+hhf1v/9wv7hIf//ZXFNIEgGg
wn7NtBQYjQFom9MF+97Fqzkrqj2ml3//RUiOXAM8mHe9X2MjTtprht5xuiQmSw3+52L3oPtw+/Nl
/iNJ/o0kaRKxQMf7/1M9ryVf+4+i7uKk/f5nafKPr/xHTFr8RoqACBZpG5ML5R9ET/M3h6zq1WVM
YQVcCbIx/4hIO7+hYUoIYKA0/oB9/kOYNMlcc8ljq/Mkm/Z/T5j81VTtex7fiOgKKRluQu4vxl+b
Npqo8b1ln5VOvLIW2LqmG/3NB/WXzwIpA14EsDHAO37Pv3ANoUkZdRD42EUzEzut1y3r2Bu9FSU6
f2fe/jVycH0pgmSIvCRTBEyUf/VTV6DnGiyky56Fdx8m+XU/YjIXgHOkfIDpa1/I1tjphXwnOc1q
86c///+Qq/rL2+mDggYRQthcknn/9QNp5lhgJtds9nSaYiTzXjHG/k2ogovizzc9yIO8hBOQyAOa
7v8eef9TtqltjXkQSjZ7R05P2rFeSLVWq4EIViiWhqv0n5fz//D7WP4vuvX15Qjc+DwJuMtwk0FV
/zPtEPaQ7Wo0ur09Wc0xygoJcCggkpA5RBLy0X6m0xEwkf07pMiikIMBNwBeVPwEGXUV3TSeGeHg
iFM/O0BQZqQl7BZQ1fQThtT9BCOZjQSSVIBLatPAPJhpYX2a6bSLxq7/Udo++6e2F+bLzOS2MuZg
KEi4UlQdN0OwtuLMWg+crl/m9NoWTpFkFNLx1sZrG+8jbS159EoZRRUGRWvdq6hybp2+zB4QHjhI
UfKOe6KPLsNYSmp/GC2uTKXQERi8xmFZDhnelSE1xq1VFD9sL3+oEvuru/j3fYtHdrL94lgL/R4B
pOMlqHE1HL5nYaULLQ9Ls8uaK+qOXnOnS6fvjH7NAZn3toanu+bxTjjYxHlN1aN70drKVmQp1NGM
rBfPkOqYxgn2MLZZYTKO3y3Af1D2cO3NEhF/CZroqWfHuiLHznA0RiynSFjrSZH/SnK1SYWOb8rO
4akPig9bEnXtEfv1DbIivqGIGSI49H466G2CGeOp8ViRxmAMVqafeOdapKk4lbVUclvqtnWfbU4g
r3E2trdlJfk+vtbmUyWz8ZS3FHSyHEQjBulRhGbjxCdVNC0lFMLBfN5kmHYCLpGiSe+aiqVuOpVy
Q9+IuWU/IV6I24Odwcm9Qvo2h7chEQ3nPoHXwVi86IlyIZhfydVE6xb2Osbgm4VTIoPDAgPsTJNz
e18vSI00d5zpSbLesJn2T+wHsj1quryR2nL3BQ9JPEhugoJa6l1ZWG9x1nJWJHgdkQuw8Jx1SXAv
gFHtgMS0N0tkVHdXOp3ZDXi3scvS/FXnYgsjonmrXCeCLujWoLG0k+zawB5OeFUB4i6xe5d43VYp
i8OV6j3o3zJ6Tweia3zZqx6jI24BCjvq6R43/XPKRBgaYwqhqyjHE5t5fAIxEv84RNO9oSa5M61E
7KWAejQXPSJP3TWnmfg9rU2RU90WGPJNrmiWKVeFUtxbqpk/sLXg2udDcx6j1KA+yjUB9gQcXnMD
fCQzNIkD1XjrRrAxAI+OtTVkZW3hqNFqqyiTOmrDxwWT9eVK4QTbEfibThomFwPjMK3cwKDpahSK
z35hhKCQwaarQa8KJwtCy82n42LGhG6pZNyqK8sRWTNdFVlCw4YXf2B/fQ3kMgOB6cVDomexN0fr
3ePvavh59Aj9wAZXwTttJcuRPhnasFTWhott9Gs1jdmaEkkk8yW9MXB53aeNwrrXLN8SNgE+aXUs
vr6KxgP+62EjDXHPgL7tdRXtUwN1jLjF1YfFt42U2zy3ACuKsOsmVEaYk9vBrKwPFv7QVOPa3dDm
BEjTenKcOsCck9HoWHpjdzcgm39w3/YPSTGxV5FxvqIX3tzE9PrknLnr5aLyrDfxqtXzcyX9/MwN
aTlIHeDINx1qSGhHp8XNCCfkfPYeiq5oEZ8jv9zFPAAorhNjz3TKOjwvZHkhf3DIR/OZKCb6vJLl
KvJbTF2+gT/dYPLPDP8mUtl3ynZx6TTdhuSI/TEIu/5MB2u8rW3apcBn8tnjluCSokj1OWAfcYCQ
2u4t5IF1NS3Tl0pTr85piFcWAR3hK0IWJbi1Uqc/gtTIX+XUiCeQszaF2qm7tvJArghjp11Y4SKg
uSjGlXRdWEmUsW+YpYzbrClRfjr80K2XXjcR5X4Okor6szYfVtLW9iqFqn1tpckZST0MLhb7eQyC
C6EfRrS95GSzahrvKyvmCC0C7OO6UU568FPfe8o7LXelkxQIVva88sY52ZsgNTbSDWIiLBVMND3g
ce4d59ZNJOgsI4refWcDI23e5XN8reqO9bPkzrU27cDf8iblT5YfyZUjZI0ftM/MR7txNy6gt9d+
zmwsCCA83dZdXjtsJkBEGJHJRLWXQdb9FlGKK2/20r2d4SAja2esHav6UWbYelTTZlvStN0BWOB0
GFOLe8bvTL/+d8KfeaX9/eeQ/38BLJj4KTkl/vNU9BcU0k3Sddf/1nXyL0f837/u/yEWCO2y2ccu
YDkc/PiWfxzzA/mb+/MIfz36/3G+v1Lb/jjPW+I34Cgepk+uHMhHjv9vGQ1+OR0yGVBoa8O04Zrn
MPzL+ZdghB/3YxwdGo3DSBTtvLPSicOTnQeAa0UUt1/hozZfa/bqf8M6I4X5l1dnYmHSwS5kBXwk
f3n1xCNqm5HfONCghA0swptomB2tW7iacAr1GOVYoaM+mbK/Uh4bPigoEmZ5JhYzPy9wa5qwijoT
YS5Dd+NJOePgyZRJkiqxszUmUMo+66xdzLBLk2E5qcSbQQmRGNpYkuAW+rXYX8nKbOIw/maXMS7H
7x46G40+CdayNoZ0FKa25T40xuyt2pRElD9N8Ls9ft7aiuedhyfoSLyG941Ibnnmx8T5g5ur/rCo
St9CxshA1xrWYR6wmIYung6w7Tma3dA+SoioxtG/9g2GMyEk79sYWZG7RRg1zBcxqijZFEOk8fvC
zXbeYhGANA2DKejjU9VbGYy8CUjzdNeYHm5NigyniHOeEaOzZDgzHgiZuVskxaIhKhEVICjNDqMD
3B3OXgdpX//NSJLB/aLhIOFtbASLBWqckabm6+JJyQ4GjGRha/kwil0Z0d5XuIo2BoiG0WeBz+x2
9JiPKhBMCU6quaFljlHxyzLo3tiUctKbiSzEbnCXdc8/hZUY269O2owX1hFYmDMRWfvctST8XEDp
k4Ie3eb3pGDzXdEWZNc6P4fSva3bkSDQmLvNqS2mbUNjHDmGzOSCwRvOUhGCEid+dT+6s37O2NN8
EVesg0fqc2U5FGD2SeZ8vz6DHvyuhywe6AY9zyClVsqEo21gvaUQqtB4Y2CNHk/qhETQ0VZQHKXM
H+I8ze5H3Ze4KYhmIXE3sLkm90hz+kEH85NHfW6LJTjoPp1Kqocii721tqzkkEUE1sTUFyfSWTTA
sFfFKpHkz9WIo5Ja2XjHYTH46kZZwyZctendaLjNRzRCcVzhGBWXYPbZevSpNI4ltb74/kUp7lnB
zbuJ8usXy8yfUoPdmOtG+JtNO/uagFR6cdmGrxnL7C0ZAfvAbDZSW4H41VrTd9YM/seiM7kJADLM
IfeE/qNdCMktSbuXMapeVk+n0Y6d25yN+tYaF7CqPHWqfRvZ2aGCinCjKk++0afmX6RXTmgDE87H
NMsPpHCD1WBX3VM3VNGtNTnVPrMKi5TnrC+5ny97BFnnHvypZKyq0y9NGadv/EXzndaDdaKEJt8P
ZVlfssXOv9ZR76qVaiOPGIC1sErqx3PRAzrDsCvHUNW+9zCnPREWTqTcViyd3PgzwxwhMxe45TV3
mesWn1PtJ8kVMGbdDj7VN2NrJa+6E3pEkL02ZGZjgg06a56GbJjYAePssFgMbgydBG+VPacv7ej2
p95hzN3owUuPgnUC+dMiLu4I06sDqjU8mEVEa5FyGMAD7/xwRvDPcDLmV52aJLkDsmhZXRx6R93Q
4Yf+PXA2mwI6BWUZHcygJjdx9R8FVogOMnwbSpwiVlbmexFpUnYsPTBfdeOuTUogZ1hSiaq6zWet
nOEkSLhtc5uYkFva031aOQ1wR3+mbGlgvp2n+QtEneUrLWPjPW+IumVgIQngzfIKTS/WfE56Qo06
3U+5ne4IJLng9ocqe64TWiH5s/NpMTBBBl5Wf7MMt98tfqE7wtBsPji6sZQq2v7Ow/ttrsZidlep
yc6WPLv5g0N+YITCVQOXMoTewJRPtc7GG2oL7gCKBRezMqMv5OPy3eIEzVZbFOOFYk7EjZtk5ORw
817gV5n3sx45mMtuDs5VdUWV5/o2bwaOXJIP6nEY2O8vdgBdl+wPphEU8mNd0csa+e7VtG+VN0PT
h8hs3Gqgbp8MqqWPZmPLRxY3jrkS9L+scETMX+MUXze/tE9qbej+m70z243cyrr0qxT6ngWShyPQ
fwMdjFEhhaTQkFLeEBoyOc/j4dP3d8KuQmbabaPuCwbKLjszQzGR+6y91rfSdA/TpHnPHHdDeTQR
CSLXm5D9EEc3FgB5Z1OeSf3fo9Gm3Tlye/dkUrVLNKjBhcTeu3nqSnIhM7u/m5F9+ltdDZgLYICf
84RAG+vZzr0up0l+kvFNJXHABoJ7aU9XWlSMu7AzxtPYt4Szc7PceknTPE/E8+5mFe8i5rzsRDLH
99zZasqHyYJ5fel+l0lGF5TTc4j0/ehzyuaUjfvic/SstxO6xlHOqOVAgfpAq1T6zFdBNI9VAYuX
DiQkJCQjD1S6Asj1ohE6ia3mOVTBtkpF3LxL2s1WwbfSMhqwamPzxYtKx9lY9Ae/iyjydqWKzQ0q
QDeqKF2uQnUx6TosweSnsDxwP8mtPj9hDKfQgBTHTaayeYPXVVdNpUH97unZTq3MPk25O3IiLocv
HiUSuHhV0I9VO5vJTuX/6qjzrheVCdTFkA+Kdc/tmraM6JhPvfYYxxhjINNy6bmkC6tL0pCLdg3e
WgUQexVFdDPkpEQPSy5Lo1yTzCZqkqr4ontJMg6XVCO2deyRRlwFMLa9t0zFH/VEvFlDV91oUWk/
eColCV9JXE+9b3EZlOadbBaiIWF5o97Aq4alxW7pOb3KMln7KoUJXj09RBwwV22MMaKKTPHkqtzm
rBKcTVPZO+0S6/QJeOLvMknCIS1qFYQGecmB2pH10cct4VCjr5f1MI3+g2GTayqbzmRp3xqPFIMQ
LS1w9d9x0Cdwao4z2VOVQiWcXwWTLq69S0QVaUW/aVi29qh/V35veiy0teYbEHrirZok6RqqzKur
pTguVQ62DGV3h2eivstkjf4Zm+Z+FnYZLCpDO13itKHRul+YBczHGbCkXA3Ixd+9QhteC5XGDbP6
Ba8FoJHUvxcmXcg8P71n7phI8pqXUG/apzDLVdLXuYR+6dFpcX2QrPlIata8bL9ICJtEhe2K25tE
uOOjCesBS4B9FzKbbnHJF8fhEjiePE6ca3EJIs9chE8iGhrwBC0J1ba4HScVXQ5Vipn7XbkdVbI5
7zW51RLD3dOSTZuxSsbYlzC0AqAEWkpEuiErPQC0YYefkZ92jdbIDmiQRsAnO7+bLlnr9pK7dvWK
8XXs5CbTsunstG28mqiLPji6LG/7rJn4nggSJQQm3E8G33gDHdfcZTqXFc81lZH2EgTvVSZ81PPo
iX7x/In6d8KB5ButwA4bnDBZ7x+XzGFaiezwoOOlZb+tp7hHsoo7GHD38ABHuF3Wswqqpz0LePRG
IxkYMdlAFpdUu/g945710iDyLhrvmjpx8AU9goMNxfHe0Yj4W1YrT0AnjLWfJWB+o4YwfTktm4jB
/2VxvGNK4j5S0Xscf6cysQ2epXVVZK7xNXHxrpAFRAAIHZ+RrHCwEuC+k5pLSAVH27pRcf9aLG9t
LN8JTt17CghAnMRZ0/rLDrRJ9KBS4ABdaHQmwBLABWQeSfLgnUmjJ94WsR0UesDvqNUWOcONlie3
o5WImw5SgaGQBbOCF8BJy9eZAhrUCm2QKshBXtAC4CnwQeVS6xMpGEI5eFv8EPKK9MZtLAEmiAs7
wZuRiEHTtVuDZRCGQCALocItUGXcryoIDDRDUwuvoAxSM+cdKZ06wHW5A8zp3rJezgL66rObko/f
G1BPFtKgHgqEwX1NHcmVbQKCgOWarEdstAGlotzmWFkdiFZ6W2rRlwBPBCQJCyMseZroVCrOhJ+l
8tbWeXIpEIpkgT3qNHXbB07t/h0u7JdNLZgbFl+ChjoLjBDbLnVw/GFpEYeWpA/cSw5p0XGs02Y3
vGrZlZSrC97FwqH+UTNLldyyIZz+cFz/kyUGZ+ufNibqwfHxsynzbOEY/i8PviRl68ilThDYqvZj
Sdvyuk7ymPYJPzv/9UP9uv/hoYQqD6MUjcX0HxaySZOkzhwXPFRtNoTZDRJ0q1JG1d/sZf7A/VcP
ZLkWuy6WM+DJftnbZZWUVptBTsVEILcUwlgHZ5jNTV4m/R3yUeZfj36sJ7zpxVutsPxcVaL4Vgsx
Ta0IrfLTXZ76f5fEf7Mkhtj2l7GV/5u/vb8VP9M5L7/lX8qRBUsTdKD17xXxv5UjuJ1EXEz2vOz5
DP6Xd/nfAhLJFTiAEKMEVXEISD8KSqZpAYS3gWThQ/L/Izjnn3yiSVbzUxCEUd+gXz5oKR9kqxOW
tmcTYKWAGUhfDb7VPf71F+dPvqMeS2KXfI7QPXbiP18gFqNr5biM2p4blvGYVVRpiEH3botppKfs
rx/rjyqVw5TN1UjBNh2oQj8/Fu9FysgqQkVn8W9Ja9KOYqsSsYXYX+0U5CT++gFZ/P7hEgQ/20Ex
BNhISvHXLeqcdXZjsMfYwzoNIwTeqr/mqIabp9KKysZeP1Ezw4WFSW2IRgGjPE/lzqkmcuKNTauY
Pard4jCXya5OOcH7lVKn6F7R30u8o9cN97HdpaxtWtpkVzgS+lQ4l1eypbYtz2iRyrW2f7pUufkj
rWv0LSWnUNIQZEUpCyARgaaTjV4ckohxpOnpODM1a/nmc0N6jumYf3Zr+ngpMsDFnZcBpzCCr6bI
uN2zagriVAz3rMeK7yTOq1uGmPTJhDW0wgiTb234FnjeAY0o0PBer0KqW5bGxHGuV3i05LQx4plh
hyLdo2v01amtPWpz8ky8MdVgAnamZr0QqNg3MicvBU8hdAJPM6uPzisKTNPFfO9XCzQIjsdAcVrP
2uqd2b4SNvAnZpQY/FCzciUMpe6VOgVbdvDE6nTrli7hiCnkcx7ocYV5TRdF+U4lVv2akt3+kvqZ
efYj3Y8Zkjv/M/U6HHjU/DGQQAaqSAKkybxFyGLlpXsifs/iXBn9Siu/1fPRq6kLiqpr8Gqcvzjq
wz5b6EAKk3ZtmjmfvXTh1GAlqX2bCEKsM/NLOKfyHDc+qyZDb18Ltxq31az3ePlgfjP2OcUneaV4
F5fxh2zTmtgC7DR4pCBvjMWOi03HixOXYX7T5MXyxSK9cy/KZLkGu+JRhzwzlrKM0bU15Vyw2rVK
e7CcxD6EtHfsx6mk2Ifz5LWeRsNn1Dn9O2e0NN8s0QLwXOsT/4qXoFvHofPR9HkwGVN7Ir4wYvLI
P3XBWMOcfQw1RLksi578jgxzQ7hzp9UAGMC0zUE3T8Qv2BUGfpg4K7fuj6nWWlBp+0iCGfLSNxh6
WDo196vAxr+OCaxyLHKaczjl5rUTd3fkTtFaYaZaVz5ZpjWwj/EGpy+ZNWP8NpP8oN+DI2Vmlss7
+z4Z8M7a72gS2S1KoLnOlr4/oznBauu9c9P4yWawlxcwH+JkLuzuTLl0J81dls3kO9MDxBOWhIY/
biXJjnIqvriC6tN9knmcGVZ9NMbyo0TLYJkzDqoJbOAczrnXq810tXTpuM6iIrM3hIU5gcu8AXng
TbmcD8BIIuAmcdToOowYLVqes26yRhUQ5Aga8UJUOGMl/PhHq029iNO+kUIcmx5d2ccb/yLt2heZ
VwuV5Gsr9ZcwLaGIiX4vRGGcz7QWycy0D0B8On0NMk562y7tEhRlcAkOFd3MC+cxs/mVok7G6OQ0
LWI0XXLldBc5WoRKXYOlio9+qI3o11042a9mHSvYrl6q8NHUzr75nA6TZm+bmdXFJ35j3qi4j3vt
inOiUsuzIgTMtzP8LnuF0pc9+KoBsdVLLsNV4dr7USel7oaSWEooTCz30wCwzp5HEr7TMioPu0ac
3+6FuJpMAgrGTOulWWggCoA6UZ5WLL7xaNJXDAW4Uf+aHCbwfHJhH45ZhuQljJLSkUyIA8wZHhck
FALAkFuHutOpX8Sbu+mLYYFv1IQweDTIR8fGsrqGbaILSMLpqjXeByrmVGlkiQcdIUjGRXBpQplb
/qnptfJhoXQ9hVcFLW09jlNxPwur/mY5lnfND5JE28ykX7Mm9cEJ3gH1u2nlhOKCQ/iWFKPzltNs
STIiH41t2LmUUE6ZCwvTK/jZNJpmYl6MvqBZkKpKofcwMbIUgd5biuohKmLaemi4Gqi4Yr8y8L3N
f5u1/zsF/t0UaOo6o9P/f4u4+1a1UfLzGPjb7/nXHKj/k3oPDg6ubjIlWIIR6PcNomf/0wH2bOou
zdHOL3Pgj3MfNTyWctl5F2fgf7RH1H910kGEdfiLznEMiKbtqJHmhyObb1Yl5gMvZ/kfvU5ZPK/6
Lqs21Am/lJrz0DKrlfrQvHiF8SK5/NJbK7fdPF6x1fY2i9aYBzEV8tBhBuMLNtkHpL9810q9XqPX
lAGg0Pa7DDmyVzHU98rr9GstyuuvOvjis2Zi/V+0/nI25wCLqL8NWfFQiOme0zHx7qYlQaRDyykn
iDb9OIClZV+y6TTTXMvJagEfgCAdi1vZmTZgBKzVaT4f2s4FG8mBmN63yQ0MOQ2P1FplAQmG8ACk
EpKfZtwjwti7ro++UCGRsPiY8p1b5PFNryfGMRWQoXSuUXd89duNzUbnDo8nQmv+PMwoW2JeVrBc
7H3hjm984XCZiXFat1Y9vyelHx2zCcFC+Jj3ay7+O7ubdGJ8LUpcKTscZTklXUJ89uksthbsmTUR
U2tFDe6bOcoJ4tx4xVBSbIuEutB0YSwEYoIH3PXZcrnluWi6bZ/LLVWFt6G6Zw8ahKxaYDGZqUI9
A03MX/rRrr+AZt4W/nS/GH1xziBwXye51w4rrBMZm8Ihv2lrEU0bk0GN4EqTvZB7Te4zEVsH0Wl9
QCCZG31NQvuhEVr4YGLQPFqZXNyVVtiXvsjmOozr5NRW+fQS+mb3yeHFf54L9h1EG4dp7SCmXsdg
TzcdTnuo4rl376qu7zJnOUPKfbT3vfDqVzdJXXYNLuwcQIT2Ec0JHIWZGyc88FzaSaBTsAsioyW0
a8IPYZzixfNNLnqxWi93Zk2tY6d6iJeKi3ujLQNdqF7pIneBF9PwijIY6z22EEmYf2uSVvrqmmzt
1pf6VttMwufUzCvIYlSWzkVSPRhZZZwEkJKjNaX+NQuc9GtdU/CO3u9yWU9AVyJBajNSs4AtYlMT
MtC8UeLSsuYN/gPev4micdFPyiNERJjuAc96a3SRP3MP09/bwRUHTYhBUct6XtW24tco7BEvIFW4
s6SLF9SB8TgSZr2ae/5Ikt4KlltG8s5kw/tsDyF5PFghPPlGRvLs5orKUkB0PXM/qKjrsh0yUtx/
NrWX8wca/Rw3m8utTbLlQecr6teY798uoXyeG+wMiCOcIcyvXPpinumQo3GwsbrPpKH1zSCW/82e
AdOFQ1XfXn6yNExrD1ulwR+fm6Z7Hy2qPdomvUNqKfburZnPIJau4ntexNZVaZfDY5daJIQdggw0
1PHEe1HIM/U3/RNuf34hRUbmwR65iKw9gj0b2KyUik5W+vXySUshgC+wu/wRgpKEwHS5peN3rW4n
UuRQRaOUM9bSUAbhT+aXqdQosusLy71vEdYP8JzmszGTK8HWaIK2HVyL/m/e1IFZgVTRwrtmhhMo
xKnoP3uX3sVSr5xbtBt5pL/MPKtg5nlqtGIT84nM6NW0w6++SdJksrkxAwnlsKaNHo/oSqx4Ofmv
h0tL4OKk1UMTNf6uynt/c3m3iokbekJYzAs6MOF9YPSjF1Qpr5ykmvHaaJR+6RBRGuHy88cPuDyp
ySDfvkALXCWe94poJAOzIajbpcupK+PT2Ejsa93j2HAyHe3qa5l4jIO0u/jejdkPt/oU3cWUMHFK
i/dF2n63J/8IvZGuZg0TnOme506wSo531Dc9R23nrG199q7ZXHOhC22qEfEF1rIKPFMRGriPQXIQ
1bAzyL2fLcI+nZEaJ2fkGg6CLsIXWNMc5ZYKeitPyeyvpzldd6TcRemGdwYhk1tjBjPgVRE4iQkc
DMfmLF15/mhtZJ0VHCmouId4UQe9lzXxWmuNzzKi3qkxv4GjYpJjLjoCXoSraBbGQZj2B2H7fenZ
95QxcEwbB3FLT1X4Cn3the7hDzng5YQ+VWzzkY1LoZLNwGclGewFf6DZwtmpHad6GIA7BWOcLp/F
aAccJVA8l7jb1j1Ny+lQX7FfxaHTx4FNUm1XJQ7hyYYSy3SSGSWLxpMjiQ65GIazWRYwgE2xx3eR
rXVOeRu6KJURb7iqI/ZQWlW9Njp5wbmsdEwrunvV8sHfpdLR1zZwH92g/lZjSzIY8jvxpHOdeO63
xHQT7N2N/tV1NJbOWfbYGx0INamJDd91zLzo/AGsyG5FMwm+CT8kqz0uC9cDMeb7KF1wqHFKQ3yu
1ia91E3RfcayB+1ZevLEwXuqNyLCks/5ysSNUC7tsEHSx/hjOKeca/49Hys4d05o3MEvsTYTvedV
UAykkjIW6WurY0PcGWb9jQ1ztlkK1gEF524gJG9DTmqvIdO75rj3ooPYhJ7J3d43G7U2Gz50S3+F
jLnTZRM+TUYNXFBk48qmUZssp63dtJb9FJKDYp0ezqs0KaMXL+U+XHYCc4vuXU/eEG0YEiCbuPZ4
du3EeMpko2YIZC2WkY68AhA1kYQ1Q28OojF9SlVnvdVZxbcudNNvfdtS7NUSCSyBoK4JRYxb7unT
Nuv4vVEhoFrB7XLDtLoHczOv2SowWQmO+iy8vFM91tPXUpf518k0xMnB/xrYTFik3BLSZHyLuJL3
yeAGgEQbVgyF51NfnkbXOFsy46rDGDrTQr84J9NvFMqxAYbZe9Fz78zarWO0XpAJc254E3EK48XQ
NmOWDteu3Vp8YkqEq6qxa3LFy8RJZx6qE2BLF/x5EbIZt4tN2DXhs98kPVgr9hkbUMlYauDCgtaj
aeHApJDtDL1qNsmchwE16pAc43b+XhameWsUUf80tcm0r2O3+eJQSE3VrmSXD04hmNyJfadVQ0Z1
MeQXTGHFOGpXOoyxoDbIXFSh3QUsMNIgJWq6pVHI48fKm5208ne3y9kWt4DJAMrqN23IPiYXVbtr
TGAEw5RBfMHmPVfp1tK0HYK5E+Te8pq2bUW1K2jwYJ6aNliMzMCOjWGGFSnFxQALdwtmN46Nctey
3VuZQwjLOu/Gu4UyolVG4o471+jdSkg7D03agbUQmfYq8EFw7uy+0Y7LAOLIfuvXTrQd8lAVBmIQ
aNskWQ8AUZCjBOV3nn7mDlrdAo4HQ+MPkkTxZD+Let7N0wxXXSwPko7Q05yYxqr3vHQnS2PnTEkX
5EZLqryKvlEtshM9tzyyrvlmTNIBf8MMfXM0umBIu/AwNeF1EjVnkoz4BEIvZcPsEFxOvdjv19Sy
YSpyxHL2gQ4UxtEd4BaMm7SOqSoHtTul0b1woD/yFVZ6BU9YqRfox0gZ0UXWyH7TONyL4AGSAPHD
vggh6UUUkUofmS9SCeshpZtw30ZEKS6CClUDiCu4XZTS4lxkF+6GX2aEGI34w5YsONoMu64HbMjL
xlDKDQJntU1H27rpkXWaRSSbpXbORC+0IFXaT6xUoNy309tGKUOd0ohSpRYZndHfTEpBSpCSWpb5
m0mpS57SmQgmWhhDlPhkI0P5So+alDKloGobWAfgyJGtCF+F2GWG9G1SmhZUZ+QtGjTghaJ4RSlQ
w6zB/zyOyRzgdIq5VSqfVG9B/PP8R1/pZ+Dkj4tS1FCGP12KnlcWDpyTY2RBXlkfcW52a+re/St4
jYhz6UWoi2Tbv+vW1H+6mZ2CbkDRM73O2gul8pG0edDHwddXDbMMIuDYZwcMEUiDy2LJayuheQAS
2/IlB7J408XFBwdQ6AMgNpEYp36xj7JEx4Ub89EoJbLXmuLTvciTU9j32wHe7bZV6iXji7MhijWf
+9BfAmags1BqJxEZZZdQGigZxwaHJ7rorBRSGLrDsalFeb1cBNRG9vmtwi+Dp1MKK74GxFboA/NW
+TGg6l/kWI6GFXNA7nuf3kWwHSPbOBPr8L70Ss/F5Va+LxeRd7wIvs5F/B30qXykYaTaUH3nHcOq
r7YdF0Yq/ZZDIoHI1xOHLExV2SmJhukVs6mxdsBig2SmhRAfKbHjFRBQPkIRQ0laeTEH38TvH1ms
tBEuk6opScSvmJ77BQ5RgnqVrUXHjrltuvF73BUFINI+2bds/ffQIL5l84KwJkE0jKK7JvJMA3zU
emc6N8a7KO7rs0jpAMymhuk2BT5hR5W3oW+QVkTfC/ETJk8c/ODVgUraaqnKCSDdtb8tOP6r+vyN
6mMKStv+SvU5VW0f/2P9Bjz6J+nn99/4u/TjO/9EX3F023CUgmMaaDG/Sz+YyqHagV3WTVSdnzOi
F3gdpyyL5baOxQTB6HdPuWX/0xeGzjpNB4TK2u4/WwG6P2tBKs+o9vbCxE5isx4T5s9aEImHunNm
17xe6MWMll3SRQx3YLh1Rt/uRustn/48l0l49HAAr1C3llfNzOEMwbPad2OtXYf87BvJ+WcbyQYM
ZLV0N8T193Erhiu6T9w1FnXnWA2l9gDOnpRhGZFSSqhpwFPrPLBDmZ9Sz+85M1eEo4y6AdDcgYJx
Oko6+PM4qjdNgvGL7/UubfyQU0vNxGNH+yyhekTAfzB9i7KKJkTeaW5nVFuX15HmhtrYN2BiVp5D
iM7NnSvDIjYzZP4aIf5zIGu5HtIaSMjYpkErSnnDfBRtJkzX86h/xNwCiT12QH7T1NhKfVl2tvL4
lZG50zjBfvHlmOIOpkt2ASeBU/UWKru10aIMW67Zi23uFl5Q2zUaQOHw+IWC5XOSXvel5+9lNyRn
F1zxujDoXakzE+hmBRZmqutxH/XpbSt95JkuWzZIxMZqAIW4svSaCV63xTpK1BhZDLC5KqoroMfd
xIZPLlYUZ8gy9HGH7o72lz1tF4TWMByyW8R6b4lIX5uhvtOSlLBLLJ8x5spg7NWTwFO07gErremG
j4IWFYyMzvBeMIgLQCRXNe7rY90mtCSY86ZaXHxTeb3lmF2uB8YwMBquu2psZ++HProhU6eXmaQc
l1B7lgIAt9Apde0qgEq0P8xbQA8+RkBUReju6aOb1suhM+BLueDIEB8NGyO8JtfdrFsYwPEK2h6V
SQPKWUMXPbsRZJm5to6N5h24cxWBaQuWKV07oalHu1gMLkmbulnnubbJ0uYRMsmzNy/XKSrQKgKc
stXKRN8Y+hLv3Lp4W+z0a9r01i6twjaYCDMiPaTaVWP630Cz02wxwkzlM6FSSCs2mDDZ24g1ZUqe
LMo4f0chB0yF5OdGE1hdrqO52IeGYuqv0loMQlEd1QfZO4eieTPHXr1JWcLv7RKm3LKUJPxyPgsJ
FUJr0D3WHk4fiCVc2IGe8+8yo33Rup60rEsptFPCie0qyb7F4x2sSHFsnbRot6FIn1qS3zelHhdb
4b1HfqdfzRFtDnZNA0NuGQXjIUEHajSS5FyMmcfpCGB9mjH41onfPuolGAuyLtl5IUq87rrlBqEq
33pphnoYxs4WSnKxttG5N+WMca03Nf0uAYu+0Zes2JAHiIPBxtsY94I0nps6B8ME/0h8b9ybZnTo
7dE8dpo+rDX6c5/wD/IqUrBGKCt1ITv505oTUbPSbSVq2Kn+JNlkok0YDt9c6Nt9XLuBD6we0kZW
PmSakJgCB/3K6DvObr4D6jGYtCzeOCyfldrlBENeZqxBcQ7yo3IaInXML9SuyyrBKJ05J83K3hPS
XkFagiYbG3bTgzdCyF94Peuls/cuAQMO0fr3GX2LHrzKvmLgMkHS9A86rigMp86Vt7jEdFr7TANI
s8GLWW1iggyrZcqdtWWBiDMb/2Po83Mi0dOM4S7HkgvJPDF2MtG+FdYit3m7UNjkXicTv75z2fg5
UN1Lqyy3bsQGjVRsvUZ071axKzy4SMlbU0FQi7zloSPnuQfsjNwKYBQpZUBW0j0G2YTzdYujNwBz
1t5I0wUpZr75Df43D9sa/u+OThAzjuAC+ptBYv7mq0blQfNt7HIqqRYZnuw25QSeG8YVpCd6w9F0
N+wAYan1nO+J1nn7WOi3VW5+dZzuOo2s9NDZ8zMLSjZ2idMHuRTOYdCT8tH3xy85TtV1XbvfnJhW
6zFEXJii/NE0hqNr9e2p9igXqIhh21WV3ygEGabOuzwO8eILGCi4Ir+37cDy00cqs5eh2lnWkKxD
WN2bZurza5lPLWQuOs5sAc6NymT8xvFX8hr+o7Qw2wNXOqLODduRxoNt7+Xq2MIjlsvy2GAlvOvg
QmKhmaGfoStkE2FIHOr5th1sIOWg1ThBEcAFTnOUTXeIWlzRHCy0FbQ2c0VWUl/HReO85tn8MoXD
sHel+1kNQE5iloMkUvtpB9NU20YlBj+3GP3bPh/v9AgODPtJ9YNPN3XTwRSyKU0vwjNE8GozEXye
aQtbcUEDphdrXwbKxkmrzJ8i4YAvqNY4eOPScq0BZSrD0Nlz/U2uYkwouwhGG30yGoFyWtdXHtLD
LmFbso3cSWzNHMFutmpjF7npl2nknLFo3qPsu2OXNe2q1qLvQqvdq7zMw61GH9DKqlG9bDYAG8Mq
9CuvRvGqLO7kC1fVbeu0pIfwS4jyHRpa2T9ZCTDrjM+sBtNyPxNvw6Y7ExappueesjaXryK5cM6N
DZ++wrsN7dbHR+vGZqa+ZDAK7E7sG7Pi0Bu4tWOGT2KYQF3TZSbbzos2dldx9c7IiIM2UhjA0D4L
q3Cd9rUaidaxQhBj5/oBYz4+wBU1DokW4/Wr26Vtf+uw/O94/XfjtQvG+a/G63NcfX77ByvEt/Lz
p2zmb7/x9/HaNf6p7GsM1yw0zd9m6N/Ha/6T51skDLgtObxP//bXWSbl1wZ7WAeF3voN2/Kv4Zo/
zsLJ5QP4INL5f/73Ty3P3S///x8UBd5VSdl3//O/hK7qHX8gGEHXwAwLtZqfgZ8LeNLPg3VDy0db
+LirNbcrV6mMK0oMzD7ZRB4rmMS0XyZErptcqwkPD/ULnFjtoE9ETSpIvrQtxdm6RmG8xzRRcj/Q
n+1QjxK1U0y3lQWenSiiOLRAHQMLKWKbShQEr3NPdT6iU8/GXQpe8s0XxY0z5TdCm3bkRMJ139rk
u6YCkts40NTWJt8HfUhOXN9JWrs1Q3hZcaPVvGWF22aCCbwcK1+/cwzapfx2eiMprkQLrh4WWb22
T753pOzWhYjkxq28kyvm3ZS4dVBH5Xc/IxphjOdwtilvSoatZWY3g1zurFQeuZpRIJYCM42TN1lT
XFNh97f7DPyI8VG5zksju22VM0i1RSy+hI21T1rPWSmr1qaicmlVaiTYevGSjfmbq3NS0KPprLfZ
jXoFcHaQo8vy72ldwutkmN6KnNiSKBiFWTcjlU3jYySms1fOOM4Ykw5t7n9MoFh3RmztKWM6ZtAB
DkueJ4E2YTIDOw7vOrky48EM5mym+E+ep9p6iUV2Fc35W9ukb5C9T24sWmflWN3G4glNlAJVvbyz
ct4rKfpt49MAyYBxxVSHH72PubmY+FjMihfKjMk+cG1TSrceb5IM78mAF+fY1wkQBU29lnHxhthP
skcu2Qo6IZYqHovyIbkhNHGH+eeuN6fdEC9H1i0YVqC21S6y2JjF30XOL7ON5CbL5qPJm7P3Ko4V
acIzrCz5vIQ9BILeybmHCvSjjgdCf0nB/loLQOT0qpLLc2s1Iaew+bGAVDbLcgrKmPIakKdv5Yiz
BtrvB+y048iOMkjjNjlljfuSzPq714hbcNlG4OAvkGa/X+yh3Tfz+LgQlUqSmvNHK/YRV/yVpnsM
0j1chIFYsFNJ/Ees8QIOyoItC5+EGaFv1YAEo2pMfy4j48MXE8sbUHE4tvIrwx0f8Tg9WnP+vdAJ
ZOlO1a+HYn4UIZmCLCFAlZuVv1kcDXwvZNLg8robpXOiXfcFeQfatWWfattyt736fTzPVYxXbTUJ
54Xgqdw7Mx9HzZhPtanVX4Hy+hDXYza5sPiQTfnY5XMUBhz8MOz7/bhvXDkSiLLHQ1c43mEeNYgJ
sczp6ayL25KSU8I9+UiTSdMFppaLD5Y3X+XYOteGl9WKBFMlHCNb+Jnp2oeEuCbnPL2FdDAwZ2AD
cHYpgOPnrAyfi5l1yXqxaFfC15gEcxyyV8++tgLwZjbnHEBYBiKfrutetpvGmmNj3eJDZryd2+jK
q2ilcNzmlGvxXUmoewOV+rnSILh0jDybcbDf5lK2H2VJSwblwvGG2C/UXlZ39eI72BmKYY2hUm32
bBAXJR//JTU/KgBOmLcKDu+4EJzZNLbCrXjf8NOuhoWPIUtWzuLUwd9aujvsZpMPnczcF1dzToPZ
TPS/td+1qT1aTvZ3wfc/XMV9Eyc2Li2V33cvJcs/WGXw/FsUimbV3ho1NlIEDsGjzKfEbm6W0HD+
xk38q5fY83zT54YmQFxZhA1+qQymKmMoHemW+4iv+hrwCPlAEaOEc0H/4Wb6J8EJZbr++e7kC6HM
RBiVSBdd7l4/PK/JdWeRQj7dm3325iuajbocp8bEgR73aHXgn/TtXz/mz1IT7CwFNvNM1CaP3m7+
zs/0w2NGovRjj87OveztmDFsfKxmvtiUWe2xEeaBer55ziGn4+r21w8tlPH7D8/XxzMPPcE2XOsX
Ezpk12lJpVfuOyhR67QqPFpgHNT4Tj+mVZrtdX/+mPA4bbNpxH9Damvd+hwHSSF9xKDTonI5Yt/m
rivsve8XLBcAwNJUeZwcLt+ewwyecdhoqvSmdNptwSpxLqJnHa/umkztaaCJiWBhhZ2R/NprZOOJ
sOhJWP/1M/2TjxCMCCRFwzGgNPxaim7miV9guUV8M7utVel3MHXvCkW9/JvH+bNXFL1QjVZofniH
fn43/cnwZv4jn1UfM2U3Y30xEmuj51yES8dnke9lN32kHOqjvHN7vbjnYAP9e4m+NyPXZTWqpBkD
hGHORzCPcJCxa9HNdRJAlGOPy71dJ0UQRWDym9mcX/4fe2e2HbeRZdEvgldgDOCxE8iRySEpkqL0
giVSJuYZCAxf3xvpcpUsd9ld71UPXmWLFJkAIhD33nP2iWxj3heRwXA8mZObQbTdY5lNL1O7qjWM
xDrRUywogXrEOmXyAc6ZyjDLuYukLuwnLf0Iq+XFJat56Tte3rV5iGeCB+IyId2LYRzzthsK5Nw3
huVBzqBlDYO/G17P19ampSMRivzNhfzZsrCuCov2L65cV9IJ/mnNk9BeNZZmlodlBBrAcWJiZ2MU
62y00Tz89U3jhP2nVWAL3lMULhIV/PrnP6zA1pgTibW8PNiZeoSCdWLM/jcb5nUl/bTSpKMbkCv5
p0e65B9/BhAvTMro5w6Vp+pdl0yGb4UL3izjnUpy3vfASZDCYjox7sbQi7eyzE/aFH7Gl/1G2A8J
v3RiKT1T86BSXuIxAv9NPRe3uh59LM5obmUIuxfn5LJJKYI3g1i6c54Q+uHWzy7qlI1DnXfEQg/D
yObcgmMEyBrNvx3qDSS2HtYE4PwrmD/5sEsewSbJbtWUQb5jiOc6KQdUHTWdDRGvXCdASvSPVWlg
0DSXm7+5J//HiuVeeEwK2YehyRh/vGCEF62ydSI19ZxCQWEx85MeeYGhZXxm0owArtkpjVj3rrAd
TKtdK9DCFfd9yrMcZqj1nXLYjeGCpcLRq2CIxSvxe2ZAPv06pHbuwgFh3RDadzGpHYHdshPVFYon
mc4vwhjf0S5vILx8mkxOhx6aGb/VCF2MBfo0LlONwm9v5uPeq8fHyIZVnNJQpLZn4+scBRcP/xCh
FBhRDHt58WpsN399kf6PRcI7Y/2fbjL4uHrmfnhwx4hsw35U5WF0SxT9lB8oCPc49cAm19Hf3BGA
jn9eJyt9k21N1w33T2uysczZNIgKObRGV8KSYpjghumJmeLB07k/S8UjucD2QBLCNpWmnACj/JZk
gIUJRujAXQZliCGm2Xp4VxAfdgT7zi5pMrDu0AsA6O782OO0j57HDMy6ey/S5XHK5xviN3gZ85hF
ZvYN8gGn1BFaNNjoZgDlNlWGz3F1q/rU3fXc0mt5uViTGSQ2X0gI7MnRELKl9ah2dTiQI7T08XFy
p4drEUQ8ET2XPqtO5TA+JbCEA+D5cHwaSj17GZ/aPhKb2fKgAKsnI9MfyD47mSanNV0OzIOzmU4w
bdqC/4LElweyHtROt9puuy6jbrLJkBufyPOkgLAzjfVUk/DScFpCIX87NZDIZM1Xk3zy2qQ2S6xH
2g8+472FXDEOXGBaLreJSc1CtimvjNx6TWP1OJoWOsIK3wBMbDB6p6VA9cngnvKnz08Uxfsi5M2S
RIoHk9XhjP1trttf424sT5lu36mOhA6jnf21MIJbkOwRflQ3sAfu8t56NRho/M37+Cqm/mk/5Kxj
Q5dffZ2m+Ok9SWMzbQx0NAdAO+/06B87wXtPUWahwUiD9fx1LbWr3tN3vcdJ77rmy7jfzSNptk3K
tzWkn4PmS7ceYysX7onErB41Pm67cutNw3zIdeR3KoEbRORcsoW7Fr03Wu7d1i0cwCXivdgvsUdr
O+eUL/G+aOwxaT+/EK8Wb0Rr4mMSyeBPUY8G0OVkHVEY8j6MUR/5acQxm/yop16xgzLVemyZ19Fv
z2/RbzxapBkjYWSmTswnHu5xuSF+8SkNCygvurbQqJ3fnQ4hW1v3j5LqgLmdc6d4iVBkDk/oax/W
03wvf3+//rfD9jcdNppYbGv/3rXwP232rey+dT821377nt9dCx5wM0bXIK6tn3prngX1mI6bYyCJ
g9Lt8ZL/3b3KwJtvMTAwYytltszr7h/dNdP8RUAQs8FAMb52XZygP3XU/qrDBtfyj7u0rvO3CVNQ
lem2zW/600ljpb5btTEAycxduOe2pu5IS1b7JSRxmIgJ+4Cfilq/GuGw2CuRBaHNOqVbOS0oq8Vm
WNktOUrp28y2vLulDM0nJ01JmHew5QdRZ8k7CvAOPJFKnpiE5PtsWBHxkaN/rerQBTgARIjakXhX
iDIYt1LEHStmJrkiZ7qhXt5FzSaYAO438P1lxqe2S7KTtxJrwpVdM1BwmQCqbiubshy6WRGg5ohP
uurGY5kUAHAKzWEQtlJxiisgJwSVw+Q039e5651nZFPA6qmcL5MGlobIKghcK3FnvsJ3VGU2O0OC
2NFXNo/uJajTtOxBJ2zmNjT0p2Ul+egr06dsrBXvgzQHDekMrmKl/7i6AgTUFjCBAM2B6UyluTUt
G2RQi/V/b+ei/j7CEN6ZLZKZZqUMlStvqLmih6YrhWjlEXkrmYjUkCIQK62o143hc7USjPohHi/9
SjXyVr5RCdznEq3MI3NO0UGZ6XQBBIA80DCSHfRHKEkTvKSCyXGgykjuakXMLGAjPgYC/Q2RIDkv
CahLzcpfIg52PUNR2oJmMkA0WSFy/QEm7SZb+U0dIKdiJTpprnZkQAbjqanwVK7cp2YlQEUeaeZd
2ic3ParOPY6e8EjIQvGgX/FR8PUJ6Z27cM1dTYebeiVNRTPMKdkA5UhXDlVY4y2sSc96QmGb3EK2
Erd06EBXYURMPoe9xVxsEPknq7JqMpbIRNiMTQXwbsolNDkcI5dllsltFFnLbpZE+ZDhCjmrvEK0
ypWnRTKvOiMJFA/eStuqruCtdGVwMeGp70LHgSq7ErqcldVV1E7yZXBl8tqsJK9yZXoVK91rWjlf
QlPmjYGK89CuFDAUqd0TWmDPn4ouPwJ2OdZlCFnDK233zmhq4wvxRs5tE8EXS/S8PqRpTg5VsfLH
xiuJDGaLsbLJVIVmWxPwgGK4ZfHgIhqeV5qZUYfyWwPgzF5JZ9FcKyQohX2smtDayZWIRmsE9AaQ
NLSz4NK0yDK+SLd8qpS5vHQdVLVl5atVV9QaDS7tZGvQVTnJEAYWX7Fs40po61ZWGwxDsG0WuMN3
8lTjPYNaYvtWvpubCDjWpoZoWWXFTbpy4MaVCOcMzGsJuSuIye76NxMhertBgPvUA5OLDKhyFXi5
snQdHzMmAX7JSp8zVw6dDZDOmQmxd8KlPFpZUQVdzRt4WAl2RL0lR4nWdjejxw5khyiQc1r6SHvC
+nWZENWYWRr7y8rGS1dKnhTa9CzLGhGfUVQ+NxScXhszYCcBrH7Q2mnHbLm5afAtp77n7ew+LeBO
QUmjIAVvlV/USu2DOVwF2UryS1emXwl6EkHpKBQeB5h/5oq9Ys4ejGKS+0qHDKhyfSBAmhHza0+F
XG9I2QIjOK5EwXJlCy5dle01krnwsM82FEY1OR5mbiR0EVFypAh3iBCrgc48s97nCPVDyljaI7q9
jRq2uQ5gITWEuInqpr5Fy4EoQ9deYa8xro2ixdwmuYc/xWkwFrclYl4tIYeDWLdcdAKsITIlI80q
Roq0vsMq9i524TrHjpEz0v5I6y9Jr0GclKVvo9L95qQSNAvUjwfROUUPDMYUd8pdNSthAfGLHE5n
W5iV9+Lx1rhbrDj+jAM9OReL+uotvXPgjbj4RKyou47TF4/SmJ67lFS1fta8czFY7UOfhs1tKsbm
RQuT/K7LinpbwYPe6WRABwuiB1pijfk5Gwvj4PR8yjZ0q108pcav0LEH+FJe/c0ym/XlMiyMG8DC
PPeGrkCCMR/YIReMYOjG2Zb0G2xkehg/0MlmE/cstOtwej6JgUtfxvYSkGZdb7vJcDn7Io0NpryK
701CGnnQ9BFumGU33Nlh2c+ROezLZOqPmbfUz/kQ7hNCn5jvh8tDpgi9qpXCVj/3YkmZUZQWSsVp
5zSVutNVZJxAYmdfxwZyHnlLzJt0Xrf0T6ebLjTqg6SNRFB703pfIBglQVGO4pX5f3hgZ4qPYY/h
z3DshwVG+3uNw/JU9662KyLZ3etJmR9tSwtpzUfdJZ9H9zmCq7zTRSM+keUi+HEy1HzsDs7OjGV7
187NW0na47tYBrb/oe0XAjYnCymROeo097A+ozO6sUuxVnZlmyDTGCp8PJjHSgQK7GiJAMyGo4Gc
1TR6GmwOIkzwGs7VJenrF+w8+aGKWdKbqcZnhye8HUEdhW7z4bV1dlR5jNCe2fY5MYotTcniQaky
O/T28AWr1JUe18DbG8bhLeudL3YSfxPh8ME8/YtbTY+lvjDMWUYKJ7MBCUnW7LZtkidsLPUJfb18
UojIXoC+le+gK6bPbcg3qhJ80zcnmXsqxDriU2AtabpGERXqTADTbzlqlRHYNCODyAzLq7e2TpXE
58mwJdCxaXAfmr6ZndfOCT+GZDbdQ65Gbhx2aAOLCpAPP6zEHmNavewLstFvk7rRqi81GyhnL08F
+hRmxMfNUXFytawNujE1Ag552Y0ezeVpaBP5hZDq5quQYZQ+hFOc38jY1tsnplhxuM+XLMcOPXXj
UqGh6+30u0sEkfZsN4ywoEwo1LyVlmTVsZGJSf6pQLrvVQC+nO4zYNSRVmCUB2LmTvaR9XnSjPHg
JEiH5qIf7vjKaeflkuNkHoOrtM4DLS64D1pFbBnhEy+axB3LWeS5XOJ8GzuGpDb2tE+xlkRn0Ai6
H5X6DJo2au5a7uZp6WnLxMn4zcq8+dQiL9p0loYrqsRMCkWQ45a5MDFhJt3eJFBHw10miWtVVdgf
XMhZCMjdZE9umvCRPF0YDHcB+Y/RcbGi/jiEiM1bBjqnXkRnsN45Jgq9PsNt6IMZkdfXATq770IW
3CeNSnZpz7xMi0S4bZOcIU6IbxXqOaz1Hoaaj/fDPQwCpUifG8XeFqH4YD7JMbrO6mTC9Yhx8rvj
kkr8ucM3JLv3wSKJDZNNAyKw95MmT0B5XkuT/xZxf1PE0aWlX/DviziUsuWv732CNuzHOu63b/uX
RmJVF+uORJpsGu7aPPtdI2H+QsuZ6Y+Jam/VSTCy+Ucdt6okGNkYjL5+L9Z+r+Ms8QslnGO7xGcz
QHL/QwqRtdZpf+iQSFYIKg74OZLUp59HFjT1KTXR6xyQBeuBESesq6X0fLvvX2cne3MF5U1dLWQ6
DZPnQz2AVTrN2QmwZe2L3n1ylZudtLzPbqchPyvX6uAG4oVqWnODDZbNN1UeAWMWMbOcP3aWWYiA
3RLevdtAKfY0Ci9nYF7rGZc6VCIQaMkgSbvZVm/ktInoAW5YNMpP8fX4gvdLkGbdq8o9XgCoWZua
vhz80TdHq0WQF3x5prMfEsLcHmvVvupkhwJMVITVLba2LUL5oo3iEf77m2r58Y6NBKRCIhD18FEq
mfjSMS7kehEXUPJ5nHrqt6JtXh099TbYHUp4pnw8DGcMMopSBEqTx7Z1j1HZ99i1uDTA8slbYB6z
wPM0Mg2VqsOlrNy2C0TDX5orLoEFvYWPwGUg16BISKULW75KAT70VW1x1guNbjPERnVILeBCVc4G
6jQwWFVmXVYp4Xb9ztSCtpF4IF0XYz1Iz1yCOjf7rd3ryyWqwEMTo7jNVyl2HmEvsS3GK+VokjrW
8AuZtYPzcYHf13mcOeV6PKzKj7lsqkNjtgasw5kjRDYDOfNoboW5hhGqxUIjqCXMEg9oR5yJH9NI
3Vk4pFZqNWVr6nVPIW1yMEpgiGstBwS+iIVOMlfPJIEjGG0JI1VDc8xDkjQzdYbVdEEteQ702bwU
yqUhLrynkUrYpyOqfOQOF5XwS0UplnYqBdIb06ELYKROJ+n1xlbV61PU87W0/e8SYgODpuqMrcQx
6juhM3GZeLCGvEC7Z9t3PM8fk0eSJC09d5OPyRtTI+79wr9BKp04N2klfVu3g0tS8T0FV6nTKYoM
WYODbzrPb7v29Xq/i8hlksCx2O9HPm8U88hID3hL1XCwGPAOnwTDFBY5TzV7+cYlZNF3JY8KZGRm
YU0/P+cx/+q46Zup84uw8jhMIXK/G7hc0pJP88Kdx1DG6pJjeBoBldzGlCQ+ioxXiSTBRy2A7H7g
YXJZjdeLUdYsihFTNbDm4q0AgrWFTN6csDjZWwtMKDEmXXiaKSYfcQDUPvmDWH4giPlmX9c7zKHG
tiUtJChaoPGNUPwOUdzduB0TC1os+tlswgQky2JsM8mipFREMou+k5YETxkoFtx+IBddg4VqCjYC
V/Em50ySb4EBf4B0Si4qBk27Li88TMtB6OQFTlbuBkMF/aUa6AaIgtttxR6Sn1iU+4kzzFbp6zLM
3Mq/3lvcuCYhLWT+KhSikc4jgObB882Ra3N9yq9Y+ooO7Z6yIdvORe7tHDPOg1Hjcb4+AOsTzhK/
JNZS7pFqeL6nWN/W4q0Ybm5dPxDb0bc8RvSWmAukevitTmztYMd81EXjZ5WDrh2gUbN72ckbBzdu
gZ59UP+i5zJZPQKPg1/gWvSNklAi0Q7lWSZiurMnG4B++qaRlrHR5FieyR7NthyQEp8kS5JYbdYp
Yicdbzqpt4goYYIVGLs0dCY+GnZ24rSgEcnmoC8UxJO19+K840QFfD/UR4Uw3iSVFHhC0LakCzVG
1x5HJniBLBm3T0khIIrZ5lYj48uXkc7mNnLrNIlEKxyMC9B/d7/oJVL1ns2ktpTyIZIxl1D8CuOA
2YIlAuXUZQfDyWL+tjcZHkzF66JViaPoJWhP/N3xA+lOImht62LMK6Yt1FDaUp/z2mG6MjcTM03O
iz4gVgS8jSjPk2NNd4PMPiizuDQzK+B6rQGwZEFW8FcOOvfVKolTQuqN0xWWJYBkCiyZa+GDwXEe
SEaT792w+WhgVUj8hFsWfb2JEvYTC3rpTm/bd1do9rZcFTdVI18II64gy8YP2khS6qrOMUGjneZk
Yqyk5V2Oh22YxdbIRnBKKIlX+U++fIWYutLkORE4W89dxwbkPKYkclVTQGHngTYTxpMdQQ/t3LFO
b+eoG07JSLzUxhQhqqMw0jEipKJJN3EFlJJkTAcHMYdPWnEtIorUn7NebCcYdt2WcrlG5tU02olx
1DcNI953IH3vVgIfdxOZU/aBGExbHHaJZYH+7E3joS9J5fGKbCLMudUakkDTljWfIsPBPE3mgKG7
4a03IuXF61uOBFhDxZXHEn5hcejnpdde58hSfoxoIwdR4pn9Bpc2bgGSKQgSt5VjIKQDzaQ9gnel
fyedpx+OYg+/nWB+1ICuk52fzjUWWhfTAZyDzetna1XOhHuxQAEeZDJThSzxR5LxcjFL92lowUHb
PavOSnjS//rn/mlYKpmDIR8SlNNC/qZM/WFY6s2WgbysHg76eN3sWINmkn0vMT9QkWYff/3T/jS+
Xn8as35mAbongFZyFX74acsYaTDIy+GQzzwg60nAy2iEIugQv32u/xYBf1MEGCaCsB9uyp9ibO5+
Vd++/2RCvH7LPyoAxM6/MM1Giwxn0tPRPP+zAkD/9YcjP8+L5GBpMfgmt+ZfoxsbJqnN4yRciwMI
4qL/ZHQD5/SPS0OAPF1/DHk2NCCYjq6P8A8PTdxbkyphD91KUGcvEJ3s42zqWssAmm0VulqzhqZV
J5C/jb6p9EbhI4o6pD0MPQaja86IoQfj1Y7x7FYyb+MbpKPUykbdTHYwgD95MZWlXvusaAOc2csm
rmdj4uXpYliv+7QPoC+Xag88RX9kBFN9KVWo7pfWCyealSXsuWxp0U80eFF2SWFlB9mmBb6IDNCM
rOd+73j8ips6TicAU1GFBEKbIQBZ8ywd+nYkuxyA/C5DMGWpeEsHWOqbfM6y7w2QrPskslWxGcdi
ug/DCqQ/EBI+OyHWa493IoP7WM0tvf5FR6uy72aDPzU7lEGnwYX608R2Mx8jHIhIL4p5IpaGXxDh
Uwh7kYNeUZgXw62ri2el0SMVgLpv8OvUKUqKYIwLN0JJUq0knVYeCi8vG6K4qiU60OqbHlp3yMj/
ttqpr2/NzHjm8NXLBTNPKKq+OYS6zeSnCAkylHtgz1m0ky1CcXSaeM6gbWQlMklTLkXJoGdW2tHq
rgHC9TVNGFklzMJsmyCKy6fPXZ1zCgBJWCInh/OM98hOQjWhFlYQSbZ0OluPEjBqi13NIAAXFqNH
J/LBA6bhfajP2k6FdFNH3+44BHAxByX7c8cUI2aYIxxZHUQ36uGN0cZ5GFD8qPXBIR0VZI5N6MiE
ynOTFSjlwZz1w1CLO30u0t5sN23XqREVRzYaY6e/RnCWjeXLlPCqb7/3Y9MXGJGyZcnDy3UV/3fD
+7sNz2Jj+KsNj4Dwb+RV/3HL++2b/rHlMaG2mKtI2wDYjdJ1nVD/03fNHFrwUiZPCykRPL5/7oCm
XP+EczWWbeMPg2sAvwy62RivMuD/bHC9zuF/PBjoYp1/G2iZ+A10oOI/SUJaSgTcBnpzWnO0A9PK
MS+qfmcWvXuxIb5WR9tjYUPlixe4Sq0zaM/x2uvE6WbQ95y0lhzMtQRMwr2GC4T26NzkN+Q2JulD
D4/+K64OOqmLU55iTGk3/dpn9daOayOSpDiR+kgM3dqR7VVantNrm7ZcO7bEda7N2xmPFwwDH4AX
rd3i2uZV15avK2LwJdc+sLr2hGFuSXJJaRSn156xiYav9L0Irt831Wvx69DmnMmqtmKTqDvcwefe
FnEf7bS8gCsEFT4BQViMiWuOdwSSoCrdkQe41HcVREvsjFPXSl+WMy2GQ985ZjtBymoESbUlugAX
L5gBec4G6ymL8M41CBsbMTpzPeG+zcUwgsxBn4PPW4H09PUYPfk71D+6yNssRjbFHJgQVYJtS1xp
eG8As2jzxhlKk7LRNbQCCxpOwpx20UK+TGCnZBL4maMQsfstQvtYZhtSVqsl/b6E89zZmd+TDmIH
KiJOdiMNS0V7I5vC9k4W/erzIcYUahjsW08jEkxZLTCVuDzGmqb2EZs8BlZnSGhQCERmejledJA6
O8er52+yTgl4zYecU/YcB0nVEWXrFtmZPpK5r/AMHauqH/ZZqcjHacoKjY3KV9ff5BM6RkxrUWKB
ceLo3jaAI1P+TgETlCyweiqTFKAXrG5CudoVvhKWGjkdWQhjZ9FUfZ+nzjMQ7+hiRk33MMZKXnCL
qy+8UeAaeZSPbR1PF56HajcDj33BHR0+YK6YP9MT0AwqsoE5gYR7OOqJxF6RhS9xPZnMnR3tHiXo
am9tSfiidWaewbmCFE41OEhQtrP5pW5cm2FK7jwz6Sw/devoeFOEMdQv+ATmhOyulZOPO2U5lsgU
Vz5uV5BsX/bHEcnXfsyz6MWsK/PGWyRESL22xyfL03k7u3UbpvjX2/xDHy0H6qRcaL1EdGG3mVHB
fcQ2RlzdQqdttJ9SElW7dLDooZmTPOtQb2HiJEtOoFw7qPshiowbkLW4Byxv2PQp1C06Pl17iXOn
fKFSKvcqlPXbaMSfdUa1fo+S5cSdZixUc5qZu9q9XeZ8uoROF59KDKsUqebyOphLUey8cTLe04pJ
qbaUiASaxpSnMZ8oNtP6V2KYw4Nui2YbTxk6UEBVONDc4ZVQrfzzDMXpMx6ZxKZYdrPPjVbCX0PB
fkA92O6ZIRgQJ8d+l9TOzViluKxdTNEpdpH7kqH/aZw6b0TUmKUgjUhku9fThFmXvaTxBlVR8lCG
6USqbD21fhXR2FI6dWlsu1O+YfxK80Rr5m01DjV07pGu1KqRRNYQ+5EmoCV046kSHuzy2TZeLKmZ
973WPidL+ymtNfl9sisIzECBINbZIzIkjn4L3IA2tW4KMYdn0YODcIAeBVAaj5SF8nYe24alMXSf
FmLM0MGK6t0ZGBLWjJMe8AEvb81IYspG51BC2PNY30R4lZ+jGMeO0+SGhSCmmQle9aJbCzfyl97W
AhR1HKUygFtLBsDBT6f2NCR19A1DcfJrDirJ71Rzhh01bm1nnIIY5tyrQXfmYGrScDdAhuazMa2J
b5kzdmgZ8Q9tMivmCNJgAG4rXUPDINzqkqUdYOK617FWDZOOnjEpUVmGicA2DJ5pOhhxPz1WowU9
EM+D+Un1ofvGTBl61ZAMhum7Ob4sspTnRwan7rlSpf1tsBFB0h5tHca4OvvcIDjIRnDBagQKMQ2U
kdAgCXr/ada17k5GK6EqGswx0E2bkNOOUS2eCoU9kWCMs6Yb1R3ky4xH1CbDT0zvqD7LRx3LOkfW
sPP5SyOap2F3JFXS2/fYjc6oVmnDc7x7p2q2PyrN+s780Dhj3up6Wi/w0HIP/zZ+QRa5lt2OMBNu
PTPLzjFAxpTO+nssDIBbIq8YsE7PlWg/Mdpkjq+3Mcx8om0TQAfwnnR7L0jOujR6W6GfNmKTPtTY
YbyJ7/JMRTvs4iHG+Fb/nDQ2DIjIFjvW+zs8VijiBifNuMmrp4hZG4LNtj6NKZyDtg3t/NauaNHY
Xaluq1JEB20E4LlxCqffW7peXXhyi6AU3viQEIH5vWF+SbRvrYNAyi33JXJC68RvSB71WMNPtyGH
oI+wi4cihLadY6E66rD2fMQOUzB3IjlryH2IsyyrfT9MQ2CR4/jFaIlIz12MVEpmX/tOf0ubOvMX
Xo9nNRbRsHG6MX6w3AbfIZKNYCpiGlzm1H3o+I22WAuHT6lwcHZZI4CxyM12llvRv8DP9mlFit05
Qvb70UOxMndJe0/2tKkTQoj4aEPouetrbawdIT2R7wkEsRzfWmHlX5tpHHaM6bPvhSt1yHjof9j2
vsZu/mtL8tXaTpcMMTPauzb/j6QcbzNjlzkAVxJHga4oUIlu7DDT6uel1tJ3LwXI3+extu9tEsms
LswvaQ93yiBJdEe11xwHDiQMGnLvYCJl2smJkxeSFHtP30jdJAUeU3QA4EF6XdOYDy899pBKbU3c
u++9PSI+s/KnZCDoaZhj5zAqs4FsertY8JxKq4BRVXvGrtLt90bUF9QtHB1Ad/hWuuzZorXNbGqv
OGTmTRzj0QcbywkjF84WCdodeuiLFN3e65oVFkvMQZGNDKHKR5f84RORq9GOetndNKgukXuUCAji
+ASRMtqFFubeQtMevY7swpwx1gH9GZISE4Z4Vj7MbRJjWWTgDTC49J18xlI86OQCwGzuerII+6Uu
AzIM6HTGA3nKqKnYhKV5D5zM2LC3y6feMpLDkhJZjez0V8KbtC0sBZTtBdwqI6ltXmRZzPuAnAgY
hkiqirnZ4m1hHN8xMKfcJz5KubyMCcRU9qAzF6mH41S03iEFB0Src3FPRT9f8sT+aoXy+b+11P8r
AxlhLPXHvx8h37e/cn75cXpM92f9ln82j5xfII9jo8cneB0g/6uSMizoVgTHuKhjQYD+OD52fjEc
OEQenhYJpOqHasrSf8HHYUkUYg45R4gl/5Nekmn81O5kSm3aFHMGWc/Y0P40Ps66YcnGwUse0sxD
A+VDfUKz00aZc++FtWVdLIf5Iup0ARcyDD1E0By4E4eIDlWN011zbTjIrMk2HWmzvfnITrR2JWwX
zyeO1AzsR70KdKKlFONDnzfieyHqUUA/6cDo+i1jWnbwQa8igg0gUbhqX3lWtMW4m56KtNQ/1gSW
asPydt80I2ME5dCql8iRYWRHC+WFRCLojuE+gjgZmF4u7rMsqRQSH2cYKHBadhgi+Fp7s5iW9oz+
7w3/XRwUtsbEhTScOwfB0zFZlvRM3h1yQhbZ1zFlcgUqCmc3Qrn4sZVuFgddNc0PalhCL6gN0NRb
Ey2xxqRu6d1t1+R14ImYjho1YqSuGW+j85aMqn/uYOGkd7YxaUGHaOY+YUcfN4wcsAzlzswmLGP4
k6E3eSBdRZ/MnyRj/DLgTsyv4cx2sIIcCQ+Ft/0JNFnoYTadqblmfv1j4oTxzTJO0yvpm7yimawI
5tmmwkaTQVEUelroO9lTuoCNMevPc8vpEvBkyolCKkwhHWjmjWa79QARZXEJAhvlAPTE4pEgHpeE
DnIquiVI7a5rAwcG6Zee2tl54JMYguGuKqbAy+MpQB9lbjvBkajAy/whW6BKcYTxrEss3FaRCf+4
SQZGgrG8NIs1QQSLswiHc885zQFINlf4QUXR6BfN9kaSAAvnFFrkXDOIsJ3vY+3pAZwyhjeMgHA/
z1URgz6ZGcrsGtzfZ4sQv/lWIDuT9YlY+9FluGqXnQtNJS0AoxQkYNcPFuRjAAVlgjZbmMkMejx2
ARpthqKzzqAMYHVtYqSdLj463TItUjO4epehi7hXi67kp6IuyeuTGuOWl7xVzKDQy6+NWA6Fm5bc
nMI3p0l2gWNEhHiuRCzv7NRR/L3AxF7j15GZ5C0+F9pZ2YQMrS5pjoCam5xVSfa1E5bjNyTTDgfb
boQWV5egvqZojm2gVUZJAnPuiPgAzp4pnce7luE+oaG6T1aJ1h8EcN1dGSXJQzLNHLLjhjn6pmrD
gpUdunK1bs5JH9ABHUYfxqZS52VJiHwk58j0q5i7GdSqAAojSq3FOUjNEj04pQCg2vISk7fTUtB+
6GyxbzP8TTHB3nACdEtjbCo5nMNtSEiurXJFrzHMqXJ04bRBkbvjq5F0nL1AOkUnS3SPy4Q37+IN
2ru2eCVrSnMqusp2Ott3fWV20KqauOh30TBXrxOaOWvjzkP8tHA6A1UU1m255z+mK1oVNceBnWj+
ZJF9XR0NG6SQn+S54exzERurKyc0jyZT5A8M+c820/2zmdjd8kllhqoP5Dvo1bEN5ylwa02/MTsi
BReY6herHFmPoeWlaNQjdjN7EOUG9HG6XybTPaWai+LCHbVpOk86sSiInssl4Cdle9cNu22uR4gr
E+5VtYuovgLmXeYFbIFQO3NgjI0N2LipnNLbmm6qITtLaphIVjzpT/ViJQEEfIP7nJFS9dY2Mv2W
il57NttcfVml8e22rSyLtca0AE8EkthCpzo9guez/BxcfrclIihqb/gCC/q7hrpjYxtOPTOMdBc8
FFan2UZBUp60a3hmc26BcaIC8A34ZhF1ahuhQUGrcdDQClXbsC/GiORGG8kuh/d6cDcuGUtPOirY
F5rAny0eYQyZ3QRKy0MjenDcUV4cmNEBfjfg9UbcHEmckgIxNDKQXLNDxrXTiGwz7Ky7vDAGZO2t
LPTbsa2q26WHMrV3m/9l78yW40aubv0q5wXgQGLGbc1FFosiRVGibhBsUcQMJOZMPP3/odRtU7Qt
2efa0RE9qEVhymHn2muo7S9Nr76gXhih92D7LDYiBXTBOdbsoV+MmRpuaA6I86xFd18iWudczf4V
3wk1Ri2OY06hZ30obfKKXepOg1btFV7xU3CGxyR2/6un/pN6yqbMgED37+upx+9tWVf924Lqz5/5
Bx/PWRhvnm0KCxIADp5/QdO+DWoNh9mnfeuZAhD679A0vp/8Ar03hDpA1m91VVD1qM2wVHCAqBH9
O/5/U1CBfr8Fpy0yZlDaUp0t4i38k5b//6Y1B8VpmFMyew8BQeKrMkngH8UQRd68k/+kN+4JbAo8
ykaakryJdxB4NODQb9cxWbpZVQnIZrCLAlbCrwi41IfSIxCjmBvwamh/8unX116+19tHxPkJVIJ4
MXNx26AP+e4RE68olJ1jvRmTEpHTuOqmzagE1yUz9T4DvHiOw1JSmlRwiGGLp9+V0YMBei06rKIV
AIFDlu7JZSjWdmM0V0MOfb4LMkxpsgK7NrxLoNejVbgZOj+6L71i2vx/PIRPz0MsylIG0rs3aLaO
BOCew0MzQ2RRtO52pVE6x9Sf9KfGhqoYiRyhllHCnaIklk9TCFfHJUuB+0tDxeZnkTBCNbEyxznd
h2EygyPnxZHiLd+ROiYeynRAhspKBqOkxCP518/wT9QBvkPg05HmBEHPZWlFvx1qnWMPg/an8EAp
R4AOOhJieVu99+vs9ddXendGuHzxIKAn7gSLXPF9x8UFrcAHliuNmJ7iP9Lw8byguWp7u7kzXYTG
v77eu0l0uR4ZKTTLGeI0s5YR+GYSWaKrKiA3rhen7R0rCoqXIQ5Pv77Kv3h/DgUIxsIBviq28+79
hS3LRUGqPTL1Kd1jT/1KCFB6yLvg4dcXumR0/kRlof9lEYfqM/EgErxfFLIYq4dFvXHADaM4zj5E
xiRkzGjNh9MlOzYgGGRC+g75vR7d4CQLmJUOZLT7BMbtNRTH5q7VHpE03gjLS4oFshzBsg/kQkVX
+C3CT2dsfhpjOj1rezaxvI4zEi9XTsxFlCTyjzDV9NBZUPknb04Pv35INF/v1wX4DXhB0JXz4UmE
LsGrb79aZEUFMoNWHSaArFUZ1xRXMRAltUG+q/MO5MWuX1XRGhs3B/Vk8GaHolxMIoXsd7lssabM
0wlpQYUImuLys+Cwd3ah5Hz1p7L87DbethWT9VHg1lSs2gm9QEuH48EyUfAk5BnTkEvUJ8KmrQ3l
rt7TMxPZGH9lOcuRBbnubTxYKOBTMozYXYhqkZFFAIeXHqhoEbu6KTE0cHX2nV0HD+CR2TFDT4qb
UJPQDYqjbwkbz7rscnSQsDFvZSGmJfLDd05lAAttjMD85Gg52IlxjPIGry7QatIUymnhPfacwwrk
5dD8tHGLJkm/aDpeGHYk/RbLY3vvRk7W0UYCTpxz6cHUmx36mrb5IIeOOEWS018ltu64Zpqh1mi4
yLFcQVKDfVol6guKPsRZpdUe3DAsjpnO1GmGvXvrFVgH9EFahSu7TKfboa9Q82SF+wz9dcvhBfZv
lH83ciO4MarCANNK463ht1dliRYLz+qGNk64GG1V5zqSES55Ff4acYtdloGjqimz0/I+N3UB9RRe
IVqNGkRelPaTm3gToHLCgTQnkpQiXX8yiry3+L/mfEYUB26uRwIlTfaXdVZO9h5HseCIVst+bmng
fMh4T9WxNyGaN35nP+TOjp4rI2IkWGZobPsZaWS9yxPLgA6tMOBcTkafSA0b1nUOuAePlJxDVceH
SQ+7JLHvrKgctqxt47EvanSU6O6CVZtYLzZkFey7hLzTbXGTRm6Cex2e9GNccGaNkHtwABmgNSOo
sjhomLHjrLJQxWTXxDeIlb8mSpuHpO/N+0jMepu13mfsXDnEVfCQ2y5bG5kXPvZuRIpk24qTr4aJ
hmwerupxVlCkbWgaCFVW/UhGgh8aCUsUhzNRXlDRWl0bNKz3OV2wtTYCEnhkorkZFe2AUJx1kts1
6bFmMzK4RkzE2YYw6o0DlNnZtMRnxJ61h5yBWotYk1NvINhr0bk8Zwhr74a084l/1OjKV6aVyVsi
wfhChD401xoZ8zGpVHEQdmoe/Jrp4hmYVOdYRFtYGW8tWnL46CZYlPVJtFZmVn1rRyf+kkViePH8
Tn+xx3a6KoNgPOZjiD06Ds0ncF65b3oSR+AnjccBCcCtoXO6KIXmCIGjr98JRN2hPzcbsYiDSzMu
aejP6pMzmtXONq3kaOZg1Q7RD+tMY7ES2pgrCK+pTqmiHV6ZJc5IONKdsmrAXjdFvXUVSrLVvXrQ
e/jckGg7M99F2ahfx76d6rMJu3kTSYqCedQIRWvUeAhHkQzH7ByCXIiVZRI6ZI4Qsnni9sr3OL3A
u84RZJj6mvia7vMcTs6txUQ9Iy5vhk0egcSAe9fjd5Hh2AtqNXOCz9pvia/iHZoO/zFJ++pUoSN5
MEzqi6KWCcgWtF/YuVD0a3rvmDtn3F2hMPMYsLYitMTL74vYab5kmQ2H1pynTWpQFxIiqvdFLuzj
5DT5TtKGeqx79MgNB94XuM4mTr7oGjKiCJFkUH55RR1dzVgWHrS25dlO5ujK7/D9gBYOFQDT/hw3
sEpuw3bkyWEi3C6e6Rt3gEp8IZE72OLfzr6MUHQ4Mz9jhUX3Ofa8xSOXWNEpH0JzP449j2R4i/U1
TeN43eeZu7XDxL0VLAwwoclsk70FmTxDjhX6Q3RFreICVXgh1vpFezV6jFdhJ/qVGnh8TMeWdZ04
jiuOrWg8qW2svQBO2tORd6/7tjbuNRcg9Arr3NUc+aQFkg3rfp3wjSQ9w0v6e4Aj/g17l3vgrWbT
+on4YhIk3OV4OPvExOy7zMI3iHrRvnaVSSOORUG0g32mv+HsZNKoY5lb3nossmRXE+K2rclsE9HS
yO/7FOLT5G7hin8gdgfML0/icd/KUSd7Xr+ff2tpMCWntisbYBSN71+vKnqHfQmdt7WxAD+FUUmD
y1HYGCxkCyc5q8lS5Xy8bO//I1P9jkyFCSbl578/sJ6/T//v5rtKv9Vvz6zwppYf+6sJYC6cKcdz
bfQA3uKa+/czK2wmlGK2h2Gh5YYLc+rvZ9YLncpe5GPWwvekcPwHoVT8zebsQiS8oEOwsLD+mzOr
+67eNkMQQfIrYPtATQ3d95VwA/YBEbnKTq2FMPUZDwVqzMrxkbCaCRgaBcPUTnjrp3bdlcaxRm7t
toCp+NfVGCaw+nf6pbXjAWWtKd01+dzjfK0qz//etIXPIou0YW4OVR+DRHv4MUza+WhA0CI9bDUO
liU76FkVhTBrLZ55WwiBWRLemqnR+3djPVDrbqXXt1J/tKs26tcegLr5VNgTTqyr2THgCbQJsZXl
VRoY01oFGLVbY+ku7q7x7OYqQUhSNTL4mFg+DlTZmjRyVktROj1VclbJsnvooKOLbZA5dmHSufb7
GfG2HANAsM5EJXadipTtbTabb4nRtTu/kfqDaxWVv571lPGjnjbmr7JC/fU/q+vv/xlihLbyVxPw
83OXEDuHR8TbCUgva/mxvyag8P6G95nLtoKSALsbziZ/8Rnpwv1ozF26bH/pN5cIGVz4sJ7GGce5
oEx/+vAAJTFRMFKjLQfCI7jMf+PD89OhiT0Kd21xIZUDd18m8k+HJtpVDbmSg4dMjjipNU4Bwx2E
v96D19J0X9+8mN/CRpeL0Ylc/EpDB3tB9925OnZRYRFG6twlhpZPlVNbuM+P4SOOaDRqQBgw1jR9
5zkcs/Y3x8MFT/nHEfjPSyOmMIOAuc5L/flwmBq5UH0tnLsZ2vdTFcJQ24568tXWHzzxYAdKWLS8
Wig22FJzzv31k/+MYCyXhyTIETxAesuHe395y07jijLJvitgvqQw1EfaAGY/zJIkhOVyilL0N/iC
xXh798xclKGCNhg7UX/ZEN4eiCssXoYYWsOda1XWQ4XWBdsbb2524JHho+w55zupzcUHMdBiTfqh
f/EklU4BpcZeN1SAe+nH0JI6KCrRdp5n59kL4O/D6hhNcT3KSItNCjGhWHVS0BxQRWXbv0FjlnP7
z5/OtzwQ04XUKxBCvMNJginAKIiEgDsOaYyVJfxdFaTP7QJyZR5YfutrlVNA/vqLoZb456ti7EjZ
xsTgnz+/PI80+ky5Lc4qYhQPlQFc0vhV8mpmqrmjh6XuXaIUzrBbCBPTCTX+r6//Mzp0GTFwixeA
DQ98irp3H28Mw4qethLwLjx1ny4TRocDtK6xEedfX+qdYeKf1wLwwsSSC/6TGWyk/b4yzUHcOQCL
9xzkSLmFo8N5K7Lt7oWGtPM8mt4yO038rKQ/MVkMbFdo2pMQ/Ou7+VcPblMP4N7ou/Y/jVrLMeqw
wbfgbqCabdYOZNH6ZMGAGVe4F/4OhPtXk2SB5JmX/AUPYalN3mB9SObY4+3Rumu7PthUOikI+4lV
fT34Zn1dQkg82mNXXxNgxSgPi1mcCfNQMX4xwsCclNSOa8Mb1T2OZSqGDmQFp54j5Vb0uOIlyUhd
D/eZWeZCG5+uQnqZxe7Xr+ziY/1uisCG9xc4kRqPEfvzQ2RFHA2BDsUd4dlms5v9toUIyrhRfSmf
2ha/Y/qcrHuaF1gGUAjh6+Dm2+mwOWDOSjsshc1QwF6ai3YjIrN7CVqyp399n/9iFVzKyAAEkpvF
LODn2zQU3TPoceLOxTeXSJ3lNQvZyidhRuKhAZr/zci23g8motsY1ey5dF9Muivvrlj2sZWZue7u
JmnX125fus+wG5a/2aAmw8KTRLFCRRilUbQYRmUJyvxJhx/TIU/lijyx/sWuObxmJisASlv5lNoO
C+cyJi6viIYsmxdOPeGpG32iyUHNTwbJJ0fL54FmEol/43D6w+/67ff2eBK+M2dcBw8/771L7xzk
od9AFbijnw0CJ/XcbjLfIOCQfATykcdknJYodnRSlssBc52OcKx3IQwIzJr4szEjURK9cEbUD4CE
vxsvfXpAYKhdFW4ui/TZjWZ6vLBlV2YyGZ+kQQzsxvTrul1Nl9Y/Gcy4mcC8YGZkCy+ALWChCGQL
gTOQ1R2s7QRtd5mdQCvq85hxzN0E8OlISbUKCHXaz29FrYtvZt6JTUEdQHgC3G/J/Y3Ji8Z40rvq
dVJt0p79+8oM3dLmvJvJD82F16AuHAc4geQo+9hBQJf0Dfk4VEU2bezI9z+GOOICJ2QwinC+HBv6
t24MhQD2k27X4CTBHzhtErFblV2fIyii8YsAaXDao9UQ33SMAuGcCBaHbC5H5NVgzx/1NIph7aML
aO+MyYa6kbl95RLzZuXJukxiKXEoK4t2rUIniTZBNoWPcTKw7SJrv/b1wJQjCiHcNjhtxltKg3Dr
k1zJ3dWu+9yFDmVCFbDaUAKyEI+S2dylmh/TJOYmJCXRrcKPvSBUWkDgOAU43w3szCIREE2QdC60
E/olcFDAvZsTACvMlPgHTQUvmOAIvpqcR7IpvgHZevh7gRXBq83aDakj8bm1nHbX4oNUNzieT6Y5
fyEIjOSMEakA8SzWH3BlSDpOm26PYCbaWWRofi3Dzv1SL9nIjSeTFwaK+h7jQNOvZmDxjTnwecB5
+2qP8sLFXtRHvV3GF7wR0zQVgIKi3iCv4MVB+bVW8FHkA5ygNL8eEaTn5M5XGPA++EjGTAztEhJB
/E1JSB8C2R6uQEBYkOOGkcU/BUggFrUwqgyCIlJtaK/EMFeE8ouRjJ7N7eZZ1W50o8tgZ5hL8YNm
4L7Oc950tUR2mDHNG1Z7w3luYAvAKiomqekvRMUnZXR8MR31bAogVMN69MOF9lGzVqSaUQmVR7CZ
OhX90jXdTPmEppov6wHaQaTPamNtmm1AyBauAosbCJ8+H1myUye+G/wAHuusPec5cieiwFKTehWR
AatROZHXEM3h40R36qWbE+cI1M/Cg6nByXdK0uhbcidWDTM0QGtk88frxl2gYtutrynrosfBQ6Gf
E9Z9jXLPemgwu+c31UV46vuR9ZnlLIJW64RlvBGi51fieYEwRzwLz5Zp8gtgRLRgA5eX01rs1NgO
cUQHwhbZeeC0i98ButQTgdbhKfRxv/qTAHOBA5c1khouOEUgwNd+hrFgVAfdSxMurzJsHfHQdQP/
ernbchhQIABr0fWk7LRWOLfoD82lFskLz2lvqzJviXwZxXmY+SKjQ2WoLfqgo5jDrWVl+n5IOW7Y
RWZhbkv7FLb90gFbqkdt8e4FTRHiIpm/eDYmY/eS1gwGzIu7FzqbEs8q6MsAvKP7fCHio13rXmTB
btuEcfMEh5zqV6Wdvr8UCnPeVPqKmGTv2VLU91lX8GkbbgbrtuyFU74PGYieHSaJhnmGMGysvToy
z11b5PWJYcS3s5a7JdKHjaer20OHm8i9mZkU4XXdhFsXF52naFjybXRuYXoYkaT5jFkvbPmRsGOs
tLqWOx/5mXFBbLU6NUZboYVdCpxhKVXyOetffhx+7GVP1hmkog3m6w7hREaOUQBRXFBqJlcHp6R0
nWcMBLEJZdvhBsH8sxn1fzVlZI2K6A8iRrh4dZlCgg6W2o2qXcogdh44XtNd4EzALWHHN8KFleKO
/wxjwQZcOS5rW70cVfKkBNvWiBZYBuyjx5c+k/ruH3mc+toeDe8+1QMZeqR7cbfjkLaHaWLH7Zfh
6VaFOJtxxs6UY4BFXtpIueoEQPI3EtE7nTcMJqnSyJVHMAEQZG/pc3MzEdy5Ve/kvLNeBOGjGlP/
IcvprW175Hd7gDHGSJHQt0KzwTtVEs+aH4sAPp/qXqdw/DBCSeHYadc+NkQ6XEtvuXyJA8w6W2Z9
0Qv5lAnagGHMV6Xcbw5NZPNVUwtLgYKNnPcw8YXCKo0ejYRkQaVj77kNiEfIyWkot1Y6G94mdpnx
bdtxJ5eR6KhMdNdTyhLg4vWqtqIlB46atom7D6GK4JwF9fKBsoYAmZ1VR82hbEX4SPaxgrzEcRTX
Bw+l3soKUMKsrCkuP2ozc5/tJS7TMgLOAGHGMcRRgXiYUBSAb1taYIYaZSFttDSUT14sqd4bPCc/
XJ6QnYgaufNYgdoaBP9y4J0ng9xnRJYPaPGsh5Sl21whJxcP9NPEQw02aW/7pUqbYddi97mMzsu2
ie6AESULA/JckPDssyuxx7bo+UGapXc2DJxklrcGnK1CWk6imDc0b5n0Hk+Rp5HzLIee+VoltPaL
vGJazZrMVN+e7d2AAQeE+i5mOYJpn64t0j5geXYtGruEIY/bbh6p+ySNPHs7wbk86BRrjq2LqbZ7
r/AMbNfV5OQzOgrTfQYgZ9Twu8PHSpkcW4vBOeZNbdTbMAym4qocPX6aDrbVfKSLMjFEUCWRJLps
LmTBL2ufsojXrWPBIk8pEi9HcqfnvEIvsL6+vIAfa9FycB8zi3VhWVhRl7DjXMZuFC/MN0Th7UFh
a/EHXJjo7jI+HQRO+wwgYA9I6eQ3GDgxRAKTVCd8UcarhMByukyXAYGuMHiV5FHipNSO7cHIoAgW
WrrP9FXEw2VUeKjmUa1ZkTh7hHnsRVOJc+YuaEPeGSmepxCH0Mi6MC3WYKTG2m8sQAiyEtIZXQIP
ZEwlow/nX9LD0LB0e00h1CI7tMRZODwCQ0480Nit0TEVMTPLjxp2GIzU7F0tGTQ4/bDa26m4hTQA
ozOZGdQm8qYBZyUW7csK6OS4DGzqyOdl95GxbN99xluy/Ylps2xAJO7GtoaXOvYsCsjYx2hHTm3I
cgWPCDLq0DPN7EZz3VhqdV9qp/VWkqPaY4iLymPsxjz3oEd45pOFbHiDFZci6pRaCKKnCFJ16Iex
Sm5Fl5n1ESxYnFvca+E4Bj1XiNOa0W6KaG4fenegCImNPHw0J4lbKeJLntdHkOQMlv9xCFR5C9ce
hDgy1nmYdQcXzvvKb5k7Ux5nrzF+CYhaiWGy0aLkaxymmcBg5vcZrPBmrck/X/dAniEVivawotS8
51TyQWt3mhWi5czemVWgxxVWy2R8jDj+phKzGRufALFm1yyPnOwVjrQSOkghZXUT1bAvQpxKkS5b
5M04FJmwkzsL1rpSXW9ekayFbWMWkeWypjNGTTU45HwBbxdHo8bpugJlG9ZNEU3Gxziz+DwYJ/H3
JhS8JNud1QcQQGL0aBccaKGzLjUjNU65lHRNEqh78nyp8FRjrAe0gteXg3JesMpOdshUDZMGLoPZ
cnvR7AM2WTX1gRNN3Cm+PPx5UcK6PWO4ln+vqTHZXUIZbrHUto/CyKJHvMoYQZeDYWyiLyYSKaOJ
1/asaTVJ3RGaRNWSO1uHpzSMnePCIz/Hyg0fhdF3L9aMx4xnY0vGGYzvWnkW+2ebsbkNZcxqNXup
9YA1HE3JZd0Ms5zFMWTDJMK7Yk4US70pozA4lW2QlrSNga8mYj+f8gJ3/rpn3WsbplBfMHjSyMB6
r0aaHC8r84wvZ7PmbJccLBf5ozN6ZnftyoEZ1xtol9y8CU/GjwqjoXrA2ZwGYxU4R8wYTP/IgU31
S1bCgB5haPe0d4ddsZiScFbpYXrks3gIAgFk54asSuA8vBIfdjGvNrI4SZQeG4s3au8hAbHezA1c
QukilmzneFkOLiWza5avXmyh8gyr0txB6SCi1NO9tePKyUPSDuoTeuT5lBAj80mS54xqwie4EX5D
P+/YEAeSa73SRDLnSONDe2F4U07D9sYFHR0mcY7fBmm7LxmhxN8LqsrXulAd5fZUxCvqKqTBsjNP
YqGOFwuJ3OF2W7gZC7e8IXCu2TY1rX3XVumZNMVgE2de+rmUffzRo8ZX66EsNMl8MNZ14OpzaMvo
U4Iv1re60fxJeNhCbk8vRPf5QnovyEYkFbU3celqw9H7Qaz8X4v1dy1W0wnAnP99i/XmudX/FGT6
44f+7O/40HuRRNFbBdkCmXnTYPXDv9HFYal3XRiFb3s8dgjxFzvAgGaIa9uWiWnGnz0eWq9B4OPM
5wFfXSRY/02P52fYDXEXrhiL94+JwVMIpfEdxFmZQ0b8Zj4fsF9zZ1JfnOoUI974VMI9R38Dj+HN
6/nwA4h6a531rp+7XBBsKiDADPEYRmTvyK19ESY9jmD6oFQGf9LA0s3D2P43CPnPCP3lscjdgjjp
0CITlvUO2+tdSt7GTdQPQiikg+Yur1Hhp74DFcaYFrYQtBanyYz7jk7Pp18/pItR6tsWwXID0Lwt
SlCMVvmP8B1ED/s1SEewc+KmvULt1LQwZHxYLCO2Fvguw8NRLPYULhQXghwmO+JoLFMsGjtO4R+h
aUM4Qf+ib9DysrjFwilWwTzlRGrm/F44YRQldmEAMiiZ4cvpRt3C/w20fsXkMb+3syDfzCqYD4jc
F18Gr7kqPbf5EqWN3pO4TN0hY6xwAHFsCDq4OcFhaeib4DUrz+2E+72lgDd7G0oLvn3ymeo+NVH1
wD5KaJDvxqoYHwk015BNLqZ/5Ku1URqg7YHfhlOxWX9NUtoTIjb5wUlx7ukIfONo5UX34Yhjxmbs
JGXN0mYgEI5uh0BghOHV3opHHtNcCKk+8q4HXbP7+Qo2ttvM1al2QjryRWwVK+nDxEW8AyttxNdg
nfXQbToc4m9mFthDtLB+7Chtr3IiJe+6soc3NOALz24Cv2ixkxR2Pz5mZjk+NtnsfeTrwBjq6MBX
FhXmAA3rm65hNqEJZwxNlca0JaqfBnBfCRupMg/ehGujP5GAZvcVhzthpAccOfXrNMAmNFt+RJtt
99kjefoUKTb3Ju45yhRz9znrcV9c8gNPZRnwRjg/4ZvPgRC3Jw8vRigJBZxzyb4+VXCZahzX76WX
hDTnYm+NN0v7zcEHbxXncGDR3lt4PRkKsljlDM031TGdERtjeZgOxbEO+LjaX4i3Q8ZBsoOzUMFs
hGslF8Z4DyFh4zt4buIzn9+zrVCUBUlzBrd310UYj99zTLZXqJfwG+HYzqIh6q+pasbHCFjiJmxG
/ijYTntZwj4TiicOOcydo3yZ7Ebj3l78dp2QZ/GcxfM2TEhlyIGbCEmroJzl0GN1ajm3scOXuPDJ
nErqTUmiJOCDHHivMOme/SKE0DFFWbbplQHFtk6i6N4zo+Yb3Pr5ppoS/QkdJJVwzWQoWqhlCKf7
F6ha4iF1UMYlMTaqFyJXF/Md8fLiVS9DtKjU+F23PP18caZtZr6EwwFz7wjGP2Zh8glXxOiq6PKn
iT75VZK25W0cvMIC5dCZGiUUui4qrWPSuV9Nwua/WFE0PMYolECy6fXuLRPVvYNyHlX0+L13fHmW
mcugVNYIesmH8nyj3+G/LW+JLnBuw35ybwdNR6RKO/k0uF791UDBvQVso3axkFnY8EquM0DWjyrQ
AQ4eWUBGA4KwZ8grMHxTkmPIeg7zzeXhgoRJgBePca9Q7uGdlmbzDcHt3WfZGTC+a4AOGJCMPYF/
xJUCT4HfYqaHvkbPssbTJd27Km2/QQvHbwO5/IDjOmg7ingaSpmpOZHQMm7OPQrDwPpMf0Lk3tNY
w8/9lraD85QK0LkYAv9ckQHdz0a1pVs/DTe6gfB2hSBzcO7tHDgHgE9/EoHu17U30I0RrsL3qJm9
HePQNVc9vnTI0kmo2I1DdR7qELNzRhhGm/kHeI7GXW0W94Y7nB0EV7sg8d27uXVZOwlNxdQ9/khj
41ziSkkvg0kUW3NyLK38U+c6YjsU0bAdHP0HUZTD1hmHF/i8RMtU8TcMqJNjMnvgwmKQpxpbpW3h
Ush1Udy/UAg2dNW6a9U30a4AiLpSM3FfQmOCUPhuvIllnJ6d2dE3RgjFbt1CZvSy4MrI8S1IIWXP
KxlGzdGxzALdo3LWjRm7qzLNx3pVFsUrIj3owbZb+fuhc+j7ONW9rvx0a5VGeJ3RdLgBX5l2XsKE
bdDaXqc6IiknJE6R8Bm4j2LEgQFUGyNV8qZlbwdYuMAFlDZs5bGCVZjQNSCsuDSvJzcNDxgmfOSY
hq+t43cnUYV2sbV49986OU0e3jMh6WDlzDdcxQWZyJZM/Z0npq8VGtPT0FnkwkJNPcYTalnqAiB5
N/JwnIi6bzbuMZglxex5KDqC3ZiwzSUWRtlZ5TX3cDjESvR5h4p5wGEqyZFKh4H6GrhYEk82wdeV
ikeY63n+FBpR7a895el9mI7phP02FXfoBsnaHx2bChGlCNVZgDMITeejZH1FIMsiQrGeSwQeknl1
4+BvfT3N0bytLdM64uqC53CSMKu6bYzh7qqqGYHoWt0r6bXq0zzZGR7V5cjphnTDYgMsWV+J1puf
ZWG6R0uX84PMsL5biy48qNkNj+UQ6Q9pbs+bMRqaK4JEoOpbRclwz0eso+N8i7TGufM7J6c40AKX
1XYqIeoGoA5jueWsNK8m19YbjtDZF98jVp4UnmnnRBzIh3A0dk1CB26ICW8VuPF0qTkd09RWOB2N
4yY24vCxCGKxL1JGPM2hZDGXirYhaQI3dVg7YDSTcV/2imz2ZtZXOoDjvvRUEmfbeG35HTDxnHBC
PoWqh13qgLvGpAVi4lU6SX4ju1kcZVIu6HbitdfFHNlPQ+ZrvLTcySckHfeu60QTEoUje2Z+l8Rk
FRvHrzy1WXDq49zgtCxLo93jvus+YZcFYxx+b3Zy+pi0RTvzCMnqHNqWBHuI2H3CSsg8TEnepStC
oToUT4qDMOkT4x81OCv+ItNSF8jmTql+cUAfq3objGV6bagCAj8kiMxn+JXJsYUbfgqbDgZ3q7qu
QNzgpgdVIZpdZ2Abt9rC/WdGvP2HJQMDBbLU5GIQ0E7KFCXShfZcFGI+oFOvTrTGXBZn2b8QlkXs
RzxZYCA0PDE6lKzCrxXnx43URnRPc3CZAzllgh+ZMgLcRfTlJ2m5xhLZvZ3T1Lg3akkbaUztZEeP
Gk1FDH1kXVLkIc71lPxDSXhF28TlI1244XqgKvxRfDUpMEomNF0Los9wH3cTnk8Q/gnAoTW6IAyj
Pqq8oSxbCsZqa40YdWeJVRxt36tORYujNiLpaYP7N4txmwFMAsI00SZxOzZ3wG4seRdqd2rZ8W1c
UmlUrifP8Xy5i7D5YhuLkChqmmVRnkv9ShjmYj5PX/MYNo34wDJYvdjSq9ENx7g7k5DGUhkveNHF
NxxjLb1PhDHATzf5dgI0DnuBEvFZXHr6mjY+zz+M0wZjT42ZQ9Y8yQ6ZWKeX8pe4gie/V8XRIlBp
Zcf0mYJS6ddAg4ioOSIJKUtDWvoTpmIaKYC1Ak4sjohPmrvfHCLecW+WQwRAWMChEW6YjdXwu7OS
i/+fJPoGQJau9pqIMMJ56JbpXa0VoyKtIOYntv86Wno84LGH756wnoNMfp6qmCwltM5bw53izSBL
/P9o2j6NC9xGWm9+DV3H/mo5eaJuZCyr8bpFEHqMPLzMTWx/d6niRZZ8wgPeg+6tKYgxalVJnVDQ
sGPjnneVsvW1QwLKpm2GCYt8vqzlDMY9rW/vo+H6+rUMYtNdcg7QfAEtUkpivnbspro4DgMDJ6FR
ywEmwJAQmzp+04ygu1q1cckMuNRIqpqbu6polm8ZLuVSTiEVlrCAHTP1Pjp2LrcoS+Q5hzNF0FrD
3i846sUQHR7j2cC4g7zk4mtr4094BSTuj6cmmmJeUkocoAG8qLZ4YifmGlAnKoyDbWeD3a5dCy8z
Z8MDEU1WQ01ZdY1NyI/v4c1zzNlKNtG8/EJEIRVtzC7AgjpKPRGM5CQF1jXM5u4FV3IlWQWppXBb
yKoNBl08MZS/eqsY/AneRJRQvhLmysB3h3QydIycehjapF18NskoW7zbMVNwjbpdl6Gcb1RLwRwk
jvxDZ0O+a1OQy2FkVzPzaT5Ec08hl1Te8NinxVe/pW6fFdgkvQQ73bQ6HSnmeXdhPtGzh7pH9oGb
GPdtZgFVMmHvcntM99j+kKMVuH1xhA9YP9OmqJ8dLdiTrcLCPkjxPe0+aD9wAghOGnOu1TBx2PKK
qvuMiKz7rBSKDhN2xtd+qamrJCyWjgQMFGcuSMjTBY5RYo7JOuoyqsXKJ5ggTv270m6HR3Nx54ef
WD+7i7DDdKhspeDUgn3XzMyDtNl9thZ9SoO1CRGjqY9DiaPq5z6qsLMKeirSyHF6H/HczBxZYm0E
nAj+J5lWzTcygXgrSxBYR1W+crHiP1QJa1EjG9AQtJfhSoXL0nXJnnC1z8G7tJovk/aDk6AF97WT
tNhimEpXKRl2Jw9bFQzBS73HQsBd10E1PgZopVf9pBFyLidvqGbyXOacy4nB4mQ2VfNrwCyd8cyd
gWI9QqOUL/+AcskxBwnrrVhiQsop+T/2zmw5bmNL169yXgAOzAlcngJqYHEeJJG8QdCUhHlIJIYE
nr4/UPLpLe3Tduz7jnDYIUtioYBE5lrrn/wIzo8XNcZWsGxXrcHfrV2AYhDHAECpqwXO+YW1vaqa
TpaDBK+pjib1lVSu8aD7uvB3JJURzIHl5ycYNtt7btI4ZdpFLtv0PJm24Aj42AO7Jt086FJ7uSyx
/Mm2YoN+GlLUjoEW3w6Tlcs19ZdrPTHV+FiGtqb1ZXlL86RHY7n+kHg6apH3H51247B86llU0Bzo
WGVN91HhYnKqXA4ywmmDqxGVYvTRluHcz21wJR0Fgx5u/TZAWfNgQZBJIz5n2fc+WJfrldetiYBA
OQRmzQwiSJkamJ0uH2TnkgxH4UHoMWZH0diCtWIhzFCkGXjE6Wyiil75RnB3gAvSlVewDSEG2Mhs
GLuUJkqecYPiCpZgw8AEvxfS4aJU196tXfreIweNiVGeP6kvA1q6hj2slM+Y+TCg8HARfk8LOl1l
kryBxT/9st0DWmwiKZQ/bGt0Usn5o0PGlsPcBQqxQdSsOT+ptmmyJVrLvWPx8R99s8B37FqXzMya
FmqHYRrf4N9sZYoweHxVzSH1oRL7sTRzRkadS0vetEh2Tatqrki02RzYoKoFg5LPrcXsgrw6Zhnj
VqPMMEJuJ5cKN0rNgc3dgEYC9aN91Sl8FHR74dUs2GfbmcC5HW7V/buJlU80l+Vo7T/y7wi1okUs
eKe39Sz7bRtWmGFfkl7AJCjMBbVG2fPXQwxnL+HNWU/ZNm2cUXxwClAYv4J91ewTo/o6yqR9y6wk
vRV42JKYsK0fiDsnSkyGQD5fJ9mmDh9lRbCp3VNoKw81ssjDihlK7AsLWsd2NhAEgYljkGa3gi2f
fp/h1WR47q1IDdKSwxl0RIbcYQll4gmZ3BSFNWkDfksF4tKGRB8Ycec7CsdBHiQE+upiwYLqanUI
1/Bsiod6ewYZ9dKLUjPBOj2ijrgGndzbbjrhik550pXMRcy2sp8+9PcJ+9gzkv3uBROD5Ezf6Ecf
o5iJMLOLgATNM0ZTMzHhDDIUuwmpLgY2jGmgWSGtXk/jQJFZ82IfQa6ZPrUVLwWGLe1rZRsMBvG/
/uzkCSXaQMHi+KCGNkO9PYc9i+djm9UItI907Msl9izpF7qpBdaPXW91HF6vZw3+cdfTLH/qNoNt
kupoFSc1cTNNtjdYU0jpQodTy586amvSQjrDTB70zJzCrnSdX8DikOe5qxjebFvl5qRB6otT3mKQ
Qzq1n2+BhrAMHDxxKHdpVXkne6aCzSCW6w+jSkeK8ZtoEn0E/0StLEte3BxWHJh/2/2pEKDBMMNB
7wLwmeKxQ/pni+Z1mjzu2orh6IUdbCzIqeQeDBX6SmId5TNVSeHuRr0kHMpmi5mYDY+ItBiTTXaW
lBNtm0DVWiYy3EYe+BKU6zUSuuTh45cfLybO4hwxBqz5d2/mTO04VC7Qt+o7bRvLoc4K4rTnlhc6
d+U5FRuvasJJ5tbtxIoFmJcToAMR/9khd/OgVfl9dNfW32cKveTHgE6o7tW16QjmrQpYNHGMKD5R
A9HA8Y1RtsNvPI2B+7L2KQHhH5YINLJ74n34sLIdg/OQDO3u78tV61cZxY+RN/p6VGEoUASRY78y
eEcw3Lor5HByc4bDkb+O3u2H1jQdCBFaXLa2LKT4HmB7QIBssSZSnnNaKQ5ShI8PBpmHZ3Jul8tm
7uQzLEv3dspt/YktYf0nVjT4SfffLNkfFxugg3P8TeYS/n6xAW5pYjIcdcJY2dxNqvEfl45eDB+y
7NYYaUyYVlCIWhNNUTlAuzEZZZxhgrRvRcdo9eNh//0d/EAlfr0oB7KBi5ArANv5N2wkHVnJIRZb
Jzh5BKOgFkliFYzyCi4M2st+zGK693UP+stsAlo3MtoOwwuRMWdd3AmHk5lF5VQ+uwFcpa9dXon7
ALrNnl2WwtDoWzxUN2vbv7/y/0+ngoqEGDqgnc2xYgui+1emfG+HZZtubl6pgaw1CZnbMLmnepQw
9+6rbfi6OuQYT+yJr2rhFGnmhr5wHLyf2Mv/QpX/AFVCJLaAuf5nqPKxHYfs/0RvfVvlzdsvgrQf
f/UvwDJARGZhCAJiiRrJhjf/U48WOH8wWfOg1P0/H/2/suG9P2zTQ6dpO45PDSrYHP7CK23wT/C+
TaRjYdoPxPifaNI+kLNfXhKSBD0QVX6mj5L1d9r+mNtlA+ehPelJUIuFmAnMUYPw/phBKj1gfeOO
UZMWwX2YO0xM7LxhD/d1G5POGlC+OCOlR5I7XzDeXu5a324eJ3JPX0n00Hfd6uD6KubVO3X9NlQA
6PMukai3sSgbrN5mTUETD6RKQOBFIOtcYbCY3ZRWC8WY6CfnPK6yAuDnRV53/bIAy5f4kul4xY//
u6o32pzANuRQ0l3eQobVd2WWuJHRYl6xN6XhnLF0a2o4CF5D8IiT4RswacUxAeH9Ghpn0kWDjTPc
CKP0PMNOvAh1bjZ7Xcnpha5ehLGsk+EbnwLvrndJXIuSEX4kLuiS1GCBUew+XKAf6qTxe9zuh5bA
DmP2TjmTCEHUORyKnAd+8mCU4iZEd7K31jz5uvoeSCE5wsADq8HYmCgP9cXF0/sL6b7lQ1iytwMJ
ZLfzmDRPnFft7aB69nQtderFsJAI7U4ywQ5a1ZWVsOEShQ7/uwvudcl1wQznRuIukzDWpFwh8r3Q
4n7NVwrCNAjukPyQN63X3rTiJBQuDpTV3B5EUNOVrOICymV3W1oyvPMQZxJd4IbeSXH/DsSTQ+bz
c4x4s2y+gnFvH3Q2AaPmXtM+WpYM7g0IaTcol2Axwrw41RaToTrpraekhXcDSdwhjZITXY+ivS17
ORmPq1sve18U1hmf6RkKUjm6cc7AU53Iaxn4zpZzcJpc/knUiHwhdN3+0pkL3oXhKvFr8VIoxpZR
B/t+yBBXBkhM7jUOjIRsu+Gj3efpvXZWBEShRpoYkTT5aicMHxlv44EXD5kxvwUr81J0EuFV1zki
PRAPhmGhLhr6NUHnxbRlsfHhSUYDGuvWJ8y2qMFZdNBQmTthMVxkXunBJJ+78UFgpYr3tqPDO6aY
lrNjbu1/Iv7Wvc6UYc4pyLOLt3UAYXXFQd3qV+eYYisSJgBOxUaCN7gR/WmBDhW8yKmddsYQzjLK
qJwTng+WJTtm1KOc9xzGwSGFb2iPkLx7YzgPfjeS+S3RWHxBfh0OZzI8PEIcWD7P5AcbiCx6hadn
cg01D5PnaVBfMlnfoN1Jr6qxzsP3AvvUyd7ZDmlqxhkRgWhiQdLOJ88xMWleF/wtsOjbJzhhHEyf
Xw4OvaBc0xm6q53HRpi116rIJNDr8AD/kUCGqrN9Yu9sMLGSNfQZGDv1T7zexhMTt+TY9j2CbWAE
QvuAsrHwKDBn8Es8M/BAV+lXABq7OpFRDEkUbfkYL4Pe7FLM4oIAci9ewuahXZGJYW9/UWBuhW16
q88zLM+9IJhm7w44e1LvH7GENL56KzsNmdqRTNYjjNtig02t3UKiz41a9CMZ2GlMNvIxGArvs9X3
y64YcZ3dlEe3c2A+WJBPdhNw085QIYE6rgRErzCHDzofA+qG0LbCay5NwtS/FYu4MVc7ecE0aT6h
Aa4eG38KboupVRDM3XUHRjLdWWPi0JFAiJuZbxxdf73JZbAcK9ccooyZ8mGxCHbQBn/LKpcyyvu+
7WIGIi8wLb1oqcTt2vXXw4zZSoeHd4RdTH8kjrI/FGgvr7Fin2/BqyntVftnyG5LirkV7PNkSQ5t
PxT4wXsqai1bnrCPwb92moxzUefW5VJtMIhIX1uo1HFqYW5biqWJ7XBsd9XQ9l/mQs4nEzXTp4II
cRbGbBzTXn8fex9Se1Ys+6FnOjBZdvLqlB4QvU42gUXh1uAKgW1e4Ko0lyendr3LRubdIURQvDEt
NsXsiEQlSJhQaMMQ9yOzo2OObiIuatQlg+fiDz75q7hZlGywdyfJodgHMh9wAJfJ51B6vLJenew5
e7ObNQwwSWpRWexWUqWeO1HVB2ucehRroFlIlsJjuwJTd0Q7fcG73dgPwKJRy8TpBj8OyPyS4XLt
1MG9w2+AEGrjVgXpZ4Eow4xI6MLOXa0+cp/EItFUD6V19nSRXoVlHcA3aDwJWz1nPkML1qKOwN0y
dmfs/L3BbSNqZ+fGYeC5w7FTYwSLFy0WcElwFMSnnxEOM8nrUkyQjdH4PHSmIpNENSCeIwENptM/
+EnR3qO6Mm+cgtSqYNikLBXLwJ0PprZVpK3MPdmYjVDDuwZmqKL45pCT8m2se7IXMwe+KEEJs8c5
6C/nhr7Fwa1EevHm7PmpBQl4IOoz+Kpxe9h3oaT7T+xXIxy/5yj7n32bPFdjIfZKud4nmlfjmneq
jGwHQA5vMPwdFpl8SnuXmPniNfHH98CW3nFtXVRNCeMCbHuf6RhDGs3WjoXo32RNvz05JjIGXWIa
ZnffUvB/tHEG6YeBU5wme2zayF4XF7Z9Yt1Vyu/3uOuW943l38C+ba7qtR/39WCbyw6mTD4wDetn
qAtWvd6ky5Agt2BuUmTwZmJKKeoLpv60sc5UnQTK1HjDLiS+1WyupYcaKKM+jwa3J4SIU26PcVf+
Zpflk2H7RMrM0nzFnCI/tXkgvvVW/zBO1veklvBZcxlhJP+CqoLoZY9RtC5NcQ6XZL3qzBFcz5Ev
WGET8RqO5xlqPHtn1+0hk+NBm07OqdBLjZK2u/AWprpQMz7l81JeVax5nPZ9i4GPCo92MWRRZxZH
AMfu3A760SUwnekxRIBqYrSXFevXgfozgrDUPmJTDFeHKQCDsRpAlEyvaQ9fYtgtjaoPemxr8ieD
9yS1ny3M015M6Tm3KCurqA68e2kNrCvvvbZrC+/tUe07epdLgBKordL+Juo5oi74qgI8mokfItXV
atR8CroEIy+3c/e5xMd4Ymx6pGIRD5axpHFWzcUBJ1x9azciwVmnPfc89Lbqj3lm3mSLciNPdCxR
K0jjJdM2uoTCunG64pPGce0h0dl47ObcI6nObtqHMRvbqCDpU0w+3y5FXMmRfmVI5cfKXz8PjBu2
YlNazW0rhhQkIry0u/Y70rmTtGuCjwzzNpnVLZpflCsDiKUSu6KrX/sKLsWq9NOsxrvOGkhpaa6p
1mCo+SvE7YE4vQWxIjXguEmeec1JbMqm2MOkGMgQle9VA3p35deyYWrWo94UTHGNsl7v7L4pf0hf
/7fx+4fGD4V6QL/9Pzd+F83X/O3Xju/n3/nZ8QXYjMB3wBTWpD/7MKD9q+ML/qDiZzzCVIek+Y9m
8C8bEusPgXUFdE7mPa7/Ebb2V8sn/oDwCqHUx0gv/OgG/4OWz90cUH4Z1jCoQU3FmMZzcKKEF/vr
dGG0KeTXTCO3pQyOHVlVb16RkEs75qaN8GadbKAktayRGrfStkwJi/azvr5m93R1ZMF73ydmPn0V
o1XfroluXkPEr8hawxKGBH+rjnWbDIe6WZvX2qO5MjEpue3z2R92xdQ717hjBgSDFchR9yqs/GPu
B4/EVlUPvSYQypzeaoo/REAZRoqT2b+0IIQGpmxVsx5LsIg3VQ21pmQxlnVnOCkpWTpsHL1zBgGv
o/Nl+WdmlJAYnX4buC4calBNlvyipHdSpJ6F4zWKWYqr0UxWN/Z6O3D3zFYEWgcKeGtXBIVzlIy/
s53OkuzKKcQEaR3gWBDkVPlOVBpl+94pSAItANjNqBZQTwfCRRqq+T2op+bFJTiqiqYgZSo/l/J+
6Yr0zc7A+6hlIRtRE0wj5a1PLR7pPJhvUFC0d56ztOFuDrTsdwsAD0qKvLwJnFrfu5VDMvsykCXT
ogWYsVWSJXrYZux3vrscZzsXd5ZUkLUKp4aviEO8gwbszves7iIh0fMRiY2Kc6XU3p0XB4STTJ1d
A5Xv7A2piAsSyy8DPefJxYoL4HlaK/z2YUihT889iQDarO0m6o2l+kxpPj6OLjaJlPTzukPlaD3n
okyeBxKtLrrZk/uGZJSreSVTYOD82bUcxDT+nGdrao1fqnLpZOSFdY8Ffy8vmSpM32HUrQUW/4PB
eL5yNwClqfadDOnhmzmUjBKRM19Xhu4t9OVj+SZxxN+nSlMtEAbNaWTjbvhaFBUekzMMCEa10knv
miBsLGjES/6QdaXzxU7r/D7c0rh2jin6R/Da4jDKzL207AIEgAMhOxkOVBj0ul1sD5M8kYQ6PaRZ
DWpSF/oFxlp/dsw6/Db3s+gPPvWui0EdaPB+ljJ8CAt/nSM1pK3xXJCHcJe5iIE4zBKyC0O1lu8u
KWvwT7Fz3KfmWkOnwtAfNK954jmWn2ZLZXeCGcm1spbsLBDXo6dsZwknuHFjwweri1mu7VPgSPM2
7QcS3A3J75O04V6TDToCoDBPvgESbnNFOhdv+bOGhgY1tkpJIeH2oJQ1uzN0F5P/tFB9hmGHw/FS
+A+qDbVZXWFdopthZytjIFR9HgkPnFYACTT6znLOvKw4ydm/s4KCga8r1gjkBBW924ePMB3FtFd6
rF6IFll2VpVMVSxGN1RR2dnt5gngPY6jNwKR5NZA7bTQ3ja5eeN2tb4awPaPEMw9jEZVFcFupYFP
iF/CsoalyPvykChtil0+TdUnncxOfeWPg1ncia1qCWMsXEeTGkeR41ExtGm8Gxs2y2ke+89ulc1E
AAWwOMFk5gunn87IJP1r+D/9sR5KO650tdJw1Mu9hPJ7AWoud7DK0wu4ndX93FNdU4zoyC0JUkqc
sNqLjgfpYFpYJzClMJW92cSrIznnO/I+rqbiTOHBT3IMeRzR0+3D3H4h18PbeQX9VYHsepvlWIEF
M87fjM6kcj9nENYuEtW3kcVtOSDbVLe56b6EY5fG84q3Acxq47pYreSUbrv1MppfGmvoCCOnDy0x
b1PTJUV3FSWDeVnk9rDQmpTmwVTZJ+1s1V/Rfg7EIi7qoHv3eGJ7ndsP5tKHcTJUn1Onv/XngvxM
2Ty7TLQoRC6ROJqH2mwfIUvVu1oLKmgToN+cyym24bXj20pwG2osa4swwRV3nJQUTKr8a5lb6tw7
6nJAkHYg1WM62s7kxpZa4AG6KB9iEZbZGXWlm/P1uvWFpEt1Tfy5e/Bna2ezjC59nvaVmfaYmBpj
80C0TXs0CLk6ultE1bC0681CaGHC+mGMF+Redy+XJXxw1p6klzQfqvvS0HTCYf9VEINxLvPUulzr
UO4NNQd48SCN2rZZSZMasPyehNmnMVPcNiZKGc5wruo49dPlpoLZhMOt1X9acZSMgEPVDUjEvUdA
O68EthX9NKmbui/rqK+r+pERQYJ1VOLu3BHFkdeaCwnG02WYmHNML5i9VTp5y5Qp7+1OzHe2DvVl
3ivnwc/D5nGciR0ZHP+sRA1wP7J0CsP8wsCOeBKDf2WFTqLQ50rtUrzPelIPgRHiZAc6d3CWNTyM
cAi++yppbtZ5r8Z1vJoHF61iD/31hj3GuCqGXODWQeL0A9rBKsaiqbx0ROvg4Gp3x1Cr7N2tKt6t
sFUqwiHjgUVY3YRwhO8KJp87H5PAfe6vKrYs8064sIEGYNqLenWcuwr/+9gYl+7Wm61Xb+r9vbSM
8hHXCLRwg7C/DK0rD2q2SwIfKAugzWCUBIVDNAemNBgT4714hDkCzXDywzO5iMupQe954Q8ckbpc
/QuDWHvrB1jzv3XyP9XJ6K/+rkz+vxX+Gb/gItbH3/hZJOOD/geSIuzDKagwzNyc5n9UyZaw/3Dx
V0Ll49l4wv9LWJbADBM87wOu8HCt2szdfhbJHr/lYXYXONTWH4X3f4KLbNES/1Ijb5eDthncBnoZ
Vw2E+GuNTEYSeqDRdL9lJuSJ7xj2JY4Zz7NtyCEehsJePmMFlQ8HtTgQihVaIe9dJ1XXcOTiOWwf
OsMF7yhlYDBQaniTaeggUONZ3psEJUFKdwGm/R0z+ZTKdnImCS/CqcZldZhzQui+xSu0E/0uNTtj
RiKzeStUyNMxz3IXDgssl5lxBkcHron0dkgNvLCPKig7QXJopkJ1GFUoKoR/8g3bgLBf7g4KLMe2
6B0sn1AxUN9f706rfAu56ep969Q8oSetU5ExGOhdNrfrkDqRj9RW3tTf4TDny5MrsMHrIzsbe75P
Y83pP0nEfgN7SVRj1GQB8+Jt6jsBhqm/XhJDZF23qk+/WrDB4UW7eVqeV3eUTAIzw6f23tUQxKzN
baQLyKwvNBRg2FtdW761GkaV3ImRIfe5MidlZvs1SUmkh1bHo9gPhPGtnzMc6A299zEb8W9WQkz5
Y3XoKk9SHKuR9MV/eWHufqBw/7O4DzUiNxlsncQ4zwoJifsNBk6yUuOmWDXfzBk3nUevyY32oa6S
dr37+w/6Vd+3fRDJ31hg0gEAN/N5v968papluPo6+Uo7y5Bx32GI4BLUZvKGa0cU7u2sWs8BQvG9
yhiizkrF9FCC8/xT/sRvLmLblWyoJygg/bMf/p44YhElZYa68L9OKuj9G69bCqpQXNWwrzvjabF6
/n96kzkWUP95OHyZgrvw23c3rNQQMO+c92rEU36J5dIZVCtTQD71/A+ftS3C/wZbt/sMzuqSs86C
5zwTvz1QsNOq7MCyvmorJR3tm81wPssuEhhxxTltmZhBlVn8cQz3f/+Af5WJ8sHk/RHkwj82/obQ
/n59wDjIqB79unrXJtkm+CiIKpgeEtvIubt//1HWvz9C/FdtM/A9pJo+AtVfP6toWwvbcrv+St/m
1eKUQzH/VJFBKmFNYYaUdrc6XJERXrU5WXvm3ptQzH4ulABrQ33DhogxQJHU4X1RELOBwf3U2NUV
YbN9sJzG2XXrf/Is/bcHQx6QR9Qi8SoWUtPfNzTq38DWttm8Y0LXcxUAg2XxfbIWA4ettvZbJ07q
CUX/P92sf38wKJaZegcQs3At/X3bSiAw6q73jD9Xz7BsbBGEl49UT0GX9UAGxH6p6sRrUoo3/BLx
ZIll3/chiXYGoranvF7nfkuxY6j/Z0o7FwKN+tTjHsYYsGz+/tHyXvy2gLlA4X28JlhVB9bvz9YD
zewJfW//JDcPfylGJMuw3gF0QBzdrYCky0Q0a6f8GwOJKG+TgqrOYdD4y8JmGRJgtryzAOuCYhON
2Xb8YdwyM/t32+L7jw2YxAh2FxqP1H9W9KZYQE+1KFmpUzUonk7TDz7HMORXsIgdBjvbFo3FdMYH
2ouugvsk6wb9si5bCbGTlOPcCxuxCJs8IlNfFgfblR7vt8zmHJoCusn6mz+PVs6sZEjUesfrH3rP
BNOyNOEbFlwjBpZhQ3paM1rPpWq7otmjZa3WzytO9tPT1Et/ekCWgsM2KYIFO8iWYNvyzOwMeE/u
IILm5RIVTgcNYZcE/AySPMwCPdkB4z1a0p2aQTgRDxNpxh/BTFvV/hHlWzbcD7PYYK1F6oItWPWk
3hE2kYZ8tJETLgws5Mzbpxnp0vk3DqYP8kXS6EynxJ1kfl25+IgcmSXo5jKTxjKeyUAmyDDSQbLt
fFDwreUymFTGYWkmw3ZmyiCxedu6QA7Kjlpko2V5+vkFPBAEvioRbqFfxKaZGNxQz2xYfkqn2yZW
1cRv1nupiMGt91gzQOeLVFfiOfzzZ8gOhyzIe4mXZxFLrp2Z4GXrRosYgXr4aN1lbI6L0/KdMC7f
7qoLD5s7t4VX8gfmecjKc1P1I0AgLOjtE8kLp2qDguZzW7pFSL4eG/22XNpw4NRyStz51b5I/KJ+
gLrcCnEonM1OeNd5BeN0NHphyKpJYRfzzBxt8gOxdLUScRjSoQxgLrg6X95lrSfuIXQTTEsij43R
Sh4D8oq5J6sYMS9DBdJMOHCQirrVboWlHX5vIc1m+xJF2Pn6WjrJ1KT7FjoKVyzsiV1gDwtg4svA
Z97Wb48hG79KGfE40zlUk8tPacnO5FXAJSbgV0Y64BWE92I7cEkL357/OY/Fdi0u2hbXj3wheAWX
AMNbcKgVC/vT5AcOlweiG2x1W0JSfH6jMHL1nvPR5RdRyNCTy4L7sd1jORFM8n0knZrbuQZ4zbVx
RQnonopBI709pKa/LdGttJ6euqDh39IKKl5gUWB2dUPpuFJluHPOe770y7ptHkixyrdCOv32ShM3
xg8lM9XiSdDHjvxn6CxnehI51msE97SiU8tp0qYq6uupci1+oOwVBlnRSi22rWonz/sh7spwtbyT
DqpN3VqYT2GG3HKKLZK2tp0pqwC6mNkZBxxL0s45DPT2rgkPhKlnnE5mt955y6JZ/oEK8HzYh/UM
+kWhMLf+je95E8PPzNzSbiMAVie/bQHCN0+BTf3MboVzgWkdbN7lybjIlbnZ2OPSxowu0hWpLPMl
DgSCa0wMtOXv0kWB4L01ymr4Mk1SLGn7SApS4pLFsw3igsg3c3eu9mzEbDf7wUmBYKO0G9twE7H7
QHWw4v0hQ1xQjF6KS07JNuu/rzP2gaRKW+Rer4ewoCmGwNRnOsvSK5LZRkvcDCg0tsWTF9uWIqBG
QwMrl2Rbl+aoFWsocXJZppftZmneHaQ9jT3uq57DVgnQzl2K60063+w0DlCjvFGzb7PlFo2Eu7Nv
UF1wFmC4MPOzQmluuyAUUbLUdmbeJcMEpNfN/ElaGMnvDX2y7UulOTH9xjFqqwgzd0zZnpAjMBm7
hLPD7oDBAdyc2LIHxYKaZM8M/YKnLxfvMsDQzT0FFcPW9BLsY+SjXQt7ou7AdslxBDWbWUZcJ1jw
qH3gVtshOwyjZDlqwO0W26ygX9gfliAz3FvNPAy3IbYozz11ElfnbI/dKoatK8mVfL5pzOXyTlAU
3cjPPoRdf7s5MwYRLXk+Pbsq9sBZMTsGA8V17eGJIDuL0VM1yd41x0Q+JjhIAB20HP7Lh406VyyK
2eAukYIreLELPA1YPEGOHhVR149lTerT9nsYYzos3DVHD4vte7vl1kbKCDi0LINV6ewd0Yf9zAiv
QpywE0ZKDEPkBmTJg25n2Gje2BiqFzFj6H4AF12txX/FgLDqH81aV08hGvGCNdTLXJ59EhTQpLXT
2L0TYCoNHNFqw71OuFKyZZsul685e+56KEXTVl/dolr7h7olBPhtZlg0366hUeHcZUAeuewcb+4a
SFFNiLGoZPCJw9E8e8F008ss0e0OW6HausK/LweQCoaJmTnPCPZCqwPJRB/3g54RaKqxSqCkX/t5
QVwrlsoOdx3wxfAS2tboPvoVbqZphFFEqVHzV/aStCjE+f5gRgua84sh4ySrIrFW87rGYV6tJhnZ
JMJsjuhLMu78obzGuNWCFxeK1Ik9CrT1KS3srOXg8wdxVqC7aFTcwbaixWKHI9Y+HRRTL6T/ZFQI
YRPR7FXpSdjOEDP7ndfLhOxU82jNVmYfkg6pFbkwolpzfF0dz7jryrZ2P41KEud7NDsBkrJn4Kb1
kx60M1wbaoAK7hquArvGOwoFDcwz5pKC8fZG0fFF3x0D7WE3SrihIIQs1GD8xyQfMMOCdhHUpHGX
rWMj7+5XRSy3VRdB8zUD9Z50DNlxkd9C7ObGMRpF1wooYsobCMhJGukF8YjiB3gvwYzfv8GW1SjL
4+QjA6+yb1nQOANsSvjMo93Gljcsq7/3ncExNk9cvkxx97P6NpcKLeUD/ohtC3zR5tuBiodD3Xmf
5sXrOjfuEvxC8N00zZQaZZmERzXGAJUXpodKx/rH2qmgguodwhM5ViDpbS+3DLbysecA53XIXH/b
4WpYu2wleMEnVnIo0NWl1fbFEBFfrjI1KEk9kpU5ejykbJwyOBLjbnBchOBnHkav3eoUzKe2zgEu
I3pq7K+mugqPo6xz/5lw6i3oyOpwoQqPUL2ZNXSj9NgmPYVa8SkoMcC2j5CDqYJRVW1VdLjABPQu
iwDUc75MjDmZOcPBTcz9ZDX+6pxC164oiTACcNhT6rHGKoVZcIUZZ+R5qHbZEOvK5oye8dqhNIEc
OXCDukZsJ2cg4ePmEToHwWePYhUtpnlITPi9FjdvfphJpDXvkvLanutXyLjYUUpXEASPx7UVckVN
0imrfwPC2+pVQBp2G3uA8fXnPMumxZOuQNqXtsBr1mHoUO4456YTW8mShcN2j0gA8Qfr+0jWDL4O
ZP9NI5pCq2FusCNgCn0rROLe4/azhy9bifQx7vFVvZ1SP08w12q5jyXjZ3Y0P5y3q7ccIDcj6lJc
LFrIfTVNRzUa3NiNe7ldwaiMjOXz151YJa/QbuwcZPI7Qgn4iW09+LUbl1azBMAYBthGHuUmdcCD
V+vEe8ZcndnTj8fIgWlZn2n/xuEpkInmGzsoWnhGo4Jw3cM+Kqc5u1vnwkzCl6kkkbg8wepM6/nC
pRydnlZBZkO2I/l8Gz4hW5jy7KIzm62oMCGkUILP4NocioEvWSw18zpL46tj9gK6LMZ6FM7I6Dku
JyKpe+9kdqmagjviy+w2v/ITgZ77tKzu9h44DoI0vL0BS6enSrnbKyJruQ28MFrjD+BptRVqFmTZ
51xa2wJzkjGX9lHaAhulOP1xumbTBN6JQnCmUAX16KgCfaff6s3B39ZjUhUFlbXJHSi+43DQ8Av+
//anqUr69W6ucFgJYivjumyojmIrDUt/RGgeW1B4uJgfr0c5eDyXChiEh9orNr76CgsGwiCnYCZX
9ET+QSl4q5HUskzzhZqgOLg9uGQXVQ0mJ9eoydJpiNMK2fGI6RCSEYpa9Fg8W0gQNZ/VrD1fweym
fBtWWFtpHWL7CxIswrx/m/pxg75UOXYDm8syu86VO+OqQXK4Z7POsMDbmsCi8+jYTEtvD0S56I/v
aDx5zsOCqPbSmW36Jx+yuZ6OGqOX8m3KLM1NAbnfKh+VmhO1hmqDnm+baygXy/5nRxysTUhhoNMU
05x9k0qMmA64LDE4xurb0O/wEuV6h02YaUb4VGe0I1PWp8o4Bf/F3pksx41k2/Zf3hxl6B14Zm8S
iD7YBUlRJCcwUaLQ94726+9yKutWkqpHWd3xnWRVVmUKgc7h55y913Zrq7/Hi231GgGIKJBvNJR8
as9O/iu7sHYyVJEv4ETxP0YMrIf7EF8dd02SBc52ffIIcUd+OjglexTfqZYHrrpacRejoeY9NKIu
x07VDzxOrsPhae0h6uOPhSE6uPtaOJOMN6WYePT3TD5jSpWMYdv3X69eOeRqa5VrhY+if8aT1zVr
ySxNPRjYnPiZWmjN6pHE/j+W17o9TWXDBVlUxe34wH3cYDSEesWplqP60sX4qKIDxjTahSQd9mfQ
kUt38PrJyPdeZ1JT8GHTbPYH1iQHlk7SNSv+GN+WaLp2aVOqnSiGP1bxYPxVNcJ+JSHv0CA5ZpFi
w9+7iGlGVucNxCdVBf4qLHKkF/zoapnGOQp4y2bsDNJbqHjtgXk+4BFCt3j6x7gsuaWJ0auf3hNv
gXAG8VooJXmepQ1GtqY5wj+4zDxRQM3UgiW5jVocTKA6knIFCqJbmAzEVpl9s6pJVeio2NXKwfRO
bXQLUFGcy+ddo3/TMyLsBHcVAx2lbfrQD/SmCqAwpoKXKZSqzhxiLY+dtcZ8Pyc5Glkwt/TzQ37s
qtGmgvXnoOSCVuexcXrfgoS8VHq6dOWL445qevPr0cg9TXV2/9NDCcJ0SS5WAyNGUx86qyYooGWg
O/GS2KFanyrXttA0TizWrF2fH+tj+IgwaB0L4lpMYVvgnz62KTvdgIifZ9bLZBXEGpz6uDB5ElEH
x7yGKLTwPSBxrVg0esS1HU2UIW/I3q5Ry6N0HTI12fApedXa82tl/mv2UbaRKhFKJIV8EwR2Vv7u
85//211R5EU2tipZyDDMj9nIUxsSEjIK55tMjInfwQdKlYV8XCmhPj/Ub8+cRWPYZxTEJAgH4Md+
N9uoxCzZQH3zY/Qh8z6ciYV4MBahXhFMBuMfH7mPIxQ8mjAkTdPhmI75m6iubTrLi+jff6vtWK1R
Ejb9ctMnrOy3kQmXe8Zew36fzcTM37/myBraa1a7wjl8fu4fLzNTU4f0JjVV5XUD8ff+4R9LOQ2j
H1nP9CQoHSHM0qXySpTa8R9u6MerbOLt4GzRRXE0mmMfZm4ZG0PPQk/7jLxaZJeyztUHKkmp1PZD
bKpd4+en9l65yNAEcyltZ4a8ICLZNKlT/1uCEPCahcVkbp/bkjlRvGmtUC1zLIoz9xXxWA7qOU6i
OfYRIDgxX8bPf8AbwPPvExy2WlDndYylAh8NAsr3v4AqMc6NGvczSSdzVG6YZS1QpBpQHOnu17Zl
aGO1NQYOqtbvv5rimiNVy6twUcDFh/HXxSnwgnCNaP3PvMUgGC2qhQWfOZ+ELhsrr1t7ltS8cZUY
mWS1FqOjPpYDdhMcdPAgefFXFqsTexEpeppHxtii22P7Rotug5cdec8hYbTsLesq09Teqhs6te3S
WkIkaCMnjfqcu3XC3kZ0lvrEo3mq+VniV4O+Y2vPqpllpto0pUBA1OfVNNRmOUyLlJVE76KR6+9F
KTynozlM4LRPcZnRlv388v/2wAnbJFITPyTwiN8f7Z7KAn31Mj9VcWOxZ41qvAjV2l+k2gH81bL+
/JDqbXl3w1lqCc1kRuOhBRAf4+QYlM2y6bzxyY9c1WPsE8hql44nzEy70judX4BPx+8poiYDlgdN
2ByryJ8GRR/PXPlAdVZO1+e0Gbx/+IhCaSsRi8n4Katofx6TopXFFzMbzfbC7OQfspw+riBYGh1h
0SlyQcp69sdANNfQoySuu+55aCCRPzipUI9FmtZqZ/X55TU/vNL86Z5A7ay7gsmb9Zv/NBrRFeZg
OL+UcMm9dUj7UkbbiDYqlW6Swvu0Vgy8C/5D0LDhuZwU7J2tsAMlv6atSwuGkkfN7+vRytmHGout
NuoJBIpHkql5K+IqjVVba9JUG8CTUPsxgXquahNnBdOR+wFXHienZQ7fIqzXalJkDPiWqKoMEvCa
g6axjubbsiIA/Ffg5/fp/0av1Z/n/FwDWMGWzntqk0/528TUcSLpFy4g7b5I1Zc5rBhVZCsNrNPy
8Pn1tj48z+qesnjhLSeNkr7+x+cZVAI9VcMO7z27ejtW79A6zYZGbfV7lnqWoF+z9xyRDlehnErV
Jf3r79qhVx0CbdS5uI6N8VQNNPKalc4siEgaD1qW9tpy0fGqgrhJ6iIbd4TMUDBtsjKkPE6w2FKW
/DX4Y1qkhkga0Su8O4uHiXDAWlqoG74ghHQetbfpuPjVmhiMUfV4YYuoO5ka7FpGzBos/NVatphs
qYx+jdB4I3l2U2YefPfCkC6HtZqNYqQF8vkl9d6/LuT1Er4FoxDBksO30NE/vJsNZzB4IOS+w8wV
j2lbOubWZDy6dzMP4uCEDWQb2ZN/AmKchwhjw3IPBTN/GIgZGohy7kuGppG18rUZIy9x1M2XkPq1
uwGDPsRB7A3mPvHTc8Go7ftQ25iX3ZbEjYBZjnsN7qI6xRDML/kixYvK1CG+XutS6+vCHHk4hgT6
OiSW+LpNlpWTPWiLJikO8ilGley3NzZfJZKTSPi4FHM7rGU9Nxtm4vkD9kIbrr7JlCCtoVbxERkZ
4Ukjf0Y14Zzm6S1uYWlwD1t1K+5Nvs/f6rgynFXYujEtjKjr8BqV5f0oLEh1loXh0tMxBq81+nZP
hIITUKPV7Z1rdx3borDHwNSnW8YEcx2UzIsmmLR+oq16uxiOOSxBOfoDDZs4Tb/2nksMmhf22VqO
bXW/pD0tMdvQYrp9mh3orn625ay/mLPsng2x2F9iNMZBPLnFKRNdAq9lTv6QGvd+seaBYKzMYqZI
46hTf8sIrGj/iMaJyh/cLzJZzBC/BPnqMuW26e6XPzx+7z5Qvw4mEMqpzzx7uI87EqwLbO1av/zh
6qJAIzTp90ZJf3VVFNnlYFs99R90kDMjQpH9YT/225P/dppodRjZsIh/rEd6p/PxcbfFD+yVFK5W
XpMVWlhADv/wmXj7k/71GX47S9s00eeQassH+WMROZlkqw9oZX4YoyLcWSafi1VFwZOsiSUTt6VZ
hLdJF2r1Ss8dv17jf0vy3ZA4LkmpEtkXYj33unVb/1hqjfjC9xZVNn1F+VAUbF5MgNkE8EjDPsM0
LH8WPdmCJe3ZMzhA86uv7KsrozJ0KE5ZdG0VxGasNFG4dG8yZnHGiC9eb/35R1pFQLObvt0Cy9S/
gWsjSoL794e90AcRHpdEbQPYBnFdLL7RH7cEhia6yfbm5QdEPS5+nFjxzqrSHPbp9K00/PzJ0vxp
3ZsRQw+QUe7eLmenXH/++DlqdXt3Z4QSa8JcMw2EYyT+vt8RG1lYMD6IxY+oZ3BAO63NABA6UBM6
piQAye1i2kMmx6GdaHXBtKcqsD1O/iVBe4OEQhZp14sR2XtrmWmctaH/XCT004M20y6TuRRg2OC/
WYV1Tw80v640btrKZTA2B4ucGLukVRcGovbFLdvGodqOdvJzdtPkyhJgJjM6xfskqurrAvaeJH+m
61/mPO6/6I6ZnbXS4wPhTsa4tUw59viFkuh+BKyfBnFDitYQT4a/ghvFCECkTcoghG/iHd5V7wJH
tv3VoKsNlDfLkMJ/fnHfy5K4xVxbiPeU+y7VLCyb99cWYxLjNWI7fjSJ7VzBUU4faoDTZFk0pX5l
jNQSfzjiB/TM2yHZG1DiGKaFBI+4+XclFnlIeVvw6XxN69Q+0jZD7R72s3aiUZluGURIVnpSHX/U
2PsfkmiSF0ni62cAbNb2D2f/+6PFVpPl0/RgXwPE+XD67QiW0ovK8jWaGDBQt1fhc9UueCKbYoZJ
pZv4A/qiUmF4Dr1C4Kmus4+Rw+IZGn0fypgGqbWtXPGIvn9QrV9a6KXWxZeZm3T7xrKmK9DX0SFy
BJ4dgkvMcdUReQecr9axj7eGVwXAAZ16p3FZtmkmtUvfNQb+gVFoF2/QkxkjQrlOye3ZRiNf76AC
1n1RMOZlR2kVA8DeJlcG9BG/+8DQ88EZKE3Zi3R30pzKA1Yiq121ArkMTyLjosCl63dj+UnJyBVF
3aQo3OFWunkeBeSr1Jdj7YOsqBLgyAHXrzII5xJju9MJa/kq2yp57CGC/7QTM6HVQxzonxpfv68/
5GWQ2sze3SDL4Le+nmUyCc2mMXslBlwXCvWWvqDymJkacsuoqcSPpevDg1tqL/OQjmQ7uUNd/A8e
WE9JkPn0eT4Z7R8eWJRSXdEtIn8N4dH267cbAiwrzi+S3IU4sAz+fdOW/XZ2Y2zcfjg9xV471Dwn
BOR8/sR+aNC9vT0ejk8CQBxTBVaY79+epejHoSKP6zUSunvXuEZ3a+aathY0dk98F/urPm/ksbbL
4pBPlnEpS8GHTORyuoG26SFILsfhItF66yfK+cZZgSvI7v7wK9/XAOpXuuhdHV5xNNMUlR8uGQG1
M7YWu3+l691EX9hZwHegkziveoI+rkx3yJgpQSrw1l7rVD/jRRdAEbB5jDscH92D4+fRhS7G7IvZ
2j0TEr4CJCe1OZc7SsFLNox7f93o//VZ3M/16//7P99+FHBBk44i5bv8O02KJ1rdoE/8yAROlpj2
/s2/9E9DsiAYB9GA0rgakOT+5bXQfOMfDpXSm+obv4XwMEL805Fs8n9RjdJDpzin2Ubp/k9HsvsP
0tpRy6LQNt+MzP+J2YJOBq/Fv/YQ9Ol5EontweNMy5Lug2oS/K2vl7gJiyKmnuPUGCJZjXWlTHCz
e6oboWG8nAx7bfepf1dnoGlXErUgqKPBc6Z11Mmq2bdsOcPAIx0G/q6ww00+VBSGUtenc0/Ihb0j
n3HWzmS0tV+b0gaJOtTIptDI5dQPg9kNFzlZe80qD50e512hLzZ1eO9eYN4UFbrMdjksxiLtVUnU
3WZBMd4ydU+nOEB1CWGSghcEj6c1Lz5kl+9v1n3p+dEmWnS+A7EazwRAkCC3GxGTIGDlkrgQCv/L
kSyQVTH0tx1oya2gVMY0mQ86KhKWt7s6TefzRDf3qo1MNlApAx/oNRWTndQDA7UqHZJzV25a3+ZO
Pez44ynflmreRyNGKFNZoozY2+HiwyUVV0m1dUAlB/jAlYvqzVE1OWGzhexrfs2V4SpBMX5nmJPL
sMB+jgZlyyJCeV0qq1avTFvQs+x1bJhkPGLocpS1S5sx9060Dm8soeVXVjneOjrzPufNFVZPIv7u
KquYTY8haJn3ngzFok/Ig7nFE467rKd3e9n1WM6Yd+E+k8qIpo+bxqyqqxDp8c8Ua9d2yOx52zmJ
F0StYIV1/e9OGNL4QawRuMrwxlcA15uzfPVtTYX/YYurc+c4KKOcUJa5tO2sW3hM08lShjpUec25
zuKXVJntnMod10s0nbCSzGtHWfJcZc5rgWmdWd+Lu1xZ98os764gl8SBsrEFoZ+dWzrgV9qEHTvh
jf2SKSOg3ZnT1azMgfWETdCgXF9jNIzW+hBG9+gn2WHlXkPcXlpWPn9smhKPXtfGyWL/eZz1nvoY
Y2LU2/lZkBEUr7Gt+7ciwcLomTaBnG++xjpalisbq3KQ1oPGtneqdsubFdLkiRbKHmlmtg20x1zV
rWVvgTF2lxUsrKcBpnWy0aSMj3YaG7QoMuytloUJs0Fru+uVMVNr+hPb1O6o49lk5qrcm8rIiR82
ZXA/Qfp+83l2PINr5HEFGaVKebHIB03Lt3xubz3lEg3FyR78Cfx3+TgjTr2JMZRqGEvJ7/Chj9m3
BnP6TYn5tIOLeiiwo85vvlSzey4EHxnV1Z6DIjFPDjJI6HTcqfmHpvytlXK6Yov6avf+FMCJCfe1
8sOOABE2ofLIpphlscB016byz2rKSZtnkXOYlbvWfvPZpqJDCNhCEIfmhJT1KJQrFwrQEzHNzaYX
RbsjT9g8pN1xwcorlacXKhgolOSqVG5f/EorrSVcp5jSYjMSHrnN/nIHd7deaOXnWnmHB+UiJpIT
5JzvTmf0dMuuVG7jWvmO2V25lzZW5Fl5ktvZDrM16u3xPNryocebsNeQNl6NthGX2C6rzh71u5L0
bNzOjdGa6c38ZoMmUwGvqfdCuLizcd3Fv0+tud7aJh50dPzhzWx5yTXxBN9Ku7YPDnKP1ZIY39x6
cFBatrp87lpOWS/iGsBQbp6ivCy2ALl5pPUIukFh56SSxvnNzLK7iifWuxwtZEWlND8vPcHmQ8j6
PPQ8g8k8zc+oGzCGk37V3DXtdFeitloBnS6u0TTaFFt+3tc3kROyq63HuNvVpi1qYi8w5HdLWh3q
jEjyVVISL1HVpX8rU/GzRjAXROZkbMfYy3vk4UbSrDSXIJfaLakSApjY/RQFVe+k/apOXE3Rbpat
Z8oC/X0z8YqX9ZhPhB3kc2fYiMhKeSyQdvZ8W7Tme6Yx0kF7mvY6w/fRdGHWeVW/StEb7rPeS5eL
iTzS88QH+85qQ16RbOTRO7RycB47g9CsGJg5cceL5bxInv4kQCAbxYGhhcJejW4tbpsc7tU6RFlz
JBrFOzZzqG2ln5bRPmzkYU7IeojzPr/zNFo6q3bQxC7OUIMBwBvjpxrM/WYw7WJvJFH8zfMIq1sV
XpumpE1K+wL7tpGsCG4T7moBK3gYao/3wxoG2irTop1rlvafJf6vEbGiOV7Koetu5slssGG7M9yp
hf5StEqdHtqGPS39Vz20mm9NqydPfJOjcjUW/WVnLcV1ODj+Tx2ZwgKqJ7Ru6WoPX3G0LVfw4w7U
fPkrQhsXjJvvJKsktpoeJfAAx8G3kwMiukPBagu53zDn9Zy3ROf4IVeRWUTsPfTD7AAg7PIfWopf
6Fj0Jm0vt07GMxFP7gPfEX9TT4vC982mFqDxr0MYaQb1XptM0/eMytVmMSKg3c/K4WYSxACtijnW
bpLUpcsK7a59Sucwu6K1hYx6CKUtAtMvlgMTn+yHLZvsth7LOzDcoxkkSxkeMoOMWwMGJQiESjbX
C+EeYdCNnQdaqkvCAs2Fr1/WzOCfnHEeX0PSwJ7JaBu2pZb6YL0iP4KT38zaEVjRcFM6rDcrC2n7
d1ufu2uGMBF5sprXkao71yScamP97EekpgTzEvaH2pAWZOskbeaVL4r0KyYQ2155lSVvU5sA85U2
ESDlMq898M4l6a439XpGoDgx9Mhif4MoWH8KfQJMNwAYsmltwPTe9UDlb0O/1ncNfoCg7PsyxSBi
Q8mz4pQIZwYmgZWZNGxG2RwN6Itrt0ZKPw99t2bgDesvrxfsJi3hNjqwMzc15caJSx9cRlefjb6T
685xwEpqQFFWIiSTdhJpfeiEzXSmoLn0lLWphPIQMVEIUNdVj8SJ1eVG2v7MBChtlleXDdQlwk+a
gKb7wsTW/yLisvhWRV21tWL6AOspFQAx5yFDoTb6GSuig0T0kFDIXvpkZjwPTpvv67hGlUNA6ULt
as3WCwV2fJKhYT34cAPJAiqsyaa3NpANV5nVHno4/zVb+szD4BLPt+juG6LHzNj4NpDPFtSlUz9H
dijPji/9MkgnU3/qURGHcD/GnmdJ78hzLYXxw28QR2woaiPt6FVp+JhgXPkCy8Dt8HjF06nveljr
KXOpNeHwTVAIKzukUXajL33y2JQCcNlAhBuRSYOnbUaPTjD2Np9+uK9f9cImJ8vHE7umXWpeuzl7
Qw9f5w7qnFPThxvsF18sABrtqo4eShuO+SpFs6+tDM0ygEYQdrSjEIyuOmkum9FcwoOZ5sNusR25
Xmorh6yj9xf04jduT5RRnJp9G6CIEK8051p8CF0ZKwVx+4X2S/ji2lXI6Ee3YPjb/tIFNcXlJTFV
2SFimwWzJ3R0FVMdwRUn3ST9Uev+QLqJ+ktNNj1LizVekrIef81DtOmJo8c7PXE06oOwv2jryU95
wF3vlLWFD42fPSLStSN+NK3blm3To6L3YUGj5coeO8w+GDvCkV5PnDiKAQeucgMacjllmlEfR7Iy
LzjD/MK0k+R7uGAHp3Mp90QfIbvzrfLQ5EjB0WJ9Jat67AMkRO23yGrEDfNF7dXQk/bXMOp/q+Q/
Vcm+p6rK/3+VfPktKV/flci//o2/SmSXitZyHfqs2BaVvIRe41/QLqAD9HMY8iGmQeslmPb8s0Km
rlaTfk/49CgRN1n/XSHb1j90NCJ4JXWDuRqjmf+kQn4/UKI+VhxFMmXpsls0Fz82QmcMxZactWXP
OjH7G2e+9NLrv12NfzOD/v0Q5Ok47Il8n5+MTO99CR6Ofa6hS1r2Q2ixgnmK0oigmEv639f8f3AU
9Sv+VujT258mJ1bZnuVzpz1X06v8UyLun07kwzxCJJVdVgOH6Jez0M9zsm6Wl8/P4n1bXskK+UIj
BaH36SP++zjywPNploPmYT206RgMmh8FSV2di6LZObFd7D4/2m8n9HY0PNXKUo0f78OdEROaWPyJ
KLQran20Ns4qKcS0yaM6X//nh6LvDzRIacjsj2Q4vXPriQ00JxZ70f2U2uzKkbBe6vKPusn3uo9f
15CuD6MrAAcc8cNtMjIHS4fFoYhL7S+yXGZ7t1WqcKZXqyaail1Fj/wP88p/dylNw4LCi+YC5MSH
g9I1MkyNwnw/U/GtCA8BStN6NHo0/vL5pXyvB/x1fqbp8uYKFEsARd4/6Zml1Utda/Bg59gi9SfU
Uso1Lz1kpj6t6Ig0N/UMBZbNcHzZE1r1h+Orp+JdS42nBno8yxbtPpamD08NFsY61jPCDzyMSBsX
788KTeeXz0/yfSP510nSe9c9WncskR91thMUEDYUZruXsjF2YsRMvYqEFV7lpr7sl5nY+IE6fMOg
tt1+fuh/9/ywfXNM3WfN+m36gPgXhoJpYSTGZrdBQiopSTS2pULTVe8iomKfiRXefH5Yxvi/v/2G
gYlOmEzelI71w5XtECukEe7CvaOV7fdKuDSoiH0kV1mFFjshDENLL8KjnpPzbJGRtZ06i1uQTsYO
Uf+4SzBhPJjxYhlUDF26bqU4U0sPzjoepvHCb91kS6anvrZQctKlCcO7RDd7zJhFn96jh5+YCYn0
1LmDoC6tn+F0QX8jODMHbbUnghyaHvrEFd1fd51pIr7Ma9C6WQOV2U3a6uS2fXqI9VycdG9xn7RC
lOgmnTm+1BvNPeVRzmhVJzYm1hxgYRFlM3g4im12tv1FT/3zhX1OvsZBYAapaL67ZiGOYVJYGxqg
w7oTS4F1qbvAfSK/TOVsn0eUXTutF/mmstr0YBc6fP/esLddxhoqptq49PSMEBPLnlYsQsOtJSR/
SObJC7EwNwPjbc5IHzvjEi8qn8KUZTcC3HwO02H8jnFoPg8LQiPmhBOPwZByvGR5HUs3fIxrmnjr
gjjPL+7oOhakNOO1bVW4lYPH5afW2DRypxQ1gG8mXrydXGmfh0HnD1IXGFLQZTU7plwVUsEa8YGu
C6yqlJ+hheTVRo0fAiPHN9sBOAPfJ4I+T7WrNLJfZadR2s+y/5Eu0xd7MV996t2nCWtXQLxf8iiz
KT3oc8MlaWNepHK0X8lxaf1VPJIzkjasGCkxzROJrnTTetQzINb4HaD8s2PhO90DTjWyb6dGnAr2
+Zd1MYagrVtj13djfB5zMz1EZEqt/bZutyOgv11lmgsRsa4bBT6kb8Sis54GqE+jozPb5n4xXA5g
Lm7QNKnc0RzH+O+kw11WLf2dhMsbLK3f8WB4iXPGnVqhvAizI6MGMGZa1W8GsILXns/lJOCSSL+i
rc01MQh4jJkVpgcUX8W2zjGOUu0mtG57jL63dh9G5xll1F1aIrxbKTrvtZmrwFxsLTvDbsMXuObg
EidSe67M0aezQ7Se6Fc2aIYVJFP7eo5bcz1HsxtQ/ttHquTmoiFg4Rae83Bw/dq9CRlt78j0sm6E
UUQXo+08wF9ezlLEHaw9Wk37Pm5c89C0EptXP+VTgKcjfEHJAOOsHkEfW4C2d9Ucez/tNPN+0oFE
UQst7tRC/H8BRWBsSKEh6pCwNH2jddJnpuCr6xHqmYtQcfqRA0eAiTBM+QYrgU5wmDHvoYGbF1RW
9r2ORXuDeh1kHRnUxs4jzGznjPb46Jnh8AyZPT7r+Jr2RPvkLkOSCS+aSAZAKrbhfTeyTh4bfIBX
NGvGb61llZdlH/nXk7FY97lPsP2q66gOGbw4pxGpyI0FJn0b1a13Q41WQh1xxjO5GwQupbG8wifi
XhiTmC+7xndOWW2VO6NxhgAgqXtX00lcy2Ve9s2oeUPg6CYHaAy1eKHskueWSSIUZD3MxKp0XWdN
zGa1HcJRZ1LtSoIB8yqmJTiksPjdbk/fodtkWtHteDSc9QTTdlvPdYdDEAPMGsJVt2ZDaW9AdTWn
fHSV6bdq4vsFPVC0igCGFLw0sbtOfREGpiiXI782ujeNajnOZF+eoD1AX3ZCsNupW+rQ94rUP6B1
crYV/Jk1dbJ/UEInpu9TtaHhqe3aOEsKTgC5aQBgfMHtpMsNjvD2oLV6zmlA6N+GcahtRKiwXaae
+wHdI67DhNkHt5A33YCsIMSikZJlbMiI9bG9XZzq+KlYBZ7pTZGNPAixZ7owvAq9XLYkfjsn0ivL
HQ5YgP10AGsobJXxIkVJgmruJ+HPzu/zh7ljYsDoNzu+/eNmSbAerdX2gGKvMFFWivF6XNLpmraU
3AxeVs0bnuE3sCx4MXI62tXbIQkKydg6kP8bEHnhd4i8pP6SZbL7KibZrQcMsO3Kbi1tkyREF9Ia
TJksReatXU7hU2rH1cOQFMVO+sgcHWcJN8lCah+AwiIYG90P9KnPjm7VfyO1VR48ZE/ZKupTZ+2F
GYlypOCxeLbDlS91Ll8ZO9qmNfzkkhiI4dLQJM2y2aimfYWN0yRogYjMFhlQtNLJHD6mnTFlK1G5
sl+T9LfsZVnzg/WJUCc/ydw7Y+r0R9kNyzmxO25dXXhJ4ECtYD+DY2q11D2HTTJCt6YFeaaBAZNW
YqPd00EeUa5O3HrPWoyLipHgoc+t+Idv8E9neereFa3rnEIDu3/kdt3abCK6CQ37zR2FaEt3W8se
EDf6u7Js3Du/cbWNgy0x8KQsd1HmY8ZVH7vONyB9p2K6GYmw3wC+8YPKJ4ImDt3pxmI28M0oGoYm
NQ84kGbQZzzRgdBtuSlsvXxN+YYfzE7v7vEkY8eNvOjGjbXoWqa9z9CAJhGCOOIT2rrcea3lPkpq
URTBiRkyGcVuEXRFCTUeD+qNlNlyXjR9eB3KUPtSqLbqAhTPWHua+9d9yuQU/px1fuxkW6QL2LVx
5SS5dh+FGYsM+fPHNDdVoO6UPIFiIV8IP/lW03vnq9Wjqhpazf6aOvV8xZfK3cZNrK1nQpnXGg6b
vWDed7lEWntLg4vo5LYkrTtDzfN21aWD7KfqPI9EScCmZYlHgETUk9NWBvOqGNosTbeg4kHcTtA2
T6KJy02pUluKWcI/A70bTK3OmDHEiXnswSNch3THDkYRE7Hx9iwvnrGcfc2GdkGr4bSAmrwSHeCG
AkkbXEpIwSvHKbNrndS9A51z99EPwwFjvG6j60j4GDJk5vYvDbF3XbVAg+/oSo2+VQT6nMUsgYZx
G2vJS5vN0xWLwnwguLC8xoi/rGGEgLWcu3p+YNLnMAXGQ7xZ+rnbCiOjherPKTRmkV4zodS2vWVm
R7svsI+Py3RjiFEjq6WerhvR8emmQSp3YHI0iywgYEtrOlUhDU54Ohu+TcOBvAsG6iHa48tREjEa
lBAc7vtqKrc9Cw57IJQsJ8SK8rqJyGloMT4FmGWWSyKb6mMTukpfB3QCWHWp3eMtIWQVQjY7ZtuC
lTKwbADR49WUTp2uli5x0rU3NNaqqYdyJ40yf9DxYW6KemFb7SfGC0J8AlGLpsMkOeovgGPNHgpi
hQnU7sJjTEQohknHPOKuXM5tJsTRHe1548m5BdtrDihW56GGy+S7w7SSA1rWFblOy1l3J955zcLO
HIT8zb2tNREuyTAeLnqppYGKL7pJLUDoeDebcN8BUt4lurUcUi90dyMpcuqMrgWRA8HiOzHx4An5
Gn1S3NHPbDfMTMvNgpuFmJJK0t53ZvN5xlFOYnvZ3FnwlPNVlminKBxu+noWKzg/cTCm2qvXSLE1
7PLR6iF754wnLjiNbE3GIiunE3Xt1vPacVORNLsLwwSFOfuSE6Tetg+A1IgNO8T4WC8O0Fgiu8w6
qcg6covv8HC+Q3W8nszO2prTWKh9W3PwYkbzYknuxypegtbToj2r1Y4LMQSGjvItCinvQKg9kjnY
BjK1KmZzpE2scV9Hq8yCj6B7UjvQ/IawLmrOt6wdYBQ9qmJW7PISu+RlXcZRAOSt3LhJTvoJBuN+
tyxp/Bz1g7PP8OMyYe2nYYP/v7qrbdfECkwTF6mzGZ/i1K1vyjKrHzXSSld81YunDu/A93oQ7h2t
XHta5x750oyNlqOZ+NkO7HO/x+6PjKSKGvvG9nA9ExDd3tURRBFc32IOpkklnyyuu5lEG2Iyi0mg
AE6+xTJBNw6azzFKjRkumET60S7FyfA1chgzZMgtrJfIGustbuIsO3XlC9t742miHL80/F7qQWs6
1XloUprvZtWPN+GCP0HiX9ulGmkc0kPYbhYFbe/M1+IIzgp3cQ1l4MWO7YbMzXiZr21DpufSkdW2
T+b2CZE5aj+iXMyr2fPlU5bH4ki8a/k1nIWOnb/srQddfSFdA82zHnvxfsJefIoTj0CqopNfS2mB
TJLNeMydaDiBn8y+S1tlUsQGN5dovPAGWkjxo+iEHgyuYX/rurQyeUVqcTQy075oJRW4C98O28VQ
2tS6nd1jQ5f2F6sUxSYLHSNTtO74qtLm12wQ3qNZiXKj+wvCjihfIGHkaZAO5N+wx4N50sZFzIAQ
McTanVtWsjRP94gdcga8KO3XoC/c40xVwdTDWlajgc26qxeEyMU9MWPwzrE9RKzyK3q2ZCb6M0Wx
UX9trfS/2Duv5bh1IA2/yr4At5jD7URKsiUr+lg3LDkc5gAmkHz6/SB5d63R1Ex5r/fmqI49FoYg
0Gh0/8GiD1FQvQAFJYaNQ2a8rwO3fKjzsv7UL4V5gU0SqdQ2LtGDsZD5RkQUxEMntTLkuuRqv+ae
pvVKts6FMbj+U68hUs+9099zi0FgR0ujx8LS+k8cijTK2zZ7mQyrfsxELv5pBuAx+0ZzZgNFPCB/
+7FWksnInJtcpvrq1raA+wL9TKfnvHUxaBhgdVzibPMLMquka+obn6bAr0AZ1suPqkEaeY7AMbha
fr3UYwGEydKKfQ8zYS15Vcgp0llfBaLprykExtcZyRAKX0WG+pHviM9t7NK2bDPzjv3/U+kbQcDo
RwSmoL4h+dAvlwg9D19ynSKDHRfJ0wSmhoPLM7ZGVUa3XQMrmjLYs5118tnGPmsZzM7eeS4AXhSE
DKjzC5EdMTwQBKqfHXhSWVqJFtxQ0ZXriFaXmwz6bhlH+vms+FDza3uPqp4HlgXV+1XeDh7w2YC7
aWbG350ZR5SKSIgYtBbv/HjyHrjqcJ7Q6nqOwNdumjj4ak+2vNIbw9zzW8yNmER/b6c27vJ+ezNS
1PoeLxE0JGXozrzN2eeA3voemAwzVvv+XsSZMmAKmBQr8r56Y2I/pGONo9aQsmHbIFnJipxqToAr
OfROe3wHv3AHeSIg5zdTs7iXsP0BAsjeRW61il7qIF/WRSt9yoRWdo0aK11HR+MWY6JNE04d/dJ4
lNVdhQkZGa5GvblEmMify9so1dwvHs3rjZu55rWRjNa/BsBpzMcxMUKYIr6MqmS4qZwp+VTgS3dv
Ky1DbGaWSBu+ZaCMEZvt9iXhdgswrsHmdtJvo2hww0I2w7ru83o/j1Zx3xNxkXKv8EANRn3fFsMD
wH/lT6O7lxY05z08nOckqLwwixNOLBJBOvOeFpZWMH4ilfMupV3SNIxFTv5bV/8OfTamm6Jvvlsi
w+PZ7+mtr2KR5N+VOKJ+ZTRDdIWIQLahWiJZbJ35MJga+H8NTGNwnRYA45CXEgLxQMzPnJ2oKCOv
/aQNrqu5LR4qBCNWpTPjapli4dZQwnpwze7XNPUDipCkKq2w2kt9kT+QDSovncLEt9xxuCSJEVMq
I88ucMEz8Ng1Qs00s0v2v/MP9I+nMiY3tqHshWSFBdJQ/o/OTIcNGu5gFDPO11niHzy5Lx5XkAmI
iNPqt+RQLpUzykTa4Bs/7KCQVzYSu1tXWBRS8OS8iSMjHAMt+jdxLeeLo2vmbTcF/4rJ1p5itt4j
vIE22cDXF+kqaCdlbmsoZxIHKahgGrZmKqqN28eo3VdUAE4XQj9WQaGsoLMN7YdSqGvQ+vqzk2N1
gVt7wARDT2TFpVGOj27AvT92ud0GHoX808Mdq9xbNFt0G0KqbxyynOIWhhl27gzX9c4DrfE9N4CJ
Zqynn2m3HODafxe1A8RrScPpuBzS+YJl+V3UBkUuf0AGoMSFwtdPFLXwLsNNBdsYV9+7/qK/JDSD
w15Sjzv9uMeq9zA+XA+1iCP6Bbln9YuM9TbEfNK+dfAg+dzE1ElPj3JsUnmFqoat0/g8pG/ZAJ7g
1NGDeW2HwBGgHgkya2XYWXPm/R17IBvvI9DxlOZQsX2/XPJpqMa5kHSW8DncmLJ+dv36+fTjnBvj
oLtDi9502a1taJg9VkXtHvGy29NDHF0crD+Dl8PywJXp/XMEQebL1uxRROUA+xwPunlp1hXV8lGm
/yRI7GxFNSoHFmqtAIz1C8B+51o7H7ceNGn0sVHoghLOQn3/HWwUCi2tDkQYG8D++rpXkja5ADST
iYu8Cc5RvD7OK+NBuQ8IpqbhHe49QW7lz40lwhLZmSvbnW89hAHPxJOPaxECtNLhpr6jkOrm+4cK
YqPHiKMQYdpjmdE1+KLVzfjJyyhonn6HR0biIZQluGJB2N7BMgnQwlnm2a9DQhucHK27As300LTZ
0+lxjrwmw7NN3eBdEbkUfP7PCOnCfLaC1qvDJdW3bfGC6uIa18V1KqIzVEDzY7PRejfUQbORi6oL
UIihhjGgelfZoNikB6Eb+55hK8ZqeZwdGtMYkEXtRtjoD+mtiL4hTI2J5QIIK6MFtDc77tJli6EB
1eMFCTM/ay57C6cwaE3LZwS7qOqJCrXOmJIxyVW/Rdc76y+9sZiuZT1QxkLpqIC552WAGdPlzIPa
720ZVGymlUlxX2cDoIOjIB9/zmlRQEhDg5k57ZL+awA089oY/bvZddOXchm8y6FQPgRF9K1Fgmnn
YS1F48q9cF3khx3aM4ZocJscHsuI7Kh3QUTVJagr//MScbss6xx72lxSdEiBVkZtBgA4lrjttqPp
XWqZNqwnu7ZDGlxy0/e+uWacbMM93vuU22AZsjyIcGCpk00Qy/XixdMGb6ciYLZMOMmgmvTvHvKe
Zw6tI2sN8QBD2TEgnw/n+P28oE0uaMPOzEumdZ9GZIQueOtTiCJHVmOpasnw9OL+2PmFaQw70bED
YC+QS94PKGp7HGVT1mGgTEQpuqDyHLf9J9dq+n3kx/2nhPrLg50G8V+Rq1+XAG1t3XVNsDgfwRct
oDYtGdwq5K47/zO6uMUIir4PjuFmv/76IenyEo248Cic7EGgpTlC0jkPsPXHltLoqHTUKAdjrZVV
7QXqjjAQOrpsMwJ8VO5OD34kTJFXWS4NMSASNJvfz7CHcxB3z6oKuwirWyGrh3iK6fdmc/vXaQAE
XvaTB8IIRt+hJAQXwS6uDYjDpu9/nedKbkwftm5bWNZfL1PSDQBTAKOAYcC9f/9MTVfXQwznmubi
AMPCpfpiZTdIuro7bp8//3YCbR1BSPIbCEz0dA+WaIy7dGVDvAzprVuh1swInsqZwm5XKDDh6cE+
bkAGI7UhNXDoah0eX4IGceIOJU+m2Q+JpX0Vi/8zm6yHWLpnchC1l98jOxgKfA7cWOQF9EN1FiUi
P1ca3VirKUDqVgi+OjCTixER7Wq8pFZxLhs9PmJAKhooAJyij/0ZdTWw4sDfGVEY42UeNC/1bDxY
rSLfJi6Wp4P56fRsflz7ttLRQG2ErIMR1Wz/ARNzOu4dfeTloTYMlzChQtvOb1JXPzPMx8RGDQNG
Bmos2cchsgrRjikFGZ2Ho2ZqD5pX2RcNetLb0w/zMVQyCqI9yCSYOqTNg0U/aTB8s8zIwxYxxxXX
vTXC4P96lXubiZ6uGj6YCFWfiZLmx5OSUQkcHk7uOI0ebrWoXPoA/EseBg4GmRI6O2ddky+fp4BW
3YJKNzxnlI5XWm3DYPKWoKH2rXv7fhLxBYYwxU6SFmGhIO6CIc83cdOQHKi0QNSmcwU2xn0MTOmG
aBg7Z7790RfjB+ryY0DqPXwx9CWRqLPZupSoqm02B9mlNlHsOP1ijq4ycJWKBGvCfDwIEKUtOEbi
uggrJJVXdT2Gem48+F5/Lms5smERLlOiIK6rDKUOVrNXWFUjKgLR1CCCo0XJxeTq0+700xyLQACO
wSMqEXrm7v0oS6abmC5oOQiCDqNkj2NqcoZ+23XF9zGz/z6L5s4ITJQjA24oklTvh/P7FJZwwhad
8+inmrs2dW/LNvp6+qmObR4EAFDzYwZ5sIO5m7q8gsnI5ilSx/+SzwZ19sj5ScW13rWx4/+QRZNd
gGLpzhxVx2IeiFibvBoN8A+XHuonemLZY44YlHnTV9rLksW7Bv2FbLknXJ8Z7diC59oDlxZxEzSa
Dmaz4Bk9t+nysImbfF+igHYrzUzbnJ7MA3q6yp24gzOZJscRrkeHF/5gMCfsAATyxoPUn7DIrnca
iOMVrgVKHKHz5CNO2TWivf14I+Yqv3bgue4TeA5bdEVduktZszFENGwL6dOUHYbs3O3WODrzqFyq
nYk+1WHi00ad7kjEa0IqXdQKe/Fi9EG9BlrSQdDwvw4T1QmvSahkVlb6lMuxu4iC+hn7l/XiNrDr
ZWlfUEUKVu6sNasAJbozl9Uje43GFimoB21Z5YfvF3/h8R3SiXRbVsvPZjGQGYAVgw4FTez55fRL
OzIdiGCwsR2FWP2g72Mas67bfk9qHxk/dQoOmxJVmW4uqtDDDXcLZrg/k2Ec2XSGQdmejIYT6wO+
eWwLaF5xzeNlKKiho7Y2ad1TzGyXlWXO4lG0Et1doxrDv39WA5FTVZEiQTyMlLYWgDnCFifkrnYt
XImhcVvcAkuOV0keP8Gejv8+b2NAVQbAai0glL1/k+wV2Xe2qENNj8UaX19ak4jS30oRlGHpcpE+
/YRHzhzGI4eyONhIFg8yG1ildpLWTO00xkC47VZudFGLDbpi3v9lKOXU50O4B3R3cCA0mKX2JbzH
0Ajq6otTiGWFILh7lQ6GcSZ8HVujFhtK8RAU5PngJB3BxVQLlYGwK4eHIal/OY5APJz3l8biFn2z
/q8vRwQwSBemY5gmGeLBazOwmanNbqnCxVwA+njyrh3aTUMd4MxARwIz2GIdKS8qz9A41Pv8IxNt
FmTj9YgrYBE7X+Np2vuLeDizJCx+x0FC/26MgzURaFme2Yg4haB6jRVUouayczrnzhzcCJ9y2TGL
Os5Ksm02nZvFj7VsPRADNGwGv80p/g1AorCqQkJ0AgaDciZsr7kIU6tv8UC0k1sEaCfIX2P0LUI5
fo9gCr2p3McUAPLjReL4oLVxjfjiGC2APfQLjLslKEFcVEaXYzTSwf4dRYQjOfixm6zQyQ7rNF1V
edreJDD790bbzRcFrLHr0Upw5NHaMfQh1qV13q2Z4XyH7wCN/wS0UAhCqVzVcmmgZCMF3S+5/FTb
VrqWaTbsTk/vsbXJKe4ZrBOE7w+vga5A2Xp2WZtgBV/E1L/4SXNjW9rOKustrNn6/7DtyLlJ9ijf
g4w/2AtOMlcCF8Mq7EWiak7X6CtcyL46k7x+LPkhgQ59gsIfNQL3UGnGnvLEaqegCkGS3jZNinWI
9H+I/JFO1Ge60uvBMZ/jtjpzZbKOj0uVlhnlcn2YkAVNKUpM3amJ1PPyTzLpsIRaW7sF7Q5pn8Y5
dxzhlNG2z0exQfXIoMNVEciFOV44QH0dzGsuLH2AfN3b1ToCHcaCa/YQP2hjoSEEjZSL+gQeKPeW
eBP0hkvtxVs2McZaKBh0ax9/sFXeZzZEwaWJtxnfZ9MXzS+A38aXDHebfYPh2g5GF3+OeNM66fps
62me+SQs59yrOBbTXTQFEYeizGAZasr+iBEoNTlllY9VqPcvM9yh1Sz1fW7045mVdSwW/THOYWI0
NmNZ1IGsQt8pdIyr3GFdJsn29HY5ltq4WG/SV6Df5r6KXf7xMLrA10VAtg1pOsEndqoVl/GvdZ4A
rO3mM6Szo4NRr+TOgh7Uh7TXbQlGFV5agHDckpvosh/tZgcMDEBln56ZvmOBwKXsz2kBZe9D8lvM
M+q8QClChIpuzQ4/CCOav9ZF+6tPIW8l7pmZPDDCfM22uT1w5VdlUvODetvSNQXzS56WIQEK1cM0
YJq28sKkFr+pLS0J7Ub066kJrLsUe+BwjkE2x3VaffZjP98FtT0/evACwGhHsX1OJP/YsuU9W5SR
qN+iH/l+2cop6jTI3mUoRfPLCuInzE3uC4tm8ukVdXQcz+emyPVX8Wbej9ON2pxAnC1DbqIN1Zz+
pZo1uamH9sxBeixtpTgFe01X//EO9qElA2DcALDCHuB40oFzk9VtWzuXmW/cFLV4wFrmTKHi2AL+
Y8jDhDVbbISGHL0MNTnt46H+FdgFCFf3sq3HM3cO69j65UZKk4z0kbvwwVW4l77dLJNXEmbM+blP
mn8lWtTrsTB8BOeyeK01WrouicjbVCjAsWYoeFYL8icYu682RZWvkVCqASawZagtkA2Svr2Pl6De
+FVRrMuo83eTJ/0n3yFqYtjegZrQummz4BoULrX5ry5NMO21v5ka/Tmrh2s4ic22J+VL/VGinWCl
26GczfsG5CWHvemcWU3HZiFQTF1KHKzbwwZsUTRdVwFSDpcGQSZE1RF5sr86jXNFzfRrn+Lkc3r5
HnvFip4BY9Cj2Ho47U1mxLMgGQpTEWiAY4a22eEC5m+sOCoi5UpUPJ0e8cgjcq4rtnEAEefD7TJw
Z7/sTasI8SO0t0k7u5+rhAxtRufya9YaSwgO6fvpMV/xGgdJKNgbVKFRUqF0d3iuxxpWxK5flKFb
LsE6wZHm3k6McV1Z6HAndVE8NWaJ1rMNZOsVp+wnSPaUw9Jve7BEe01KILNnvtSRIiaoBKo+Kmpj
MWC+Dx3x5GB6NLKj8S0Bz2bF9g5UmrXrorbbB55rrVgpwKccZavSJuuZngzwa9vYnP4i1pEYpnjh
wDGQY6PRdvBFUBeJ3bJPS3jLmUVrRIGbU6tYbgFYVs4Vr8u76DMgifAsulVcUETGioM+KjIH4xdp
SX03z5H+T2KTeJv9ov9DWlztE8mSgjaR70D2OHtwub9mEJmE7HGLu2eyBTBob1qt6sPEFZ4yfPE2
fnxl1rl1n1vVdMO2hYmCKsTyNfGHAPNy75s+zPmZi/mx56cDBgfdUx36w8IR5bas6HqL5y/y6T6B
nxtO7pR+TRF32J2e62NDgb4EawAbnWNDZUF/JCA0nYQo1bEU1FayaXAuIPPAq/0S25L46+mxXt/b
4apX1V+L2yvH4OH1H4sQXKMQ5gsbVLT9VU/DGMbHYhv7CHu7TeUVxpVR69GXfjLltWlq8a3Za8Ha
Rg9m31T6/8s3/Mevqk/7+U2+4UfNVb+d737FaV39Kcbw2nv5HyGBzUv/8vvfXb+UiCM+Vmn/6+d/
3Pcv/a/uw7/7Q8KBGKHcIVAD5UZNJH+TcDA88z8pFKhVZUFrf9U//C3hgLgDMAKuUNReDZO1+Fvh
0PDRg6C6QPsJbVPyo7/Sb7DeX/HViPjdoNxAzxyhUtLdg0VtoApvyNz55RuQwIKt2djKYkN/NRNz
nKHJX2ytdRAhEXOHsF5vgnie1lod6dh6tzaedTW8AY9N4CByCha8EqHkht59LpyygVVR55PTfHe4
FaGEr7lukVnrmEhv/EIpcB7uCm7pBWpQDjr1SCljwBW7qdLER0K746vYjdOWN4mh9xJAPxf5HDE1
6ZTlJ8ObBV85LkvcZMzSwvtX68aaf3N6M74/9lBEwx8KkQ3Vu+D1mYfddliYKe3ExP+FpQdWc2GP
qpgdFvbYtR54jxg/aozhmiL9t9DRYovOxJ2DWMD4FHOp89MMVBobfJn372jJKDC7upv+pFenfKr6
mn4vkI3A1DA+wVYFfMOmTfoYzxXN1pam+iJtSxnPGPbiSusSOEnVQQhB9xc/3MDxBX93eo5Ywn+U
imyPiiyRiiUEop64dZhLT0mqmQlcu58u9RVKwTEIE0/sCt/uLf3VF919RlkhOtcqO3g3alwbbU7q
bURJZKEP5qYZ5tqDG+T/xCu36Fyyx6boOM2AxMcrmaVDelNF2LkhF5coutbq9GO/Lzqox6Yyy8lL
hH6Ft6hp+eNMiJ0x1ZARs35qHrp71tqR9KZe2Ehaf1EvqVdcpxra7J+tXMzDfQ65aElWXZIWTMrf
fhOVfKMPimoauJdDABJ2IqCgZr39abuSLbebDRdw8M5pJWpj29SPbPe5HZgCseooobjPwIABj2zH
tNYbeXH6y7w/KpkWRIZtn2OSGj+v5jA96hGJzmZMNX5EwVI57b4WDdK+Wy0qu2Dez347sUROD3mQ
J6oxuaizS9io6C1/KNHHMF/Qi+q170naeqUGSSRRG6Kc6qSjcSRJEO11WnaIcoE+o+VFxSdFQO++
bFxQwZWGozdu1pBGcdDGRNS8K8e06r6f/prvr4I2RmmqXgtC08CLgd1ykEQMMvKxsVym71PbtywC
HRta3o8+SVxzMd+2Ru2+QT1cbZpe1upH2sTDmffzYbKo7yvpdtX1x/OK0PZ+3SLq2fVz59bfqwKx
CA1hzkLZdY6zjtnjlRU5xP0uHtr85bcVVAs3VXk5gzRDcUUkRFsV+V8tUqp0KcYrCn8NIqanp+u1
RPW/eZCaLyYJuJECVCEHfNh/nCxZgRtdrO8dvuF4yGU9xYvhi0Ddsqmg6c7Kywu3g1c7+llQ+9v4
+TJr97Jpogs8RArun7AH9PkK2+cK+6MKUAJs+AHcenHnlkG8lGsqTpOyWtCy2agA2wfKjTNPI2WL
eeaB3t8ciFT02QPUiXVQgq7DYn0/86zMCgDc2Dx7Tu1kzrpRlVqBgtgQBO0aIzjlBwkd6jV6FoPN
32GHSDhpjEj5AUyyt1yxG6R1fg/Zh1EcWBfJCFrMSmOfvXuwLHL8GMsoQVeiadlFYmuhgWF/No3E
wv+zG2am4801t0ymGerfkNBvS9YEfOnexQLORtiWkJmfWm3o3Gs/dVWCML35C+eDo15P3UG3yKFe
wWe4A9yaL09L4ebKratA3BKxQmafF1RXgbIBwjQTW1O/hBCBtiDay/zoFj0GKdo4nQUPh54n/yqf
4pQEQ7wOH/hcGzFiqSdY2qua5IFvnmqVyg36xinzl6lzK1Tzg7E1xnvbqpf+U9vmUYsATtlCsUAx
AXeI2OZw/Vb5VWQ/jfqoTAw9dCQxZccumBTl9No4jJrMPjJ+XCgV9tf54FpnRXMVG0FTPC8GfY0Y
GQnda5SndFYXF9YgJIHi9IiH0UgBJcGEcW4bpBkfRuxavUtkaclv1oL0qLOWoO4Jf9QgYWPt3FE4
7jMt+IVFKM2h7+LPSGNi6nJml6t09l32QFmXbi5nBao5sAoOb3ELhEqhwWp7KtGf7y2g44Oj/UIu
ARnZK/g/0NvayKvTLxhAxcSpJnFq9Kv93qQiT9tPFuOqN2OEFiLfvZ/QiEbTspOGO971vqana+Es
E25cE+6Oq0y3I2xJbGy71WbHr2m8q8eE7OIiUi4K7Hycpa0bAJge4jRW3mIBuz898Ydxzbc4oEg3
eGqe1uJO8D4M5C6WrlJ03uM4VDpJrNO2JknsuKh1Cz7ctsPEkBPLdsoDLp6rGBawCnVuo5a0NWTS
jO6jCSMJ7K1FumA6B3HbUiFSgOU1dqIAPonDrTMjobCJJCYR1sqggsPu9Axlqnr6kQ6AXcqOjRYC
VxNKYDSRP4j34ylRLnVWmY9+n1jsrR7ICF+g1yxImb/3sanryh06Sia1xYmVKqS0jeCg0RKDNN6Y
HPVHGIV2+UsRZJ4dpgjf8kdilvhFR2LiUwiyqkec4xIiHjpCrbVrsE6w0DHnvOBxzzzaQZbJo9Gi
o/HPVgG7Rr73/m31U254xVDPj1YM9Y7mTitYWgt29/WPXvdzExlO1N6XJw9zT4JbqdXKSXtyS+Rn
tkvpGljHAW8b5CNZqnJjlZ4iaV9aI+bV/1YpfjjjHsloZdrXDYTNMDUbSVjDf01FwRRuPv/HHctg
KsrYZip6BGGQsXaKIWNLJAGwnH79Nj8qFOZn4B4HexTsD2Uuzi9qH5BQP2AvDLnYLu1K7WEsPVQm
dm/prZmgLJqvuVkmcXUuLBwcR2pIWDk6UA8F9yBrej/tytHddhuYkt1gsEJgP/UsKM5+5gcmELS0
bSQ1fGJXbmHNTHgx4mj1UhL0mCUMJ4v+i+d2fpTt0Mf1CQZsyPGuLWo+NZVISN31U8VB9fu1xYCZ
mcrpzeiSXaReRwxJlqnXstTgB9oFwXin12XNN3HynLMJnVB1Tz295LDQfB8TeXh1CBAkDGDCH29U
pIOdFuvT/JAks0s9tx9yC2NLqUdwMM3FbuetSBB+91dgtIMsgYGNYJES97ImTNXIdrSrNi41+3NU
Jp61FrKe4h96Wughklc2+lvoJBQ/8TdYWryP3LJ9QXuqkDf2aOjTskEHIHCatSB/7IYdUGh/vG5F
Ek1IdZV6aXyy9NZAeL9qAwO9px6NJLxgfKGqYtUIqX0dT/nIZhhpLaEZMGlOZmc7MG2Dfe8WPY6l
KKwAtx72TSATI9rWEJjhjSYemRm4zwIbF661LMXmYlJEt5XomszdjYGHdqmDetzyIN3aTJ/Qn4+j
jWX3pgFSxgbqtMLQtkOzPTVlvo6dIg7pWPcbgRL3chUFlY5ek4SHvosxQ070bZPXpQ0VZYxz7TGo
QRw8wKqz+s9II1XaHSeGN/x0WtdtHxcPJYB61dQ1rZzbYMJbah+lVDewl4HXVa+CvLZMgKvt0gn/
u1FmfvUzoXk5TkpSdha/4NcjC7HOAVAYWdhHlcC/jnuAU7j7CH8SlEoMT8uhWrvYpRXJr8QH+cMs
Q8umpf15seqRJb2AbGiSW8vVe1ffVkikN97FEEQpDjPwaXNB/xlHb1xbpBPFaboD2yAH5y6qTEtc
uJmdxP6OteIia9uMi86xjsl8KoNVrNkuXoYJPatsvpBxh8PkXqYlp806D6RNgMXEbHD+wfGKsvIF
i0Nq0VpapC3GNYzxjF/Sg4ub3BvUlT1+9G9/qKUp/kcrsEE2wy0ow4vvywBFZLzMaLrGZmhMmuZ5
6zlz8sHbA1A2ygKGNb06udIdWLYjQuEOh8rLFMF2DNYZsp1OfDPLRjbelww5Q1nAr7E0s7nIB7Q3
xhs3s5w0WIkgUFm11/ZOkj95cRRpy5VtY9UeYxEhCNmfidoica40K2q94pORov5VfMkyiXjGVmYE
gnhbpwCA2jUhS30lOB+Fbm71OJlTsdGbPGvh7/e65lT/mLFZMV6ZFUHwCDNJiHXL1ZuZNf0h5QRZ
Gyjd8Ev4/qQsKyECldPbtLPVxSAxKsvd4bupZgxxo5wfNewi7b4qPRXy7bGPfW8dyL5mASwV+QZi
Rm3J55q3R016Z2H6RIYYpMdZ0kWMVtA94XcYqXo9Bpo1pvPVwJ+YD1Y2NiSYWA4avOVQq3I/sX8J
wYVG7No0JdNaS9+YYeqjneYMGm/QHsTw1KOIllbMl5Ys9R5VdduYUIL11FdOedPNcu+yshjB4q/E
d7R61AJzW2jSI6puGn9WBKWamnGk959yxPpC8h3GqmPY9e/naVuK8N8puCX8mTM1tXufO3YUIHsg
AwpAqwYCIHPxe/VESxfwK71MUw8X9fPrZAysGqyp3nLcwFlQw+AC2Dn5ZwvZY+3+91Rrbx//70l+
+xyVAjP/7JloMXlro9KS8XueIuze7lP6UTy0MJeJsRCAVEJxXMDjOlg5by+qXsaepcbNe2jjC4zw
ZoQUkDUfZ/cmKIeaWRrNsuAjZkONDRWawIrQNcixz+R1xyU4TPaoh7LI9+BtBjFNtXlC8OLqmRLo
3bNYQ113pRHOg68MTPW3V/u2PFxEIJkf10bsWt86npICWU/unLBO4zfP0sRGGqBdzzWCLMnjoqX2
0ONMmFhqet8W0jLMA9+Sh1S/Bdn7jnEwd7VYXV2fqK/+NqHaIhf+py6s2saGRUd0KLtYcPuZmn2s
ikj6VqZDzZ4OUK6k8tFJ3i+YGlN8N9y4Yvl0DhkrD9+OJLs3HbVs9QtN3FbaNQL5Pj8KxNH4CI1h
NU3V4MaJfBzQiozTXRX7/F5MmY3YCvMO/Fh/RT9erZU064Le2/+e8iAbW77OlFo5v4QToGbwrElz
zvnREIurP5K5ZT7sWQFWI12jdxsxuJMlNVcmQD7UNgsKBpRseE3JcOHVsdrOA+crf5bDP8z8XU6y
OM3IBHUYw4a9XetluS5ozpfjKupi7vmAUAc+n2DuzA+SRqe4LsXAf2eok+6zo0uDUpGgll9cj3kf
URSQbcbo2AfU45NbRRO3gGhe1NqXAaE8202WMIkwfos/g78tkJvgI5NWRUF3Afq0XaZvOv5uxJu4
qOscSshbOTnri6TNdpiWcd/9MdudbVlhkyVMx9563TOYrBRMWBfJPFqerMSvZf8oLJlAwOjfHn0K
kP6psGGdlpwnyvHkxu5j0Q2iXN/aavqMqVGrhnqVWuJv9VNf8R31lTEAkNVWfZqa/GhZ4HxepFQf
tRU+jq77HNhmXgUoVKazW362GqPlE+5sqDvs6Awd6+qtyLIYTtFGu6ESSKZcxJFY+B1oMKnSW8S1
nKohfKmcEmWEDLD7XJbcnWBjFhQm6KXmrtpPvS1TivAx+p+ESsuNZs68bibSZDvuemryhtRSpQJz
8HNq8VmBSJlz1c4FT/lNkp5F2qWMurZNrwMLHc4E2RqOu89ejk13f2tTxkL2copQjU12rmycottQ
uoATsPIoArnPdmwZXMk5DANePsQufHZ2OImoY6MEacKstWYLvGbzNpNZX1OJtlI9xQVdIq8Uebc5
GgLafUsyTVVhaUTgPhNvWV94NizMQAY1Ty2jhlak2HG9VFWqIiVfJbMOylo2z+gqoBr03Z4Kt7h2
XdHMEd4tdddrAEAwoIq2nGhW4awUr01oa78wvPaJiiTSGw+gmrM4XkcOFg3TnfTIbcTPYExHYX7r
Ip/SxL7NhxE1fM1cuvxpsQfTrlcDp8PEZd8wanJK6HzBYAyscqQRzfXIH2reuPIknalp8/tJ3t6l
Ml1mejBKntVjvYabohhV/AvmWEUTsn+1efFDUp+oXqv3UWaqP4NFpfEJpdvJj8iiOlFuubmr3gbO
yQ1bOSZbjK5RaDAaOMvSU7syKNXf/F6y5JREogBtdv7qrQSvwqkWw9TFR8dbGWar+1+GxIPXu5I6
XmBo0ywYbV4oG0/+UawtqhzY0SfiB2IjRAux6KxvW6f/cE3dUn3zPKXT+Px7IKcNONIES0W7f7ux
VWm2eEBpq2awb/O3gJW/FRqFb6hitFYIVYTsWre17U0Zl6KOEI50B+1+SJ2GZ+4lXbzxMjVjlcYl
9sQYUK3V1xpeN5wGLo91jWWZ2uSNqdqMm0pOak160WLm6Qpbn6ostwlOQ6zetwmhDqyCXu67KsWy
O0PLrhIAJ55/pvB1cKGnlkN8YAUjwgLS7ENZGQMQktO8Me+Tunb51l4cT+wGCWHxWmiIRuoIv1F4
wQoiFeq7n7ndvb/bqeFBnCHhAan1mH/oMNWaBOh3/zs0ZtSA+RbcA9hJp4c66FCxm8BLgWCEf42j
OMWZ93do6efCj0gl/3uNYJqC/ZFoItu+we9Ore7ATdRLHYA4s0js1uaV/Q6Op7/L+xKCo+usH6z+
eHja4axz8/13iUY4Gj1b717xHdzn1MHVQ+yQefVg8dSkzufm+eOASkudhjuoDYqLh7LqORZRRlHq
0Z2YEHV9jnNO/Atvzglzv3f26Qc8VOHgCandKlAQyFGIOIeFzKnI7BjvJ/fud8RAnUAV7WcXsJKz
m+zOH3dZEy3t7SBRb9qUQ6XiuYVX0r3WLVj3nqnKHZKWdHWVUioPKNkDTaM7+H7O50DXpDdb4q54
21SSvI49jrRpRFwHG5fyChJ7mNmZgcXhQGqhJeqLZChrDMt6FNzsdzCVgROuJkLLvCbUCz7O/oiM
63S2uE+u5Vs/q3kLs6en9fA18uIgisB1gFqsOCoHPRPOXdGbkzZeJ12uItPymgg1nVMNt7PmD/YZ
LPmx8RwE1RBzgED4AXLmTWQjAOCG69/H3hQnIlvpNZG1XrVdGv9VaQ0rDsMH+8vzgWPS4YQf1Lks
GVGJHtPs+u1YIklWb8PLobhtq06oA+P0hKpf+L9dNeqzQF5ZqAqUQqeY/3+/KOS8TGm7ODmoMa39
L/bOYzlyJN3Sr3Kt96iBFmP39gIiBBnUIsncwCgyoTXc4cDTzxeZeXsqa6y7Z/azKksrBhkKjl+c
c77KibwGRs9Xd+SC+XeX4P/5p84eH9ZePkpj9sp/eW1NajaryFxCqH5ssaTDdITvkTk0/Odfv6pf
Uow/vTBmhfwp3D5EP3CEIEb9/YXpOnsZr4DLNm6mnk+J6aizGkEAQhHdd3w57NCjbsqYrcIeSze6
xXB2stloLrlbI8EBwlb1TH5Ops3sQb9tUifLusNKbeBAelRFZZDulZqsnF4n9GC0QSTR2e2Auk+Q
VxLpne5CVPRHh1HbyYJEYLm3wc99HoAfqVk3adsYg7qqslwGSGaEdAs43nqJVONAo+EVTUxiTs9H
8atA8TQelofVz7KCCt3nZuH+OMZ+thrVgm3hYUHVytFNa3guAxZpahS0HYrz+ro1BT9AieUK79qa
6nMxp/2sbXqWo1zteu+TBBpW09wYG4brMWiL2O09LOHAnH+OPAZumzkJxT8KmR8VFJu1hfd3G/zz
TdwbJJMleguy65Ie/pz20JAgT6WAOjctMnLgm4l+inl+XdZPFmVvYF27kBrs/li6BIkxDJjkyJwV
mNy5DwsgUVtDnFeiYezKBMZjyxCS9+2Tra6JLlv0cxYo6iHzNhiC3luSbHBtTF5Eqsmte2TfcN5o
UQPi5b3u5oklwmNBCCGQKURIyAl2+TgYRhk1BkXn95XWc/IvHFct5lcD9tbsXzM2S/u7FgtIZSZl
O8FxCHsODjVHZEmyS0/abuWzjRdlbmRu6BqTCRlRmhkOTgUb2OGpCqZ5wudWl0tBNx34I3tRfK7T
3tbreXl39aZa8zi1KbiRNnttM74QG+drQLd+rtx+nUUD+/DMPfkN53a5a/Pahc/5q85i8H2uE9d2
Pt90fn41sCdTDaIXrGjZRmyMREHKUXcb6KOka3g8DbMCrLpUgNIfOcQ7/wFwIVzMpnDAkJBtvzw4
6zn0di2WdF/Y0jr8CJRtRiUPTDK6e4/cxwidaH7tQTPXmRnL8THlS30AZNJNZFeaAEwBNL5ketHF
KjAAo/u1Ne9pdhkpmShVfWTbXcXl2C69e3KXoifgPM/5dHWN9EJP2UnZFeJmA4WgJ1TlZFuvOijW
6hwQS5zlA3Eb/eVoa9llIyfobRMjaLQv2UGS/xPnweLfYc4d2Ov3xeePFNg6Bxe42m0bO2kw4IEw
wS2mLVvgnymw+NDayC5bb7fwK48+/dj7qDqxR/eQfg5BVe9/hb8GpbMjIf338FfN6rKnhWzut5rs
O1p50TwuvlkkujnrF0RoAWrrNM06kc+z7cZ5ar9N4N/uGB4W6JVmK/gEAABG1TN6416aZV6QMd+i
4J2a+X6SNgMHjoJ4WpWA53E2yDnN4kckQ6e5/1JIM1iPKBAEuX92aSSd6GfanIKk6FBajv/Nnx2v
ibVUG8+shs6J7XNeq5JWRZ/UdJfONBtDBAawe9PLqT8pTCWXk2ucv6Gpc96hkvt4oUahruBwyyPT
b+2iqEiUjH1Ov09jWQBubuRR57TNvfa69MPybSCMLDILY3v7UzIr4XYT39y87oEAGh1RsjgcK3Xh
imzAR2n0xfVqkCOFChl66mLV1gXCWWwboxrGndkLkKt1A43Ccp6dZf3QRZpe2waXj5zEHDNa1CHA
qEZ6sbN2VmJ7c3vdkzv/uvawTMgoEHM2EUuNBqKCxIt5gEQMy35jM92Fllm3+45BQWjqzXyniFe+
m/J1rqJqnrOnIV+Hl1H15NcPSqgoNUaSokueHxtXn5kbF54iodhW/nIbQDcGDbvJ8q0kMhqqot48
g9GGEdhLA5+27R97c/SBTujpBeG4JNj6rjqVzPslawdb8EfTOUyFhi84E9nJ9UEHhTXZ2m+jRlET
+9Rn4ALKabgFKlLtOOjxnwbF5h1mo8tv0emg7Vjy8YmIuH4vBQAY0mrdt9FKnxb65KdtaDbCRHvI
6+XQZN9W3pB9PntCJJSB68M8Bk4ajvbAxrYigFrP5ZleUfX7gTrUgLUzBU9BOwfvFtESj+WYdu9y
k9s3wRc8ll5nXtkIC/bAJn6lnFJfajhJW3nSxqn6uuldu7dqjFDnRHT7Ol91m3vZGSqtl4XPPMip
3AMx8mnUT225rxwxPqHtsnj+0rww9Nbala41vTKXG26DNid8b62Dh6YZt8tsKgdCkzlyaYMbyLi2
Pl+Mwl5uWwT8jyNpBR9WJTkczGGV1zbZPAnayeXGsGZxqUZvORaLIg6zE6Txp24DcJrMVHAAnHnH
TRvTU5rm491m+vmTz+jkldCd+ZEbPqRUbfSuNkOb0TCB06mD1Dmx4TasaIYCE/vbSoyZjhZtR4h8
d1sxgr/NVNcPEcoQfTcu5fDazwL/d+ps22kMbHGJUIlYUq3pHjMLQwhndqMI4IH1CH4gi2S/gTuR
GXkJYtQ+tdREg3bC67UVQbQ2ilo39gQjbf9UOZb0AEZ0JN7NUBv69LRofXbLlKW+1uy1fa7n8Y3H
ZAx6C+N5aqhgSuGV1xAMkV86vVGQvtubX4WWiiWCJapfIfURT4Up5bDPzdqyo4CUPmK/u9HfBTrh
/RdNDiiIPS5WMsm+O/aDrfHCkqQYGTZW2hLEzL7/ctUGj/fa1Zd5PA2BZNFjqNFYjq09NDcW+aN3
XhsUYHDUmHdJHvTjfZkVsiHlDhjKZVNUXRFrY+sgQkxTQ9t7cpq2+9VvR5Hvz6WHHgeD6uqu4l2D
5FFdVPTkYx0ZHpVL5DQilVdMS8opsoSRPS4eNPOo02v3hFwvNeLFoES8nGnE52enoPsbOUfGfnZc
CqesRVZ0kDNJs46JHap83Kw1JTJ5VYMeiAuTw45gRpuNwH7AfTjCXZoc8RAQHE5snZnVUFhHknfr
KtLsQD0UFqqZ0Mzhb5N8pG37hUaTuHpvMPUTKBvVRubIHP/qjDfF2YZfKO6YbF2U5lxErgGkZ9ZW
NZU39aq5wWbx9re6AhOrm011Vmn1ZFTdzCRs+3O8kuFLLg9MhI7rwWe9GQljNZvENkSdn6qc7WzY
tIx5o42wnja0mpXFjyfK6tAWttMlGYvCK8LJLLAnqlAHfDNEYbu+nnuMxHAQHats7FlHCgemp7mw
/XZnE3C5EygvakpS/gEEk9serczsng0wZp8yoDSxxn41912XGlYCyMIUZkQJl2tdxG4eKdoSerl7
v2p251GYCX8lNYKTdOYHOl0rVPFB1PLgu0ne1yBGs8FQQVI1nuHlSW+eKQYAPaQrnljmNingI99+
y6T8um159pTloFOD3ilD2oTmYUHbkaR+enami0HnkHBH1l/eBgvcrK9HqxA7SQBw1A+Q2EJMLYSo
N43TPIwtpJxxdNdQAMblfJVz8zFnKRgXfE5n+Bxh9BX3lQg2CEEXGzcb+zaYcuvBQ0A0xoVk1sP3
gS9MiB5u+TS6vroj4mfyk8nzstPUwX8WwzRniVCZTI9MjTOieRsVQDQuh5iMfzDmQ+o8tORnJ9Bk
u0sC0bUrs1L2pdmztIRWy/I6oC2KTVA/b63wiMNXplmTd8BNOIZ9OkxJb7jdNfrBBeniuKRhMC26
ioYK+7TtTiAOAqNJ0ZAiiBTHyeXFJStD7octHYvPlL33cE6al/HIRbmE21qN19zlufnjSqrjoqS+
4Cmk99x1ip2A4xeJts+fyyIzvjJ5UztEO8G+04Nm5/VeeQuKeSTO281f9LZ5qkuUYBmN284z0/K1
W8z5HM3dda+Wno4XwrRSRcyiKv2oYDh6kfYmLzrTmXAXSkY0u9ZNSVtyIRej+MDy7n2t0sx4qQxr
IeawRaDQD93RYmT8zPDdrM5nmsJBVerDlQsnjLqVw/H8JbQ/7OrcDK9tc75rwzh47+DiFkntFixC
GSZ3LoSCFhjCBB16Zte0dQwLvaU0IkA/GN3BwZQOLLXJfM9zsrVCs+Y5gObycj+q+L0R4y++E/na
O8fGFaYXz3kqa5LCuX1fNPCgvwB8IXWy6gmc+MqNl4iMQPMXedBmgFA46bRDMTjm01k3AJ1cViIs
CLG5cRxVvgvp99we6Dx3nUhRQ3WpY51Y3Y2X/YqoJBwzSpqTmkT/DniN5NSJMaMkZL9WH/O8cq1w
UdKniZ4p5qdkayVDNnIyaUtpXTCkBiy9FCCzDmfZ6DeyimS6a7wcegRELXpZypE5rtNBcxJtaND8
6pt0nueprl+9XgLImixIz7o2ABhePOOB7ZofoAqihgvdecnr/UJRdUaqtwvMqRxX+aACSk9UHFp3
beWLQXIBOPEhXBsdZ+kI/CM7K1L4EkU2+f+Y/mHrSpdVSlMRt0mRNibnNlZG6ToUJjW11abbSzsJ
0CtmZyyklskpJfGPL2+39dFoiKxe95pulq194woL41dlEPj5hnnO09pIar4q0x0Ls0rpV1XeuR2U
Io0rsw/FBh9BRB43XGeNc/ZXPhgL1Nz2GpNwnDbV5eqnpqVHk6AB629ryXQIqAoy70DsRtEPxUsG
vLjL4oVLhTUKbhyLgASpBiBFu4xarT2KXGjNd+JYlXSSHP0TjBtnYNf2kOomuxdQAWUxtzHgH00v
b0vRV3wOUNemQkB9EewAJDJ3Xv63Rgs88mf7qWzXOOhz5bw4bJmgbP0Y1mr9eeEw18F5NGoaqeov
CQI+r7nRC5z3IFyHm/cJsxpk0h5d9cb1NhhTULwK0tnING19Bl0anW1aLi63CI7j+VnkDBT8E3wR
XV3rZaCvdiSyiWD3PXG4Jp8Wt7yyK98t0mFkA3FhFivwAsHL20LcYya0FEQvVpM+WLMDailxEaoW
1oUuxLB26JCKmRqH3iEbdn1/5qYg0+viChXSlYmYi9K9Dzgx14AI/9kHzzJ7zbr2TGElk9QiQlIl
6sVOslbZRZ30C4qbgNlB2/mnjdLPJx2EXF22YBLoOblj9hDYibdulr1n79c8Q4ConzTUNTPsDsxn
oS24dhLUJs2n3lZUWajf87FKOncK8liO6FRUuJkDy8fNFesPlf1FUGSSdHdHHpgDFyfMhlZUma64
AiqyNklvNYi1ZMAiuNfqhzJQi3ccKOFIgGn71Q5Vu1Ttfpx1VIzKB0aPOUdWpFKdISDEDTUp2Ru+
LeLZ2tb7qcCpToGg1QkVKB1iWvaOsx9de27itPHVu7alau1DI1sGA355UTnxUrTtx4g3dAynUtIa
tJsm6UbG0sgTyokRT3nuVPIz09R54kJFbbbRVuXZDp+WTLVdIwwfcY45wDwHf9R1ib3quPSnznuF
x24bU+SlZtZFDBQLhw7VW6frxnd1EZOAKeYXpA8AiMKxR2UXoekYoNoIw0RXxHDrOqPzbkJ7oA4H
JSMgSC5W5SUeTI8LDeo7UnbhRGOPtq5vkG6YK+l4fgslM/S0Od/jW+CD8VSmhRbausMAlbCMBAOz
9w3BAt+NNLgTmk7Acr71O9fo1e3Khx3bQeoHSYm24puGeInhYdlnJ41jePpKcwl60SsbwnomdEzF
gQqGZADbc4p3jkhr3VvSLu+7xUqvkElmn9lo8M77y6aQq6VQBqttKyAgQhd98gnzu13GOuclYGNj
O+w1Haep12BWqJzg3mB86MVB2S1Hg6FFES9oY74slo2PkKgg+9DaZYk8cXQehjSDZme2+os7TsAJ
PXSI+VhvKPSnbQ2xHK3XeCrNIjbFJDF11S0C+aAAYX+EjnOmBbUbctAsXRRPN6jP0gi6YfD23mru
2BCxZ9UtjIVxJuEJgi7D71CEcw8NDzTrBGI9a9fpyhK9OGWmIcmjdrLe2yGE6B8X5c2ojueWV4ka
wPtqj+CIz5Af+2bQzhXvRLpbG1JT49Z1qzRAjlINBcgv6ZcorxiX3G4NE4CQPLjeTSqJwC629KZI
tkHxmMxBTodspOljaZGjMJEyaaaTipbZWV89Tgt5qWZiBuJ6kP795IxgImbNAcGhoem5sBqzu7Lq
1Lz087rykAmlaxMCmQ8uNS0339e6qC6U1k+3aPXKCA2Y+YYrRsAYm+CJRYUzAWn1FrtYY7GsJfyr
0YdVKyDw1Jy/RHBflgY5ITAHF+eZxMge/tc8VRbDgA4eTt03xmsBwWMNG4QY1x0KEx0ALVmf4KZM
XA0QJp0maYwyf4RvNC4Qa7g/S+rzOLfGwT+/b+4NznTG0JbZpdd4/62XAZVFFpLQ+2pNTfcyzsB+
8qJl9oiiEqFUJvnK1+Nrpi068JVJaZFG5XE1Cuw9E3OXr20mtONYclHHY1F5N7OYu4vZGfB6jF51
Yi7gHbRU95+ZGBceX4PMfe/NzUqUrU/3clzNIyy0Gays9JdztaY3SGdaRjzeNPmHycpbN94CjcIJ
IIfat44p63vcskUMFW2KR77qdjRYjkgoX4zLdu1ytIGL8ZKnq4LANhthPwkd66RDVoBfA0xEWxgT
4TI/+ZT7e8NOjfcOBfqLzkMcAH+8cUj+X/Dc+FeKJf++lzNXnS/eECjPt70A9RES0acbXAfbbZBp
FRWNQeA694Oxpc2YrNj3EKfw6NMymOOXkmFH7CsalYG8ly1UudE9kxBvP5TETjaRzVT/2PetwSoM
pWVlWR+rYPo/JlXPPGh85wZVNfBcffws3gsdbdf096M9dbYD0y8fOOUn3z9rk8YB/zMiAbWWzcCu
gYVjd2OvSGnW/WLi1TBjq9PVnB/hKzblBrIA+89TWqjF+XBau4Ot05FIYZPVNOqzBpXNsZeRw6tC
zcJOC31EGRjE88YI74yNstHXV2hNlTvq6ihWxRQzdE3l7Gy7XfyvbtvOHCoksdeq5hxzct2JqfPQ
KcTa6mYZghYbjRVyZMp4VFUrXmguGmTsgPNWmffdN30AeAvdiLG+h9avX+DlsbEssgq1UA86heUG
38GBNUhWZps+3EnLn2lhCku54/jckewtSzDAjk/fh2WoUOV1ScCG6OJpcX3XSPTeEtPwLqpNGisc
9Kwv1mghYo074NbnnAyHFJtkCayR8Axeie1melCDqVXSG74ILdtIPylSv+L/oYX3XHWpzRMN82W5
Tin8FwXb2pO7f7Oe+936xvIPAzVJBtSYbKWJaP3LGrfV6TlKQoU+9BIXya+tt+lWDuun0Woy1J6L
L1sYg409ml7ojTUizbBmjzJFM6ES3lP5Y9H1r5/X79tenhYxyy521YD9Kyrwv0b2FQDuPCcrvM+q
68/epuan8KOpAkiFe61jXfZvFpW/q0/OfxEbN+/G2TvMyvevSRIMDf1Zxy/xrfn5F+VPVQ0BYCOr
+cnLbYEITuokNEd5UbKs/PlR/I8P9T+zb93tz43o9Pf/5N8fXY9DLsvnv/zz748dkLDmP8+P+cfP
/P6Iv18VH2M3dd/nf/lT+2/dOQxh+usP/fab+eu/nt05Q+G3fyQ/chjuxLeR/IVJ1POPZ8HrOP/k
/+3//C3N4e2TZIy4mOax+Jj/nMqA9t/nw/jneQ7HbmF3/+3HMzp+/tfffj3gV5BDoP9ByIiH/8e2
zqCYnyEOjNj+cAGpGZi5zj4NZnt/+49fKQ629YdDwLZ/TvJGxPAjNIQt8pz/199s/Q/LZRjuo06B
wXF+1H+/8N8+wP/9gf4HMKRbDt154tF/zb9D50FeBJk0KOexRGDH/331vTbzLFuv8C/0oeF6Zl8T
L5VZ3SvyGD+bVm7HBRMM2HDAedwh17S6tqxmfAUlPPVh6k3aLXIcbp55v8pbGzXbc7WZqX05FEp9
5HNRZkeG4AOkQTB9WjTQje8ElUWSqtp7Xp15uRNjb03hiLoWyiVxd59Srs5J0ts/56orx3CjnGjQ
dlNCIGlUcB6t5ZgHdnGUjqwTbjGDIN0pcEhwbCz3k91n/a3VvWMGYeOaHkN+mYvBvq+gg22xkH36
ne6hucm0H2PZHB8W+rbXjUb9zU4z+UVl3ODNdcq/a5bFQD/IHFr4UXm3jLKCJlarNd2WTqauNo9J
chiM9vqdZlK7I+phYfUmIYKRws6kjLB5N8wm3yiwZFr2ycyJxyR7dmN5r8gYeiPxjzhON50SR6b5
q0EskIosv/H3E+QQLwwat35YjTy/QSR3dDrW12dzW7bPtoCVs2nLvd6xLom3pgHQm2cb9j02vF64
rrmpwg5c9UbebGtkMXe/4HM1dAXY3R9BHea1FJeoE3HVpdVwIdKqPDPB3I0WsHOjmmnG5cjYhrXQ
6rY4MHoW22sXYAthPH8vvQZsz5p3h0rTp/dcS/2ZjRG5fhEtYf8w1Mt8YXj+j7gP3pygZj+g9W19
Y3igrkJsmSVB+GsnsNt48oXQRUw4wp79SyPvoNOBg4RSlWZecIEqnmFN1kCFrYnMugEAN0bMYAfM
loxPYntROagxru+LuWyoENxcZbf+3H+f+C2CmLFtYIwPoPs7E/raDpEt1QtGg23+aEfL1Q5p6tfP
KVnIR2khzUAXWVrHvnXlGzJjn6XYKOOub50dQEyaoNIarJ3RBRZT08JYbjacruUz1PtUSXDCftHV
ibFpMyBaQxb3xM/ntw3LVaP+5NM1FzvKm7HgvVV2m4M50VEBdMW17npNSgs4BHFjgKA07Fm+Ls7i
wng1zKfM52+k0xDjwHqwJ5UlS2sZSKINg8jGtDX6HTEr0Ly5QiNJUPzFOtsEMjVVw+V9noEDqu2z
itl2a0C6DuwuwbLWRMNspPhGqjXUvNlMChUQDJVZqEoq49LESHRFQejB+7YxNgVw9HTntPVs0oiP
QAGvt+vBVQPvu0AI1YQSAUPc+iPfQHQuOsP4bnXjaRJWZI1psENPOl+YzQjIhnzWo6WC5SSsjT5v
aKr94Agxh12zDZfuNLDjKEVzj8vebhmmuM7eLdv5Xgumuy3nwqy68juKuafz4tat/erTHzs7Ll22
Jx16/UdNUJjW9GHR1NKrFcoxHka74tTym7ZmxmwjpHFLpgeVidN3yfxImvZM41DdWnb7HNjscnAJ
SDIdrUM5Z/eu2+ZJQ0wd1sm2jcpCp4pSU+0fxs1tIlW553e7Wx51i9QnXa4Bwn57S4Day71vlua9
ewavcDxVyWrD2PTgGSUuzn8VZjjnrpyg0pNBleq0Ns72xaptGzwfO4u8QpGviAu/8MTsPaJlFpf9
4tZg6rKJM8XrODvCwkm1Dx33cn9Omt5uzlM4kMZZebtJzsYq6/1DR5TuQZBRfWJKGTBFmTK1S81N
RNAxgZlPTsbavxquGyGLvTc2/mU1mm+o7dk0sB/bKagMIUMHmNyT1LEX86bcLXVeJelmtXXkZjXv
tmmVXKi+FgQfRbFyE/Et1LF8CLOKIMq3JwYk0005+cunRFKUyLba9iSQ6YkOSpeENo854+Q3L3gG
/FsMBv0aZXz8L8hf6c2Fdu1Uqr0xpCjiFZrjoxmY9XdSh+ZXz8jsB4/B4N0w5FmCC1bf1b0truQ2
+0cc3Sxf60qrElJaag7dvBAPBbb+C59x35s18ZXGObSc0J2RYWn00wE7onEz4fqJoMkKrqplfciM
xvUx7xrFNYOt+aQTdsAUu04Peu6UkSynKmY9z5FZZzdGMJWHItWKWw2nGpNaiSUo48yPrXI2TexG
+YYbs6fJq8rmujDr9CnHXkokCcEFX9fCZLjPuKo4mQwiDpOZwgveDPXe4PSMNqvfHoEtm1Gfloy3
SFObs9AbpqchW8zTlqMp2pYOVC5+nnPW+pDfo/QwHsxMmjgRScNfF/KFI9RV+Rc2TXT8G0R2slBS
8Lrn0547unrLq6F+tHLbQ/vgGipBsVFFumlvUcm38oL5wh3zTxaE2WgZ8/yiD+xbCJJ1AbvpL6uW
kSLaKW8svtiOmRKnjRdNcCeqdL+82bpcsi9E95IIwx3i1ZLEQPe4Sz/9WboJwPU2wgbBEUxvaQCz
Oi+KsNKJ/aKjlVFq2MO3Z1eVFSm056mOBbGsd1a/zrHTAtXKtD4e3PEXQ+L/18c/087+aX1MRrBN
XfvP6+PHb+pt+nOB/OsR/10gn8tdsnMCI8DI6NH2/qNIJpH5D2aJpLhQ3BFbeU4a+1UkW+4fdIb8
L0KDMHkTnvmPtDPT+cM/J6OhYic6Fdnq/1ORbJAH9LvylWATEm/h9Zo2TwhL/1ku/6fAJqYEmhy6
TsdTwbBDajYj0Hr9+DHwQJUxJLlmTKGCt3bvLf7VNPXyxZXlAFoDG4U+Thdi5WY0sM69+jEKWfHs
pECRy/wWX5H2JjwPC7Db6cPB9lMKH+gJ2XTbehhd7my7qEzyhFucMEf0PL55HdhIXZ7YdprsR7Rq
66x9X819f+X3o+5RX0qmrgrINrtgm5gYEtl325bp7Gf6Bcv3E2b1mXsNisHauMgD5SJCMtNgTryc
Y3GX17YJK8+GOmWidqlApqC+XdcgKRipGBdet5rP9kqVwmnUGR31h50qn1ubtzpHUSD3SekWCq98
TFdNEzJENUCAdt453VvZpiRvkfzuxZs5qWlI0F3o0o38ycP+yIyJc2jmKUx7bAcMJXVrgzXvBvll
WrJEZKzpkS0ngelKHADl6sd+Vx6arOtfFdF7DQNeaz6UTO+TRfed15UJD7edLD8UU/FAU8D4V4kS
22XbHUpzeUYjaO3LeSlDg2ifA4dHvoUomPIvFJicJKssjp6vrrA5XJIlKr5MWdNGoj4PRBUY81YG
6CMz92NW6YLbbHnFNTRF7AdImLEYzVbPSs60GYFRXtDXvRMoOCZWWomHzRcgnjet2QveUs3CJO54
/ULxn3s734RiGAT3ciueEVF87zjPL7epo+OosmtqH+QNYn4l0P6ikV17qMg3isHYxmpDVTaBOLns
eyIvMGzdIu/pQlq75x7pQoykp0OqIL+5ReteNe6W3i5B54YT44MwEIJACSuNsR+ClZe2EapN3pg4
/XDaMj4kupyIvUXmJ8b645U/L2ZCBaNT5OAYB1bsgDXP8gixh/9eCFPuG8mWwM8HhfBvXZN+cLR7
7uQ2dWr2LbXS7sbR5gdnLhQ+5bXeU5HSzKG5PLSV6+Iy0d3Q6lZmPq0j4Mg79pFzId+Noxns8Lja
kZNrAd735VvnVA15ACzPUs6OEPBcwZZGFe+0X10knbZJsoyRMiKiKe46qwmnllues2kokXT6SUOb
itA31aPhtHji6upZq9PjtrW4RaeeALBZ++IQf0rIiyov8sHBbdbbxXcMXuNXsXlRacxhWS3kuU9y
wH+HTYJRMcvvS9edueIF24XYsjftO7BThFuSvEUn7Dwf4vVYym0966u0g1npgqJXLt5DDaD91kVe
0zIJxwHYg8XZWV3BUo9GaooMxEWPSFq5k+rGlu2LsjMvWpGNDTGzmKJjvljVFqbL/CFqEuf0VMpb
ImGMSEq+FllA7HLoK7V+ot7T9STz7PVCzCSJmvOyLgGgdT4ahuPuWY3BsyUfaVrm7+SKQJnPUDrv
XCVE/p3hf8C1tgTDFpKn0ZMy6jvT68SIlZs67q5tZ8hGv8zboCEcwO+jfNDMvY6kMByqBZtNyVoW
f9VbqRYg2HqmJajLWLP0ZzJGP1gJ6XA1xPK0CE1/e1EMY569goVCXWpvXFJfTDayQNOrLmkGekFt
sK8RalbxWJvlZashE5l8RC9mXzw3TPYJpuid4socV2mEBADTSBuNcTs06dOAAoOgjMAKTr1ddxdG
MO9YVskTtWZ/z7BFeyC/33szG6eIsyoYItY0IwvrLD/D+RC3JGnXkqpXrzryjbVLUAuwRGJcfF1P
aM34Pe2u0/R1P56v2op0obtmk9YuHRyFJKHO94DwboGHFUmxTofF0PNzjUgcIEGyfrimbnuHJegV
hqhzIDAr+BjN6Q7Zc76ErFdYwvrzi8ukPCx0XUtMSx5tAraxDxgWgUlGP39POxuRtDZrl6tw8p0v
hRG3mAKTvlNFuGZ+RgSEwXngr9cFxrCbTdPl1VoEZQgd1YuLVpm0PiWXlmeKZLbNbM9sRoWo9/0o
KHECsNLZU/SNnMHzVSA4tVCwrSSQYMHXyVI5zhWTcPprJ8yM5R6EnBlWfsem2UZsyWsLDgOsEtIW
giP7+JR8cKUjgQqajxXNfKJrFtFshqbFMKfojJuO5JPAN6fHoCiD2PKrFUpsHcTTPBwDLWCbofXf
1eA9sbPpaPQXsdOnHl7HGmysxGiJ81blOyEadaFVw6cENFfPqSBoCEXVtrA4I6GivSEHVj/hzO6S
Vl/L3VLM+nGDSHnQHI/kiL4lx6TF9e0zcAjhfdM4VWUdmk3FeTe4CMGYd7RE5yCKmL8Sg1xdEmia
ErhEWwrldA37tTT+F3vnsV23lS7hV7kvAC/kMAVO5mGmGDTBokgJGdgANtJ++vuBki3Zfbv7eu5J
r16imQ4Pdqi/6qsz74F+32f2Wj9ffKORNtjNQn2mW2udqQasZfnixJdxY8RmOOYs/RitvjBJmyJi
At0N19o4Skejv5rg2bC5AzN09eSlMZxvImi/2jIrd6XDgWGc7acKV2NUFX37WPp8KdXZHda6WX7D
68ocq88LpkvkKbx+Sm+IPua3gdmIo+6b6kyynJfBKz4PVaxz7+XpYpUan/ylYcOQ1j10aBwpCX2c
+eyzrrtZ+cWsmY9V5tIcB7uCXTF62HdBwu76XFVn+ErTFqqCHY3W8qVnhhWOJD7DKeBnmDCTbPWg
9R973VQ3hdVDcakV9vUw9QaMjFMh+PFHWeQvPPaFvIQH6z+0nsPnWliSuwGNrpynSCuD5Hboy+nG
IWz44uXuveO6WK3K5GqNJx+swU+saE5zsXX6mBc6zVL7U+AUUwQNpQPl5G9tuN5mBKCLQeYwTgsR
F6abVMuBYUka892p59rZLPydQ1MYzfVoKHngmu4dvNnxP09Fr78M+vxG2E9eK93S8u04puMhF9K6
dip3RFDCnsnKKuRIFnaJAnMM1sQsMUGhV3ct8wqUJh2vHaumxhHDFJga7Z4bcWf52Cv6POFv6ul6
gyuhc/dCGA6PTO1SydX1Abf/wWSbXxLrngER1iCpn0mh5c89xNsvddKeyoma+E3epEnUJtZ76fbY
/tzMfDOSXKsigE8BvZDZMB/F1OCyyijbGCjvW+Y3vfTLjWiG/h7/Q3vEmOldjqlW7oPavVFufRE3
nvQ2hK+a+YAzNeft7I7eOwJgBaei964D6WRPDjPDS4NU8QZsCS0tGYgjAQiDGS1W320jreaus2wu
eAsvxdVc4KgO9bhxQk+KIdkoptPVZpwpAKn9rNzDsID15E1yZ5DR3JJy7feyc7V97uRxhTm9zJ5Y
zYontrjhGSFJvy9yyf0+97Kj7kyceOPWPVGVruUAA3FnrVfd8jEx0bYugNBUNCWn3SnQTB6IVJ+K
rcjK4GS23YgIOBsfGqDYuGMCkUXvu1upZvmk+wp8kMBNR4dYcNHkuby2E/z3kHy7guevyUEJtDCZ
KifFaJGCEkPKxZHJ9aGfHhKDFZZMhk2QhT5Myw3tEpUewY3n4YIMMEFqn8HdJ/Ciyn1OCi1Tm9Gf
2VlJRwY8iN0sw6VzERntwnavXKtIX0ZvcjUOK8N9qerF2GA20C7Les5e4sqpd13sY7au1Fwe8W3p
m9zPE6xEdqH5IXJJ9aTHc3w78p8e5orltauC+6nibIw0N3ypqxrcc+rlO1eq5ALzksthfmxlKKux
ejBShBB69sz95FfFmflmu2OEgVMiactIaKrsQ6cTzm4y6um2tLG3bhyFGpqPWbEdc2M4V7UaQvjv
FC5jkLkxBQPnO9/Lu+aawObsUHQ9I1cUEYFSk8NCJdJg6X1MaKYp+neOm5k/MAnx2sm+b2TikiTi
gNf4HrahPEgrSqXyZcS2i7E8cnsSNKUSmLKtPmUdnX2Uugb/zEGmrvNk+lk1bNSEWeQAoloYX6iN
jDe6BqH/nI2rUMZbuMu3pp9MG0Jbo4gg102sPmSuzqPUxGHoA+NubiV3AaPV9grT+GaUi3bCHCOO
ZITzzSCt7CxyJyODOHjfKuTRt++WLmQUme/nSjz0VH1nL4ZBUqSyg+lS8jyGfq+Us3EZvX9tfJEc
6ATmCG7IlEkOAsyjYrS6RcBX9hY2CTKz2atXnYP1xYRpNCzRXRtv7RLky54+rGJ0Owl6luzqboJI
clICDLZZ2WLjpIaFTwtG7JbENeLv6hzTIfrtAYIZCD55c2Xj2N9Y/Iyfek6RWznPQaRqI98m7HUc
zttlO5ud3A6ld2TMgFzPxf1OJlmw64jyvTr2bB+qAnd9XLAylQ0cNC9r0n2WWHiGG8c/W1lFPV8B
4RK2kDbuS9MmI5AGWOC665GfJPzwpgnTXA6tUbYcpQjTQC3259AI7GnL+wYHXzA723YpuN/wpgRH
kmfpdsLstQ1KtnFYK8XnnjN92AQ0oGhZbMGdYCepJ7f2CbnJPtJ0bSFGZlk7eHbo+YGnXX943rAp
Hoa5KC/nYqgjJ6mtjhM4DrhySdOvGIRgt8UQs0DOEBxpNJ7dnoV/EHm0lISIVFcSbSjkyKYzLbep
1IOrcU4KQoqZeyjczEGmxuesU299ynTjxvfBzPR9PwNEFslrT2kEY7jVAyuM1r8qtBYaUKUXW6OM
bezDgfWSkNBjwAKrIaqytHrBO/TSki0J09Hf285sYHAX4zu8nP7gZ7o6krcsef2GIQtHB3fSXCcl
lW701ede4m5cVb5iw0pX8DSScj0/C59LROJvFtW+13n5/OHkK81Bb7aDrAta4i1rS0bABD8SxKc8
651XDD4xGETdjTgzG3qk1XNebjuikENiz+25YazAu6X39oZeeJHZ2dm5xN2KCAqDe4MRDwzOKPTx
qpect3N9JIa0yj+z34tj0LblliGBoqbe179ONVe0XObjobIlsBGtNW9z6aEIiO5NprM8eVVGPtwH
g8/wd4PHUxx94RKPMLXiZHoVU6TVc5hk7RfuaxzFmFIuG1vl1bEeBPzEZOyXp1HGZCXH6ZK5bPzI
Ueoh02CGeZ30LlLXmtaRKwfHJj3Gk0Isxorb4e0dPgdGezkxbgzT3HyE14L9eLTtnXBJkU24Hp7S
2ahCawXn4Aal52OInQeAC07oqMLEiZSegeO+4ILrD4xK7zvX+IZXgvMf6ZSwTkQNJ8N8sVIDDu1Y
2+9o4t1GRxLeCK16nGGcfhMCB+4uAWcgQ1QPDt/4HTG+uNWdv0gGNE2SGxsp/PjzCPQaE/A4dggU
y3RH/FY1YekztdsjQEw7p7eXjMN/ZXDHmZ19MVjBHcNxR4bCcphm5mPsEYztgKHxJDBu0YvuhIk1
nDDazFx14g1/KuFdFrkjrkfX5mBtFFoTmqrIDCw/qqy3Izyafkubrrgyococ+T98qKj9b4Db7uy8
YfHws/QUCL04LQ6bK97+t7gQQ7tn1JBsZ+abIGjy1SQ8n+DFkMrRjceOLSkqDYkn21y1QFEn0RIM
+Fng0a7PBKc8Ooj2psNJ+LtBlLzSOGFmGg7e2H5OfHWaecNHJUFlEjHaJSY6zjql0wJ39U7CGOXu
p48Um+wctoHeRzVH/YiTqYkhqj13yXgb5P077kLe8RjGtsE6P7EZxSDMeISmEPJ/ukw9VWnXk2lT
nWL3FzJGWZ86F9ARJdH7VKfNLmsq4zDnXM46Z+iPtUx0lAtyE3rhvP90oubxlEVps3wuEnw7JhxA
cHxdFubS+hI7o3E/+U6xcedl6qIPg6rTe+M9a58Zuq6D+1BnTNi1iFEQoqhCg2CJa0BDZwEBte10
AEuBW1/asuwjxlMYiE1ASMPWY3zDLFdPKQJnfzQC1eyKbBGvvUGsw8HTUW0KTak3RoPxHBlLob2u
2MtrTy+1Q86G14VQS2baIfPu7BVckSjzytPNnCWnTrOTLXmm5QvnLB6tRFSvGZXE1x8mWSXT4U3L
3G/fjbIBQ+BTiwx9q+gDjZwMIFH00yxr4hdVV93sM9P7xSwbSEtslApcRtGrY9Yt8PEKM6sZjtNx
vMsEI01bj7UriGvO+N07m8Xjw5I4n37aZ5N2kQeeg2X74aGdAv9x8l1W+LQ27xMGUhF5oWvf6OPX
al7R71XsE29bTbUll3TtYjI51FBhjLTaypHUnB3ImXoj7LVdnrnDya5Zf0hN6CLf/4vTtgB2G1KN
DZDUmhoBW8JtusdO2O0FASt/DHEDBMBmACrtF5EzdGZdeHGbGRLAlDk6eFmcNhsf9MjTUMjy33hz
Pd49baSLSe6hI2XMr4XoNmxYgCe7IeHEtEwyNExZSbb59STEKvPyi2m3GHJ5EESbw1+du4lWjhF4
4/neGYREfNILyqW5hkEbN7XgsTT75N1J8dxt6iRO5g2a2nK34GCFgcuD9sPG6/VcvGeTLfovXl5G
BBBLONYrGj1OonCZY4lh2jPfam8JZJlPObiweePYLNiqc4ybHi4l4d6fbl/WsuamZHD49N3xC5pk
gH0X+JfdosmnQmj6lc40c29CdAi4vPbWLUkc7+7/9AJLiDT3pmkhhs7mwFPaMOlnROn4tcmZMU03
/2oJtrogya9Q+Ml5/IsluBMV6TfZJflmLvoblfR2HrrkCLcWMtSDrrzkxCS4iOoyXb592IXxRHJQ
Uy5I9w/PcBoQPcDXmOFVdJ1mN2nsugmDVzb7qdlw2SFCT4Z3L7TJ10EDVhcdBZvHcdLlVvRucRZE
1HtO9oZ+blQzfYJPKeeQXqhqk2rYNQBbfeQ0tFtRtOLKWSb/UKUGfs1Rif3U63ZkiQJrt9ZN8vLD
gIx6S4AK7NmDzvnu3DXttBvgYRyQMz1UGi29W9KcZNhqRZ6ZZUSJ6KtLrPpv2kjvLYtTfHBTB7rm
6ksORh4NKzdpYm2tI4R6/6ae3fk4waA9uZoH+8KNy40tuXUMnBgj9Obu1KfBcPlhVwbp/qX2Z2M7
xou+y/3llQKUNDJt0HSxnyMrGnGFVtYtj1pmgeboSER82Jk13/b3KWzw6BdPc1PUi4nQht0eZMlm
tS+SsG44y+JleclKe4m4KtD01s04ijyjH258r0EHNjACbX6xOi8pm00O5KVAzxqLs+a1m8lhfPPT
82wUvgqDRjHtV/y7Ht/21rxc00SLDjwWj0FvPlurXYVmii1DfLVBKXkN6s7FGMHAY5rSZPNhja49
rdmZRmEfJizNdpLfKV9wVbAdKCiDrsIEwwReACss8/ZJ9G1+4yYDEWzYpm0r96Oyx89/uKgt3dB3
uuKE/GcrdRXk7e00tLe0p5TQPRqcSKGxXgTTUrv2LWzzZJ/SY1vr5tketXdb84ZLgiZkdVn/8Ues
VmvsOc9ycgYwnvN5FGI+dmX79DGL/Wds/d/G1mAh/6Ot82lpcIQmfxpcf/+cH4NrWF2/wV8yPXqU
TN1gu/s5uDYMPsROb1kIKR++z9/Nnc5vvCVwDLs2ZSoYMBlp/zR3EkZjfdHx9+oeI++/Ze7889Ba
93VHZ5YNOAEZGlL46mD+ZWhNkN7ABtROV0P1nmCCSMsvvwzxf7hJf3WP8mL9yoP6l2/wF2d2N1sl
XA2+gU+CO8V1NASv2XgFHoDE2H/+Vh81078gmhj/Q+OBT2lhVHVsR/8rkMzoDWoRbeMydxim5ESf
NRNHIEMEn94b53Ofz4n/ljYYEHWGh2avKaRbCDR0NVh6m1TvDf4hL7lOBjsl+rWPu0SnU6geaPrU
UWHOA2kDzb7QXYo4yz7IQTr4OQUwLjHE+GFpJUCMzDnRvGzc5G2TMxvJMX/hnKzN1dTUcc8AMKvR
bz6NVsAWXVZtWty3AeYayM92DcACljjRAxThhTRPPZinDkbJp2UuB0oo2oHByLiU044OodKqLjyJ
4cth7bzySWZOnzUoUWGhJYxGKbEAfMrM1bpm4RDqIpecH+8nZrt2vbWoQQ80ESF7M5FmhtRl/f6f
VeOXar9/a3YhWM/7/N97XXhXNd3re/PrqvH9c/5YNMzfYPzREO1Ya4OeT+DhhyXc0AMWjRXxiFmc
xkjvp9vFZjnh3Q/TDrgRaMK1DOXHqoERZq31C+AjwiFl9Qj+1qqxPkl/etI+CoBZhohcOOwvf4Wh
VangtqC0CxJcbR7s6BT0l+G5GwO77k65XnmIkgVenTTfez2lXc7ZCsoKhFZF3ZknQ4yetkhOa5aw
sC7rH88pucRkfW79j/ciY7D1jclN2cmys5NMI05Bxb/GbLSt4nt90p1xapn5JkM1zOkZvY80GLAU
39NYbDQmNqMLVuEE0s0CbmNNZbYwHI9H/YVNdK0C4uwjlnuKTQz4Dr6dTN6tn85DGlxnmdxOxCEB
SuHEZWjhDDXMoXLoaFIJvUWLV/5/0/rie4bjn732v+y1JqLsf9xrr75O/3P62vVfl18fnB+f9uPJ
8azfCCmQfrBtUguELn+GKTznN4d/IYkDt5Rtgo/8vt3SiOkaHu9mh+3+u7ns9weHUky+nK7zEQCK
OtGiv5GlgEX65yeHBIXDisv1CJ8aTZR/hWYyzSF9gAfkQPg8syJM5XK7JEBxLqAmOBez3rXjfcLw
8NToGajvkdDGbSq0sdoXpKMLNO6Rjt20CDLiw4MFrAkzgSmA8SRJbGe3wdjre6/AMZLAjY7UrE1X
SUHP1sYATPMwQ0R7duvxtTSwyPKlHsYVySGLRt32XfDQCCga3NBRpRu6QRiVGBg4OytXl8PESDf0
c9+4o98NZwDX2OegMNjYNS0z72pS2acessi2qXwYMGh+4eR6aMuON1/RltdvDM0w7oD0ariBteBb
b3aNDnjKmimIq1R3TBhM4zefC/FqjYZEKe0R7+0eG8H6QhWq9TdrETR//yzStJ7PnoyxOzpFB1SK
s1LQoDoMR4WXLfLIsuVQ3qfeBD7CkDykk60KnsZctQmXRF/HLS3VpStGJmBmoA4V/tGDnPruOGoD
393waQ2vgWXv+kwG0ZQ1FCGnFCE4oY1ixELTWzRT5/5QbUyRaC/DYDn3vkRfJKFgGefO70mxT45R
Pi4wN/3NmAwGoUoYHCGgBb5aSd/ZtS9K7ZtKpyCaScGcinRO37Wyn68ExUj7j5+vX38q3tlAAHP+
92iWkj8GvUgjMohXTzu9G+r9MCxQVHyhdlnDi4wdQ4KbHlFLPZmZ58Q3BiyGgyyK6eyacZoeYuBe
6uASeLJ2qeMV2d6iBIQAZqywUQFbPim7OY6dLc0QnRpbVZaYzygBPmKSWHwdT6GtDoOseC/4VBbn
Q99v+O5ZFOCBzrZEv517TPrlY6dZ5X0quuW5FWl/pnkkeMjV6O9Sy+zcDcRL64RxK7mIWzslLUqp
FDE5KjMEf2zfzQvONUx2o7Hhl8wVNnAHa2C9xzdqh4XTSi62gXTDORfqBSPWsvftPtiXpWl9mxC5
qbjpKoxMhqXmdJOYeVbsgpzo4FVRNnytYChxKDWuiafItoiTM2boGog7klnTXVwFyyVNhqgx0Fo3
SuoxlrgKw9OYTP7eIPywI6puPYLBL/ZQBdCEwZ4A3pplRlCnMPT+Xjb2syNLJoyO/sQlG6LSMrbM
K/NBaWo7MrCpgPLIiHiNC0JXxRG9SSIa9KI+JbFvm2EGzeRaqbK56V1V3fYaZH2UourGyWwD2zK4
egjuybYCmHpQniu3JkbQU2q3qxHEnKxoKh3r02y4wMerhYlU3Lk8qPPEyLMveDDMOuNNNcXFrpbj
vDUbacPfiXNF1WWvgW6z+ktk8/x69q0Cs9Tk3AA6NbeYEBDVdK/X16toGechhn77XAZtxmhj1r3n
kc6Hy9gwkrely3Oycs2xY3S8USIoNjWHqinMochBO8JFWEc6n/OqWpwbGy3v5vqQQJfjrIw6CIMU
1WFIRyvD2lqrT1gHGIvnbXpFur07KV2QLXahcZmtR4sKaPYGuS7B17itUUlwYpbS3pi0126toYYr
R5RhMkLoGER6XXe5wK7W3Kaz6p8Cfn/raMeK0I+omjWCqxJAPnGermY3glMFlicZVrWT8fu3wxCp
1GuMyKtFF3WlmT64NGuoaC67goFRlV+MMi8WVJKMCVpuuhmxCFSTLhhn9HDarqalem1I8G67jHB4
E7feFYXG2kNRUCKI+I9DLpjAn/ItSiki5avupvOL4uTVcAWaicXcdEdWpd4d4pePlaUtZPwtmKvi
VDY8oaahGG59PEXCZdGaYek8dhN19y7MBz0cTYrrOOWww3SNW+/nhOWZUJZp8zhM5p3hrN9Ipt28
qc2enwSoubqc9An8UjppQX3Fbr9c9d1aEddQgrgFTqMuO2yBF/9cMv4/lwwM9Qbn7n9/y7hf06D/
s3ktGvmn5OmPT/xxYCJiahMWdp1fisL/uGogXbho0pTUscz8KX3q/BZggf9VuvhdnzB/A5bBkcnF
q+/Cof1bBybu438+MFE5bDimjnDCpQbuyQeF/BeFguET1arQly5sYhy3eHqrrbIJQ1VrLMpbA1Lw
mMw76yM0tcanjDVIhVTAEl8QrgKfW11YPcWbRiv9Q/GRwopzBmn1Gs3y1pBWQVorEdbBZuAdkvjH
hkaiayLZxdRK8ngT9tLW2JfxEQDriYIFayiM6TzjR1yD5r1cQ2NCmKttMamucLL2D2xwdB14rDPU
8pTvOsmzhQQaCKBvlpBtyPntdgkWeZevcbV2ckiuEYSq7si9DSd8B+0FeUCoM/MadxvX4Nsq4Z8X
TlXHCuToNl8DcvYalZM9obmcU5zLzqbrVziTSNVNa8Bu/MjaeR+5u2WN4Kk1jKevsTzhtM5Z7/wD
m+Sd0Nd5/Briq0jz0fVSgdIj4JegI2yLNfTHmCXeMZzhLrRGAv01HNiuMcFsaqktITjIH6u6UJIw
oedo3qlaA4bxGjUcbE/sZjNhFZ8/sojOGkssyCe2To2Qu6SPpB7NT1PluMfZ9saXeg02pmvEUV8s
YB0cHMh7lU2aAbgDJG/oFyPlFeqeo2FRDNtsanztDb6C4amwKQdmxgPWmi4c6qZXke40kL80W64+
IZKqd61V+1dBAsV+O/mtNRMuZiveVwzrDsT2571X1eBomVl613O1RgmxuWF1yrQqlSGMQgtMUsLN
lhEkK+lKZ9ySstAomCL+W7Kl28WVBqZLaBsoeCyg+0Z0qusum7ykzordmLCaR4eJNUJIiWCJ1ao+
eUSd3O6lMWPnrlOCRhiyh02m5QXTpqbLp9tYFtW+/q5UWZ4ax2kHlVcf1N5WopN3Qb+YCzNlfej1
e40KKJ8SsiAvKTwxE+7J5k7nWDmzVxUuGYz5EtbRItpd2xO/xiWuG08cIefbaW5VxVZct/BtaF2B
gaMxl2LAHKyE7L4n6LGM2mNaOFmxMRWoqVC61XzJUUf3MaO0745KVi4kqZE7hjKITdzXWoHvXaSP
MZVN1RW9yFTrVWLRr9U4ueOuxLkUR0ObYvY2ZF2fMLemh6YutS2UWSuJJn/AkhmnXhJaWjc/Fbjk
yB63rvW5TW1zUyZVcr1yc69duny2EkU8cqmpmPb8APol1jlnW0HD3M51qQ7ZUmOap0ToMZgh7JKD
o9k+tLGor1YTg4N2nsfHFNQuvgtPm0LIxVhUEokLjNuMVKFu4A6QoypwkDmWXEIDSuQW/ra8G0av
vkEgSPZea4epMTrXoOeSh7gU8wU4SFgZLciMl382xP/PhkhZE2L4f9gQL7OeTarL/qQefP+kH5uh
j7YW/L7ZrQLB7xwG5zfPwwgJS/MX1UD/zTXYl2AiUIuzKgq/ym06cTMdGge9JKu6/3dUAwS6v26C
nmei6Dk8l2QHHP0velvHvtPSi5aeFM8rnrQycdkW7Dw2cX+79viiJ5VHfNpp7jI43ldqCtYer0o3
MEkP+dZYM1O5pL4cJ9NcXKfcUaETanUOCavbzwGQOQlcLERUJibv+BztIS0Ga9FOMXm7JXXSi7Gc
mrP+4dpiXHUWYN5u1iTxvoI3vl8zJnubzLyMqAaNN/1QuHDv0u5YwJa4HHp2IgWJWwNvu0hIRpNv
Xnh0oX1mrr8Um9mLE9K1wwib05SHsQbA2bS2zeYCvu046F8KImyvVFf4l6qwwFxic5Bb/gPS7aM7
74jUA3ciYJZsDTeAFZ/GhPEQPewDkWTtbfUZf/NEFlxbee1zqK66r8lMNpZJhDBuslQMe2lZ3Z3d
29MpL9CQwoW+jGodpn6FwM4i7+Qq5LkF0qUtiXuV6HVy0QulvdVu0mEKEI15BS2wPi5Z+zyyotzl
E9WJReqPn1Ih5X2A4YHomaa6LxR/Js8dZZxBNDjQsF03Ydyuanh8YFyOJe4yppb0Bh5Tgt44zUyj
e20X7mnMYqcn14RvzZm6/ELeSx4CleFM5s76pvShPGd6d62pxDnBBoJkHit1IWIMCLXj9TsPK5q5
wYGzcP1YBrMLGzMpnoMs4AzDqzTw1Sqt35k9TC7Y6HHUNZXLLwqJOeyNeKCO0cHXAulvP7dx+dDU
XNgJ/6RFNNUCP95CE9C2ch18WVrsAKFNTQskWsZ779h2hKuxDq9xvUanIZT5d7xLuRpCMcOKHeEI
TDelolcvBM47fcty7AORmC2muHXZqz0tcfVN5uJNstvFOyddo3DwLkMIfq66FFLLz6ZmoW8V1WRj
Q7YXkL8OytZj7CmTWS9Ovi/tPMG2LIRDlKjELtZgjT8oAkRYyz0qHBpON7S0OMFtEi9443xtK9IK
K/YybtzOuWLXGd9qzyqOeoc3asK8hKWWJvs9pIb5QilJgXQeyJrS1zx+1nCMaqe4Ndt8G9Se8d5O
eo+YpE8QMtTUxNtxKYwXGZRxHSXYnG8NHB2fuwXGYSAm47XoLIzg4yKXu37ygAjYVjGhzPlBQ6Pz
AquuAlO9ZsOhzg2xYT1ao55etHpqfxncFpSrYfOmxfOnygM4Ef9zTmX8JaC0RT/OQRE8MFRvML2B
UYcrCPQDcygcwZ2f1tWrk6TBpy6zv2j6hAdddBbeenf5ist+oTeMzrR6BRPXz3ky9EZUdrgY+WPV
3Yv0bGbUi5djXIwbePka91JOYE5whjwCuEp2t0bvI+GwW8ttp5ObgTtib33A0iQ+IKMgYPUbSKQZ
Baa4sdQk21PRGKCu9X49b6e5z+tg5/sGN3mOWLl4kYa3bg9lMbszR83ZNxntVBstkLGNItUh/xdp
wEWCxXQ0dWgBBEUyZhVSlEeS9u0VMStghEFjybvOz2xeWK/KOWvkoERaA7YMi1k8HDHq1D7ggkl8
Hr1FdAdb8/tDqwdQZR196a/tvtPeGsoQ4Ega+XiztJiu80KlNK5qOdBthOxxp+HL/+xiLPpKnGt6
WezauLT6LMa+PCHihZazdHEUwJ65TpcgBvlrimrjphNHE1NDrzJ0cY9KJTY+LboX1KtlUVUSc3KJ
sttrpp2IUXkbrDn3cU28kzykbxa85x4i4EOC7Lbv14R89hGWBwZMcF5bM/TBmqZv11y9+ojYj2va
Hhm0guS+RvDLNY0/04U1Dhd22brMOu1uEtmT+gjwL54N7fnZ5xaGJTD9nvRHpST2j8VfC80gd6+N
fIp36A/dHa3m+h1KfQKdHtCd5xfqiLz2yM2ovmvR1O8G3GUmBJc8fsRDWD9zBPSHsEYBPaVLUjz6
tWuySE08Vn5GRaI+zNUNNFjKwEiARjIrbA79VR81o6JyxekSlm12O8zJS3Y1mABrSWC3cL/7qgIL
pMvnwS20nQFTGYNzyRl2ohDQDiGAuucW8fuaGIZ56TgQeHFlyPje9jv3iLhIuGLQ/BY7c5x+tRga
XQNpHypq69vmvMDPuwJnL+5J4QIh4hd/E1kLSmnpnP0HOGJmyPW5sHMs1arVcAwb5bLLbdw0syGH
bUvWjJurw3o0UHkBfkV5R/JGTQT+5qZlTsWhGJZ03JRYu+HoxneTio/4l81LqkYAj9YKaNPiD81N
ojxqmHk9H7pmNqhMVZQaMDPe522nXReUbVtb05yc25KMynss7eyQMVgArtbOgu+jy+W0KG+5NYtu
2gdLEBxHY+gfKWeobka0osMaWyR1NTQ4IYVHk0A/JWMGfHvRN3io4FUjKWKGWa1uEFctCHOYILap
k+kw0Uv7eiiqGJJSMB97NsYsFOZ0VQf+m95kwZvRw3PkaO60zxnA+M866uWxbzSxr62UUAmFJaRU
0i5lk0bMwx+FtWKXjXlxEwccQYTnTZtCGu6LSV722gSYvZXpumhC+jRhJU2To7bkiM3mvl6C58zE
o4fg6afiooU9Y0R6TU89EPApeMmYDN47QDzaG3ySGakwL2hpA3Xh0UGaBzByNl2ZsY8FRq0T3pAp
xQJs/Lzyjam43LQJTTaWv+ys1PXICbhelNa1G0d5Mt0qw2zyCwnBrkJ219JnB+dy9oreB2SGDmHd
2XaT6hLUcpcbnHtpGNQqyX2ToH0MJ96yZodQONau1r+2sXrh2MstqtDqt3yczcdADt6D0Sbi1LbZ
QwvedFtZbXWEECIibxiryGvmO7dEY4+Hb3aWvubSffFoW/9ikbXBSNo5CWOX4cULtPzgen55Qwhi
i5FKO/PHwfwHiP9YF7L9ZilnBGoqWsJuVGT6GfJ2Vh46ggO3ljOhkQ5YMegvwReYPPju0G0rZarb
VHHeCWUz0dX+z/T1O3Tuv01fDSAY//H21NTytf6Tkmh+/5w/TAvIhaa1NiIyLzWwLvxxf+KWhJ8h
0HUq4zH42SZXpd9nr1y5gDbqDG3X4kyIdX/comybsSzaI3WOXH0AKRp/5xZlW5gm/uRacLBgGauf
wnKAhED+4OO/SImCXIIZc5i79gSPXlRSYkb3RWrS3UqYazl4TWHVu4EyFYw7mSUuE7PUsMon6Tu9
sQQJvKRiGEOnRDsfU2Kb0Oip2nxTnRlsqzojOmmjZJybFv7SU6ZwyqM86e85tDamMkOBvrAqnMt6
CBqtfaa5zSdPSs88InON42m2sm667IRbb0Htk+FcVltgsbjFpSA3FBkD7Twwys/6sIgs7ISfREZe
KxImS/d55CTPKp3+L3tnth23kW3bL4IHAggggMeTyD7ZJilS1AsGJVnou0CPr78Tkl3X0jnlqnqv
h1INyyYzEwlE7Nh7rbnykxwmEz4Ak9rfySvoAYgSh7H3gTVjNh9LJyYnIU5u8wFwcp/36mjonpln
VaC90Hi1Hwc8YuC0rG1l+a9jOZHvYuQdPp2oWt/VvKSvk8NyYPcIy6Gd3sTAUPUR6ocWJJVkAgpb
X+UpwGT1XfQkVv2TVeW6DRaWx0Uw8ZBcZXPpOXqtmimZLu0DUNPUvYxCOV+4IvMl+6GxAhO3nLof
2iulIWWsBO5NLUeXtG/tASbdWZM10liTeSLzo8pnzuXl3l1wJYlgJO2rg8mVAH9rpqDN6qFXlwXr
r8bKjWpMWNMOl3CfssX7kZ6s4STogfrDJSfqJMF3wrjM97JT5BlK1Qi2HfkGQYlBOAlZD3lDPMFX
qvo6/eanov0G94FB251Vtk4hnkC1CayKuMjbDTRo9bEeyX0AHeIPN1DmsrOLU4cLpbMwxnPSpyeC
7UubZJnskcJa78yE6jGMs/G+nfOB4idJuS2nrNrONQM7EPbi7NH7BVlhLvuFaIdDVsX3AuDBtcNJ
kmyhulvbxNcx9pGmi8CLUJYz5ORqBxYQ76NZmsztc7JETwUahD3ra/teWXX+xeoaYe99HIwOuz3q
384DgUcDLNU2YX6+OLc2k1dpR/k5pYYWR1n2n8gsGLpgQS/7QOsxAVyB3OdTpEn5ilJZ7IvJMeho
y3KreLnb3LXrAxOp6bGsOnGIx4yqEqCA2hSNx2Ays8zsYomoGTej1Q5UuQQGIMrmGIYRm4KoyyVh
VelypgozNwuaPDx37EwIF/aeWYg9oe13bkxTAoeWe2Mq1WIwzMJP1AT+nvE08QKpLXdZw6C1F6r+
kLbIiEvlPK539j1CcnNLR6DcuY24XVIOlGzaXeDZGEkpNDlDS7s2v1WCRiZwkegj6Nzlohs53lSM
dY9t7tb0jt3oAJAmO4RJG25C2FlfrRH3Yu1q/ymSBoAD27NusHu9LJZ5X9opJi0jdG9QPDs31Iec
utN2fHWaah0aZxPcscS23pA9Yczv5wVn0Zib9tW1ZL8TZWt/M5QXA8PkauyzJe1OfZd/cT3pBzrB
7L41eoAJEMZc+VTb0BEDSw3VF+nN0bND4iwWvEw7n/ELJ4eSgT6/ozZOOLStwKaxvWn6IT+Nplud
M4YUgZemSPSHdNrbZeQd8bwTroHHEmssGfB7xsQgkKB/JRfhx/0z48MsyLk+z+3UPHJbV1fPmm/8
kS6RA+P8aKgY96VnY03ytJEwdpG593ViZvPg515yHEBnfKW35RPAQemzqQvTdAl7kVC0TXEK3fTa
Fdo7zZxdthl395MwKsCDYpyto08MBpig5QPOdbGdJ4e4GqWa5A6SNyt7b9qfMPZjGcUNt51GIfEd
mK6D32eEFyHq5Yq1JGFAr8fXjMjpjWOn1a2V13Q6BjV9MaZy2A2W3X1jRGIEKBSWXZWTIDoR8fLR
KoGLLoJ21DB5y8NcYkcQedQ9WFrXlxDY+JMSesmCttFZs6+IFt21JOy+e3Wvt7gMq2uK6rQL5jG2
A9zzxoaMvegb7FTzWMJrfbM5ERjbhVtrxxwhD+JuHlxwmqRglRUrvzfS9lDe4N5aaOgAFBj2XkYr
PpK4y4s3OvG58nVN8UZWTtcAX9rNfjz/nswaCs8QoS6isR9vW3POOeWItsCz2rgbIJPWaYHg0weE
afyOp8LeianyOcVa1S3qjDQwcAzeLGWF/xp9UD9n/m0zWKBZ1ZzE4QnQZnYbm6LZImVIP+XtYD3T
kK9vVe3NT+Yo2mljoK24klRFq9DrplOFIx3JUijHYMAocK+HOnst/Kp5jbxSP5R9Hr7UWZhcetr8
TKi95YPQcqZPX6WHWQ/zLpwZyZlu2cZ4Ixqzgt5nmd2JIQEj7Uj1H+B4QOJIZFtujcQpA9dhBkZ/
xXxogDnYO0V/41yOjJggY4zzhSETcS2JhhbgVdLmOnbjRzkx8XGG2D3ACB/iIKUCP4tEuF8QaJsw
UMMyeYg6zkNuavqv8+K0R1MubPReSWNv00ZtsneTzL2BZ1M/h2rAgGg4GhsW+pBEbr1xuiFYUO9b
IIZl8N/Rwr8zWqC4ou//z0ft/6OTpfq5Nv7xI/8ojaly6d8jTFeM3+VPpbH8zROI/B0l8O2h2v1H
aWwrSmN+yqPp//3f8B7+mLLbKBYtkBr8OhQTPkKA/0CVaH1n0/1Vz+t7Du9r1SQyaEc5+YtKv2gI
Gpgyd6SxWxOhyyoxdkWO2M8BN3fBhe0xP8cg2i39AcwcweevBMECjM/Kumif8eZ3iyaQ0kZqQ+9P
U8YFnDCb2nuC5VK3LugdnOOiD+oRku2eygPXd1n6MwS2cTTIN3EsqxhOxNPACYVW2fVlV9+WOeNH
cGKJR38T0ueNA+b9XBnFYNJhcefbWaJpTO2mPmNO/oggcDiArlSENE3+FlB9fZMW8PCLdGK44TiZ
9Ry7yVIGSCvpXvjFSGqBh2x5N5K/NG5zvUSwnnJ3ui6kC71jEoDTATZ7uE1IRqC8jjvKEQ2TCaOR
jefxUE5DfpgGnXtbx6+Sk8tsUd3R5x/SoJ3N5EAoKXo6lyYcvJAMSpWRGyzGhcyOdajHPb0WBtaE
MPGLySvBP1oM4XBvOWH5hgdQXEc3LodD1QHyiNsWLmdUz6SVtdG8wG8qNKaoZvhIeTy/hEul3EBH
DSagqfKmNQ3H4YOSZNRbH0O8SjerGPHQWq7eSZENOzeqG0FrUt+MVSXWZFyCjuEbwgqhg+WcYE6r
Fz+lxAfy5bdAwyQuh7jVJBUP3OpAwyCXPXJ+2lmdURYHu8vDgLnyRODi2gRO2pRq1RnIR91gd9HV
1uwBOcHILo5NxfaBN7H39tY4jsitGTJD6x+i/Wx1yMgQbGFmo/c2flNhYr4vjoj2mcPTyLgnoTIu
5fxeoD639r4unENfTfWTKHV8wf+Yf6xIvt6E5gDjqDai7pgP6Mu3llb3RTHrLTqqcMUKqibgCCG4
acQkBqroHGII/KFdrLR/PzGxPgBUAwBARAMcRAyBG4hw2ZNLJ4lIv7hH25Ea1WktRU9dQfCt66jw
E0+DJrInFf7nkGMIXpC2o/SLusZiApz0p1EXak+eGihHvwzbJyJYvpijY2yHGbtc6EE7p4c+J6dK
1TaQNkIW/CByPXED7lsiE3W8Nw8y5mFoYwotp0XEvnUGTlrIXQx724bNsyNzfdd45vKZ81u4ZYg4
vwAmK47hQlg4GlqTmQ5QFBtmgdHez5zv7honTUe6KykHNGtIsBm3mbcVzNM+uBHyiVXedSINM3rt
mjUZFxNAfs0kEKF2IacVnOShq0hD1yqU/cZBJPPoxE0fzKSfU2yX0hpZWUIRXuo1xKp3uvpeF4hY
cK7CZBfZfGrQPMBRIrVumGZ/U4bdl9Rkd7PncQwc9rkjCAmfjDvrHT7FK9AAB4965E9bf7A4SW0b
GxY96O66Ya7nPiBcDCNeNnMIodL/bRn9Wy0j4RKE/Hfb4oVf03/JfpLr//FDfw7cxW++wphCkwd5
2V8m7kzi2RCxpFkKl4mzysj+7BjZ/m9CWj4iEtpJrrV6Wf6xLa68V4Rs+Nnkfy4+E2tD6C/bIoEi
6P1hD/oY9FxhWb8YymyWQY0GNzoPNDRiTjxCPY4iWvZsX90hIZD4PJif2cHAWH0fVRMa41+HauiO
GjTHwW5EczC7xDR/1GE/hWz81VXn/Lpj89a4JA72Osa82BJW5u1fe1lT68zsZp57UoNTV/c+KPB7
AE09ClomrhndpuoJ6ZIhd4kO0SnhXjfqoQ2I4+zDr15ZiseWDPlG7+pZFeqVY110N5Ohw/wmbsVb
QcuEPSIf0JKDAze8be4gPL8vWsdrja10O8M7kn+3bCXaZOhKglw5RmwVBmz9gSFpBLzZIIQo8J28
uXphm4MlUS0kTfS6Pse5nqRXa053E66Dxutj3e/80bMfFuH2zExJ68aHj2WWBnwebXrSiT8XBCRe
CaLH5T5IgrDZxitKco8hptgPIa2vM1gvEEMJDrlVgWXLx7Jptwy7xj1+n5cpjIwDu4c+N7ABkMvb
7Rc2dn3vF860ddP2IqLqXBNe96zKZHoQ/jQfsNx3F1KX6c8Zg7FN1NJAzWZwdddIe74po3hPSCac
nrgX1ZWsyjfTTsn/SmDjbJcsjz/SdaxJB+ud8daIKuMRE5M/BSqe292YDNNNpJYnk4TGe03CGhhV
WknMR1z2Oi8z5GfdFug00MxvJjqoyLBtM3GvQGHqK/YQOwCzgPybyMJ4CGwtslvA6i06wwi7/SSM
BLl4s0MJaO0bP0cRaZrTpozt8jS5tYM+vij3teoY3gvt9kGLZXK3MKI+TnZY7xTBUxt71SJPaKpP
cunGgOmA+8hVby7gH/Q+Vbl5joTtn1GEemeUeXm0DUsz/1h3on2uFILHZm3qBVlv1E8EFC13dmlN
N0yoiVkkn2svw64Bxcmn1xaNo3weqLUSyKf0vQawxM3IpLZGNvaecduT3qWnAB0WsR9tNF5NNYx3
DOWGizO2/Y6pr3+QDV3BzljKjTVyAF3Kzr7GNAP2uLctnP1JzC3NBhzuRyDpMyM26X7EBCQDY8qN
DRl3/c7xGbxbETrvIp3n35HVh7dNEXPImiZGvbUcxqBD4vjWWvOiA5jM4oS9M9VIsG1EA0unyhmC
s8VIUjkthDCrKRSsPb+B8Wbi70atlpPx57ah8exMLd54SaP15E9aXPzaqRxUamZ+GtSi200hyEKO
aH1dpphTni37kOT3YU3jGOI9EcDkBJdeKL8gexjdTZKP+nmh/XLjs1dy+ZYmY05JzKddoeBbsWI8
XbGHNC3KZTgAxs3tfGt1/kjYtZk42IjIh806/cGPx+WzGpaJ9nErT76bVqs/lZSTmobKHSvh+DbE
jO03tefOJvwkiFvbLNGIW6IRKwaNcq0+laEi1Ntp9JQSOSKIJrSLWp4mgQBiUxCwA1uZmLHiZgbx
BzRgJvq9iigmt2CBaC+ldB7vnapyoTViQ7lvczk+uhpoJbqZeADPU7b5veTBOMAVxUfAWaAySAYQ
ePfRXkKnYzm4FLgyVo1EXryE6HavSW931W7CJ3KLFbq5MZoOrxKBg+Z94qXVs8JLk29FT/1hVvx7
l3vU32kxx+dhcfTtSPYmTewx+0BEXfnsOR0kxxn1fVFD8WN5ZvGlhMq+pBElMh2EBOYn8SDuQ5vM
ufGxtqMFQGTT+FfLHr1kp8wi4kupmePvpVn4v+vFbs7Ep41vEel7qEDEcBXd0BynCrCL4RrQvfoq
PpLvOpibDh3kJfaHdK/GQT+RPbykm5CMzkek1tZrNRTJVdF+EMdWt9EDxvAaPwSsrpzuX9x+qlAJ
IwERJauDnqFfhW6fvccYMThDiWm47WirAwQWtIgYLXirsYQh5r0xdUZGAdrycnSyhm+s7z5wkHjc
N8ptP7mGz0uguF1uJGvzPp3t9KQzmu9on5sda8N0SlUWflwRavzBTcc6z0NOFBwyIRMR6BpGawRQ
mQnb5NijbkTkgGpVsxVnG7MVzRnFEPoGUtn6S+e57vev7Yi+4lKYmuTW3uZDDkLtKJm/pLY5bkdP
wstrJvslgax0SpkFP0ARE7xq8cVqWp8b0cns+8ngMBmy9C9OfhORePtlaquTr1CzuA6pomA4yIkz
y3pX1zK9m50KPRwjaH5gmax7WGV8p9CMxzunJ/HZshivFDHT/B5h8ybxTOMTsOXmUVv2dJEOqvKg
hazzxoBs+DLYeXvJbEdBs6ymw1qXfM6NrPrCXerYAQonggVlqgZvN8dhTBo3TFB8sLa+2F7DGMax
Y2VzklqUpN9mzHI7Ftq39zNt1QqqSG++uGnXlbvGbbLPslOw3mamEGvUSGSF27QFLrLpOERQ78dq
fCf4O2eEnSUD6cWDCcqjjbMXhn58XfG7IdPh3jBldp1N9ymbQoe+dxEVO4ibaglostm3bTIyWUH3
b92HWSlPlFjVJ2Juu33XGwXmEpPvKzTTueJhSctPttMU/M5k+GqJEqKrG8p1E9XFrde04qZlOeMp
aomDjHAEIM5OTBi2OacTbhBlZe9EbL21BgggZxbk6KLjqM8MP4yVQucZhP3MExMYOoVjuTOqBvpg
bHZ3HIPmR+mK5GnKB9MGdChI88HWY+zRQF8jf2SzdjznNnYqTrMVj9hNYrkCSuQEEI/pU4Jt2Cmg
PJEaOmxJGlRfxnRqPhNVWJNMsRj+WUlAuRSYDiO8Iq383Qz1VW402YonyAkr7Iuw9xtcdoskHDXv
mXkYi8JDwDgBGcrCQXRkHUkDXUrXCShP9KvFmMJ4ZMpSyEPPpv/IU7uMzNyUDHd+lbvnIdXsBKgG
y+ZINLuc6HOHccjWKqm/qtz2nqaJQ37VKKPl/prdi0cPgwaqz8DGwyGa3up4zqaApR25DJY2IGV+
c4Vnpj414GIO1XdlJJm6xhcGOsbZ47hdHppWE9EFpQCRZSwWtoxGxf0hWZWYFgPX4uytSs2oV/U3
vzRlEuRmZJ44LiLsLKvBQDXfk744IRS3u4vrzRbwtv82O/+dZicjfMHo/J93O+8qjbEoeNdECfzc
9PzjR/843GG4lqsTSHr0O6wf/qE/BNUeo33Qd3TMaX0yiV8BJ38IAkAV0PEUtud4pm3xY5z8/ux6
2r/xnxKbbHHC+6Ew+A/ansqkf/rT+Q5KgsXRTnHy9IRpKwQLfz1EqXVmhY4mPU4dSh70/llM3ETL
mHFrDZq4I8wDMJA9kxL1hNY6kifckb4XuAvK28AasQPtcZMWUMgd8LJHIyd8nSKIqElzY8Z2S5yg
493MYSxPNZPNO1DY8tTJXqCRtdLmLcd8h8ebqASIsPQFN/hXmDjB3Lrx6be8scrWb7W50HokIyjh
IS+FdyNiS76X1D13GJpJb69IlAUwW1lefbBylsRdmxnrj9hhUQRZmswPVtP5L1iSeeEREyTimdab
rtHk+C9FIqarTi37FGYF0dl2PSl9H1kAMs+Voyvv7Pqq/doCzXvOy4KOqQDnGwh2tCSoJQNwokBX
vELv8zFqX2p3Y1mRPprCFs+Y6p13RebqQ1UZ/dEeYvvDMnrTQ2lX+shhg6m4W7TiLrIaPn+tovAl
dQklCpAfrWNxQIMMSJlHf011whUgnw58JdOgNztkKLWZbM1/JidRXYrKcd7niJ8Dr88bcMTa3x1z
Xs20I2ZIYVwVHJ9ckjtcf+JTy4zXBEFRv+VQKwDC584ycNg07TtXJsWljFV8Z2coir0hBOs6JtNt
GibDiRIaDVPCbJ/W7Xo93SlMo01BqLW75b7mb358oaxbmd6iufRfrH79hoe5nx74Stv2I6F2NFbH
OgSRDIAa3KMJIDd5NAqLj1DNKb+lHmL+9FpiwAIn77kuSI15j/FE4AT8OIbGjIhVRKO5KxDa1VkR
m6/abaW9z4sFFzIxL9/iEFkLBNDSf5nz8dotrbOfy9iVQR4mIcPmNn1UA6SPDe1/I6hFYT2XkhuQ
k8Z619JA32cTB479TC4cSLXQ4k9FNlfCO+Em6kybCCh35J9VN3A3WLrlm/XtTtk7XNz2yZOih7eo
VEe7NWq5+SBdx9twsHj01Fh3X8k1RZVqdrW4i8e1HY/ajy8YIxyEVuhnQJTJGi/nc5n6wMgyAGHF
buAWZebIY3lToZSTR5WG9slIGbwyGrV538mydusL/AFXG3NtuCnHgjsmFH37dZpW/wDRKnx3w3qf
zP5Uv/XrV+TZnX0qgPW9eSTr2gEzweTg06nZoWlNDpxNiD+Qon6jERG+fL+FE0NxfclyvlTrw76O
LN9Cd5iuo91zSUYrmh+miEcBEVt1kTGhOXvLJZsCpyUXrqtq2w5qwunoTSuzuuSly19/fyTwpicH
FPtcvDnu+bLp0Z8SkTRvpEvqY+PURbx1e1c8S8TkL0ZqskfWbQqFMIVshCJb8XC6Fek8Cye/Qx47
RNWNScHHobF6Spj/YGVElcrzYGKppObiIW+zgesTaimeB6vjU5vIDzc4X+wTARw+Q4Pcv1kal6+w
S2Z+Q1ULPBK54QGI7RVlHhykAU29oVHKYB1esPPlgKzBcYJEy1P/xmkmY2sz8tfkBoIXJ45e065Z
2rmHhMxDEaLrR6CxWWxWLFLIR3h47YQ6K+1XB1oDsgD1w5U4A3nyysxAiyVyfo90C3lCu+pt044l
wzRD8dzBROQKFnK6QqXiP+Lc0LxlZtgcfdFGB2pQ61nZ3PNulqNK5hCpl6cWTo88Tj1LpL3wgacs
444yfNSuW+pA8Ryay1Kfowrb4M4mLik+F2GaHFKTnM1eWtkSDCPfUp6E8r1NLJZmEc7cUzj6ucFn
d+Fr1W3OwAm9aRJMpRDPTT+L5xSAIFIWXVBCFhyAMoTInb8jMKR+G0F9uJsCQcpdUvniGagt7yct
iILeDf565yiRVzPKKs2vt6Kw/YojNjkkscPd7fMSaLD8F504Ir1IVAVHhC8Ipb/f89JiCB6YHZ85
4BDEn71yxV2fDP6Lg4aNz2muy94wYqtFL0a+3p5cTdY33UJbBISw3o8rFT2oCRwgtGjhi/yxpBEe
Ci6xViO3ksOYoz+lXotCthnkSD8SW92DdHm68jzzU6ADXF47JyFlfeKKwZMvdF8nwYHZ0THkY1bW
CsyhexjpZbwIqm28u1E0Z6/OaLNO0NvgjYphTA4y7px3emD+Lu2b4lHEvUXuRvkVxwapIXW9bgYN
jCVCUyJWYD9fxB152SxkOfVDH3gYI8k5iuNSxKiE4/nI8mMX41ZEPSXEJqowFTP9WvxLUbbgeC0V
ThwW2sTPH5c0x0aUgAEJ8s6IXthK9ZGErYKvqCTsdZP1E2stzyT8P5YYjj0jLZ0ArYT7tSqLl4oM
gjPjp94cMRKPE3WIrZ8tiZnJXzei1i3zZ+IT6wt7jPeAL9EMeXaJitENnIRGiO7OMe3qQlRyFAwo
QT4kqnFy2ibhpwaTr2FVzU2LQy7QkOLJCOMZ2PQFB9vx2HXzqY37+qJSRm3hA76SKmDM+YpXZV/X
QPYNqCwP9MQ2aaGuoQWg7XV2c/rK5E0W+CfRshWsqgyVbMnBfLGZSW5r3MRbetzMZFWLPmjjNjIl
qMEqjoI2I0GcssZ8LTN7n5W0XUCxL3tE/ePZIYcULLIa5wHYdx3P+9mdc3XE0Jto6Mc9/iDaGf6l
I0Xp3ps6dW5Tn20umZpVvV5DbBjFBymG6tZA93GfLJl3VlbI3QunmGhYD0Wdl9aYpOoJxnim+oue
BvMWFyrHltZwpvdcVukHGugfOHs3+Q3h6/KxyWLOj107eoFctL/3Bnv41s7a/4ztDgXHSEdh4Sbb
NY5Ktkz59H7GCnI0h2ZAhtQVu8KrUWJJiUePDnV66+k4nW+5Xu7XtPPK/dKPIft4QgZTMn7w/bQG
R4yPT4Xjp4EBspOk6nPUTPM1duaS1jwOXjuju2Z1jn5sTS6rS5rGzpkKckR669nA9IMoqm1vwVIv
xAvNTkB6Q7GvZkMeQn9QN0BY5C5q2ufG75HNapfKaNcWTUUIQMgSlRXUJ2Nc7yLqhnNfaHHGSW0c
GYq3p8zv5U1FFzngosHHhsb3NLmMxWl6eZiTYXalrFgb7pDsQeK+UFSdxpKJezYBbANyKPdoL91T
jrnnMarIh4XFdbSMVh+8dYewZzp8U+T3R4cm8Ya+mvHWokbapkjH0es5j31SWFv8xOY1A9hzU815
9wHRqEF2ao18yfAUPzdSu37uhtynLrGs5UzuUHNIk676mFK+U971GCS5v63s2SLE4qhG2yCMtzED
dl61zTy575WDS6MiXmxEZfhuZMXHyVjZK0LlRTBo3e4NxW2DJWpEpYbQ4WCGWcxQM2sCFn9o3A7B
zSG566ehhH4dR5LROiNsUZv5ulqJ04yu8T3UJlbNsGqnj1TEO6prZqBo4crtnMHZ7+hnP4cNKwor
/5qgu8J+wTSpo9mi5y1i5jG0rck0G3Mx3qBxU0hq7T7F8d+6nubadY55HcYsBzHLgBWLmWpgoFyT
UCBkFmmxKm0XBAlfWfyjPYT4Zrt4aAhCYyjrICIBBmdhZIeHzo0NFiZNdICX9eOLkbUWwVRuaNGl
7kW81TU2qzRudgoWNDZenosEVelL7Xr5aXHxKfp6zkgn7BagL+QO+KSq7F0iCD6M0eRxi9tFJY1z
4qyFHwtpgSmETK7oJmqKOxAK7auBdeyCFvAWDnsbsHmFTwV9uI/+2NJO7jm7dOesaebktSV21zwB
dPa7s0FrxeqPrFr+3vbtvhl3qTConCIObuF9SK+capaJH6OZpPLewiZnUQcvMdZkJEN39pnLI+Oz
DzRqqsUJrFwagIVbfHQQuxBn22/oM9l1CWmcSTdMiCCkbRs6xaUxNX+fVZRcW9MpOgKH6a3oHe1D
f4dulWqrHJmlbNxhpdslTZ3PZ5LdputsjeKZWjSHTT1SltOC/QNS908nkN9D3/86G2WUA4UQ1iB6
A8RLcNF+PjsPZq0L3cTH2kUzyM5HKdhv/HHUisjIhGDcJ0QVnjyR6sQHmPCGZOdBWsO1l4NPxMAw
+i8I6ije5fdtGrN/ciASyN9FcqGaSCIAA3lYrSXFevQsfZNoAKMIObxlSk/9LSnV3dcfNXJSjNO1
X9ZDCSyD6RqHScSQMF2mh3Vbeafj7t+UC+lOoAJUTUH2lwbIw4/P/deBrPWLQ1tyORRAN1dwjJHu
/yIixiQ8AENQBq1Zh6/EqhhInL1+rbzKiXfPfejfzJY3GE8lGQHAgIqYtzUn/fI0+S5XK7KxQa4J
g3mQEmvJty0t/pwQs0e776dV20LuzVR0VeNgt4mSY0VIbhEkqh6iXTQ0+rjMBa/uWOQCQ3mfUVJB
TP1XoNXV2P5L38RRSiAZg8hiKrEibf/aNxn8KDFsw8uPJZETWBjnqW+D2M1qSh3iqfnIdYFSemqb
d2RO87Xp6DCQrsy5vZr0tSibf3H5xdqp+fVuNG3JRF4iZGPz/PkdGQ4GOTIRYmBssOhwtqPg6mgk
vbQ0ZrgIxnpoHS2r/SqFsk/1wKmgxBGeH4RmIw3atl5PThxH/v6+WMfwP78v4HYM6+kzWcgZfh3T
9zFCn5o45GNIrr3eFkRJTq+LXPr2o5wZy+5l4VO0V6WTgzcbM2rUv38D/8d3BcBHcH/KlVJgW7+Y
XsbYFdViddHRmXyw42HZRiR7+qTA3ZFhGUecycL6kNhJHF26OlzKXc008i4qO/Hsmb24kxXi8x+K
mX+6evwflwX/GiADTreupPn+89dFbnMI5ktGR5JvOMtOFMm7Kak4ug30kHBpWhwQ+mLhDGEMUf32
L67Jujb98q3w8u76P06qgBV+eflZkYozLFyTOadjgCVvpt3dNl6R8oXEM/FFCyMB+zlToXES6ym1
lLmE2yWb2rqX7gzsimyKjrTYbm00kaJTpt/a0OGoXxKx8uNy/ZcI+q88aTw2fyswuo+TnyC663PG
D/wpLjJ/c7jzTdMCubn60ehq///+syeUYA1DpsqzQfrzn/1nKLp0hC3uDqFc/m/V6v7Zf/Z+o1ts
ssbbDHAUuOn/RHYrfm0/K5C8IEfROSHi5Zj2y6MZjkY0xKXjnLBr1eHWSpfsGud1eHbwhAe4FWDP
Ad7c16veUYxTeCb0qX7zW3P64JQ0hiWKlVdMKe1rNKG8/fun5NdnlHdnmXx83iBtfaZwPz8kPpzB
UIy+PKWDrN6dWE4PiN3Lm9KZWGGbJJ8Pfm0ODCkrYKF//9osTL88ot5q0mMnxbOnPPf7fOCvWwxO
NVrjfUL+XxR+LBpivtjxEv8288HRbdGtqBvLxOzNZXLVZZJ+8kHQH/40LeXyVfUtR6l6me0zU9d2
l7l9fuhy3Wc73VTuo4o9LP8TpTp5R0V3I2q7ZtBey81C1uMmnQrsgXJoi/vYmk1cr2LA4etRHW6Q
saht3y+wjtAsGc3G7lwiMVPXYjTPWL+i5YYoxasuqgVGxgilvwIZJMEVUz9NtY5x+R6DhR9j5485
3CfSfDW0NnaYfp57gP7AxxBqcGh26/JOS1ZGI14rTl3Zw3Gm/gHDtNgbyF/9TEjjODQo/90YCWuJ
ToWg0Y9l6hXOxsCbdeOMaQiuYu5evTGEx5qYAA5BFsXTgB3Dox63s3k/xrkLBAZmp4E2k6Qo12qu
6zHv0WyTRGxTcElvOWBxNipl6q1Hu2Q39rZO9oM9wScgVMa9TqFHQlLYNC7xp3RantGgxbuyU2N/
QrSHJojhSXedkt6LAwaEOKASl2AE2lYhuCiwVmS7OS79n52MFvtSTppGRxShrGCkzLGEVpzka00N
eUTlahmbXFK6j47zUZHvjVfcLR+yUk9Y/RsMWSTVQnIiuq7cRCYCMaLA9V6TlMC8wiIDj7i8r01s
DfvMTPbotYctT6p/cknVui7WPEC4rfr0vJBOuEXTod5j8BDHhREsg9y6O84J4JF9x96KfDu1qN5p
YE1dMDRlewCwI3DxeNPZ90T4AkKGU8QYjwyklRP/LkdzuBdE1DqbpFTF75SWxJFZS2NvSBhCfeFj
dkMxjL7E3rhKu+mWZ+8pjozUvuuzpGfeS+ykOz4JDYO0ZnzKVDQgJBu0bTqFJUnNdZeRekYl7G06
nR4stCtfaYcWYoO0Au/Jpi5ruhkYLXXy/v/YO4/luJFti34ROmASblqeVfQiJYoTBOXgbcJ//VsJ
qq9Eqlt8uuM76e6IDgkFIJHmnL3XBiafVQe/YNN5JWUTHGdSjoHQWAkp9cQUsXnFvfM0a1bbrQO/
G0lTMmqt/VwEXUKmpo/oZE0+KCHEbdcU2hbK/nSBUKWY1siaWrJGetb6d6DcpukAac3s1hoKZGqC
RZMTad1FYfVIA4CIN6zosG1pGpBPFA6pfoDXG7EUtMV5Ew2kl9cUsZ5kyUZO7d4Y6qNenlF3T28R
manJkPocISFxcQVIz700u5KQdc30uVqj7g2JhA1CbDYGajAyUIcRIT+0sZPQco97fv2IJA95Ojjg
uBwqSgl2+XHoTc4tvt1TaogGPuQtpFOS0Dt97D7pSdPpFwnxSfqlH1DvX1dmVT5R1PVtoswygJ1q
KkfSxHNC/WJu22ShAGttfznG5vweyR5SjHU6WLPKMwzMIANrA/VwerJJA9ero9ejJK2OyJx90DV4
XEMCcErEU/1DEY5ZjOZQs4sn8Eo5Q6eZ5alUmifEEfxizqhIoQa8dwkaswZJu2dmV/SA6OY7ZWxK
TADJSJkEXZVYJFaxUls1i/CK/iIiLE/pscZFmoVbFJlWTmAMIqtFvmUqJRd1a0RdYhF4zZYddJtC
6b6oByAB4+EgB0PuhjQMeTg9f2o7SMZIqB8+lkpHFi2SMlC/Jfo7XZyFFGi26SDLT9Jo76FEO2c9
1S5b0XaHGzKOkatpkCX6vbfI2IxF0mYqdZtQOjcDbu5FZPUB9R1tKs4jpYgzKbM6tK46+zPwAYdT
omVEuxKlVmKWJEJkhj2eiywpT0gPo/Nukd61NYWIsfYqe+spbZ61qPQoEbkou9DupYuMb1aKPrGI
+4xF6Ocsoj8aswgAp0UMWCzCQGMRCTKPh2Qz2mI3Bkz4Mrfkh2Ud/d/G8Y2NI46p3yoYNl+zp+Gp
+fozCe75z/yQLuh0Oy3dEy4ne99BY/5964iqwSWfk8Vx2Tea7Or+Vi74f7GbJJLBh5iKGVhtmX7s
HPlSDVsnZ85caHF/tHP0X2+PwMgj0qA7xBlWWcNenWDSpI8SY/brAzXv6AFrUKGoTBYWonHOcU64
Td7uqnq6ziCKDGt0R2tO8j4yHb3aEXQLJmm2ZuMhiLs8WhVF6qxjXx++jq2DiI2/fO0FaO6UH7Xw
NDgvXfbIrOFtLMwjuyLECTTRTN021C7YCQk3PpDsa8OYG4rzcWznyyyxsYV7qG0PkEMCsQ5Aux9Z
73FglwH+TTfDSx6RsIr2vjmNdaP47BYR6KOd7JkEKSohkazO3Bk9H8XN9ragw3eklwK5qtYe4izX
KKsU1I/qEfQ5ESpbwvMsJKiyAsqDuTkf5Q1tji+2lnKTJKuiXDBvhEkpEcF8tKEtra0Sjrp7mvTf
qsaKUUf5bbkh277d2ji4d+gmql09c3VoRzeONeqr2G0v2pKVujPNm9jw7oK+uzACv6ATXrwb6tk4
H4cKCWTKhs/02LqZXk7BOT8XXvUQ5ASZz0Y7HtMpfPTpizg15cPMsm7SKX2s7R6tcFm+G+nyf0wz
0pEri6y0FNsv0mXI54i11gzBO9TZ28DF4JQGFHr7rkaGyF/to2Tcu7OrXyFb0HY4jsp3VNKy9wCk
xXsDitoeeXhFLHdg7ShnIQVvMb5Gev5NztU1POD5EFBKbcVUP5XCaO4q9ka43QN6gFYFx8Uzq+ts
sA8gMfBm2219NfVR8yBS786RcbmnxBPvDTmF506QuluYPcbBrx0PoIF3T84xm2ZhDfehwFgh8hKE
lxvK/Mb0A5IOdQIS1i4L/E1rZtZlHtcRQAkzGr1VGWGgztgFWZpB+7HB5rUxS+tWZi3WIeBjG8uK
wM3y5bDW9LEK0YKYlo+1v6cBBnMmrAxjFcYIChO8D5AMeqckoXPsTmFIEtwOQ7R974ohPonc0dmN
tP1GTi0sLRh0McrWtMSkzbkIiBHYtNMw1XZ7ViY6ll47aadvbFxmbe81ZRl8m3x3uMjMxqItSCDm
NqMoikeSzhs5dsa7/030/y+tmmH4HN3/Xat2EX+O4vCp+HmmN5//0N9VAoDVBEMwCv92If1nqvf1
v4ROVodNnhQ1buq6/5nrhfcXU68OG8mHaWMt9e/vcz0FBI7NyMkoBbNyKGToH6jUFsD1T8UqVguA
NcIC18+WR+ivvbmoI0ZsdhIiM71Vysk90U7jobH7eA/1t3ByPowpL8+TlMbEfTyipB2rKUJ3LHEQ
PLnsZ03wBnoCA2FlJ86M/+25mvWsuPIDjHMrzizN9/inf63yvSqzgdjhB3s8Wl1VOSgivKwgeLIb
sqCZkSBz/rpdRGOcRzlJ9K5+OWhKavLTq71+fig/V+FhYbwsG3BJlkTDFfhgWJ95Zi8vqcUZVIqu
DE+Ogx6odTXCTHroRPtECA6xq7TW6oPBZvojjRumyjXNCFccfKeDQQnk0CjPAjemvjH3Lk8F5hZY
ZZMj/rWH2MtCeIEyKLKQw2Sm0UJcDoryhJ4BRUcYk7RBFjBxCqsa5xLt0LFDsIH/gcqhpmRAmcov
gbxvP7FeU5ZOanUEQOhH+R59DjX7AVskCj3QXDT3eSP1Om9l1+0C5NcXkxObd41hMQgGC7FIY+Uo
coRGT2hWoqnGI5mCyRQJAL4ipaUy1C+nU0/peSm/G7iBZhYwch5WskF/qEXI98JFtjWasce0apvV
R5Ou34yMwayjqzHK+UWLgmuaqRvcNzXnagpAYGfuzATsw8nE9GVezoBitZ3jTk71YFod7Y+2IU+b
uZ1uhwZRu78lrZBes5WZ44fKM0btEUQFT+5ZezS15UgeROUhWewbyODrwNG4dEaKdbiqupRfh72B
fsc4K92fxnk+ug4wfzhASwtKxc99pCQt7KdkQEbYTY7/vu8a/jhGnibf1LFzE1ELggYuax5SPAne
giPaFhrMUPTVQcx6noNrSDnA2TEHMuizGUq0kWVufgdfhdfam7ZpnFAyIfOZ1Stx2UeQ7B2nvL8K
eQW0NwR9MSIPldXWDxdROMw3GtyokdoSHy80JsPboG8k4kaSrZphJzP4lY3jDu6G8Mtsq+iwWO6g
teFfGqc7hzoDgF9/dPEiBcgTZrsrn8KktS8mULTvtd5FqtJX2TVeifDJRHV+oHVGsimsOvepCNP+
Q2XpyOEMuBunaNDH637oaSpGycATJ68jnY7mCFV1i3PBf685tWxvzBh3CQsfqotV3xAPQwhO7jRX
ejva1k7aoVbQZOxqy5hXk/Ci2dokjEjz85CPvLvYAtL0bUomVHT8Z558q0YadXFOR+xZ5FmGjBFJ
PF5HsDMiJiguvJ4s1YAQaJiN2N4MMzK/2S2rjzwZPi43Kfgo06pEnyV1UuMflsI7vEA+BETxPODY
rBR2N0NDZ5szzc9ghOpOulCZ7oAmj9fCsutDF8100qxCSSPdEvIALasUHY7B1+Zvx5EYnzV7faoG
BDaVaEFTs7lL51nT3mscC+vz1my05noafX5JNllMvzPxuP49Nb08vYWD0xzQg5ImHPSWdTb3QqnY
lg5d07Y8y1GnmrHy/UVIq+c0jiHrjDvBrBIdq9plx7UM5HTUeHG0R/iOnV59FLj9eSPjYDGHPgti
O82w1ir2wHkYM68zr5KAmgx6AWNxiaBoiwAkQTvIcq5JyHgyHkAuN8ljYzRDSOWtC9svFtmI6YeG
GcIgZjjA3XRVgsF3vNUYagFawSzUcOYR+oSalOF0lLXLO6e2ityxnWlueV1Qp19ttzBN9nkT28xt
rlOtu8pZf+Z6RZ87RExdsCc2V9QZdB2EqYVSAFEZMhAtDvVHck0pVcahd1lYuv9g912wLmdIWpjy
0UHkZXePclaDfgmshYFBP78LozMr88neDQKQ+XncDwT9GJO9idzcPmhygG5RigTN34cwEp3ciYp6
IfWTagpIdcPaiBldfy9tbOxWrj9qBUqPtshIm50K0hhx3HkHIzXDT5kM3K8jugbCqJviqs0curFN
PZFm0Iw3TumGjzZZ9lvOQzgnCmndenVQPBoiyndmoYfBmkB0e6W3bnPtI1Nb04/mNEGAfHYRV2F2
bybSXfm6bHezRriwRoADQWEh+UD5QOZ8Nufntui7bQcH+IauavWIaCN614vsenD1MWG3K8WungDd
6ElZ7Pu4jDkDOBnpCkKG1EAL5QlkVwAidj5m2LJ2hIAg5qsHwo2R6DLt9VZ5x6JTPRR2XkWbZKaG
7cV6+SFyiOlBbwGNyXPIxFs7bjdeVs5I4ljc55uQOvM3+LFIIzshDuachLshM81LO5Su2ES6XUyr
cWI7sJEY6eBn5uXey+pJ9b2tEl0pCQWhbdwkQVnt9THqNg33+JCkYEVWsNmcs2IK4DRMudtd1q0I
3vkVPB0N+MDO1nxnrXF08nbT5DiXWtTWJybs6aAXxXQ2aBR45zYdtpNsmnVrEt+NzjI5UKJ37vq4
n7/oiFJPnLmBd4GHyza/36G8aqqwP4H6QFYon65qCb/eEk34+lq/aTnGOhDXvkvHGbbMc8VoMtMI
eA7WGsAJ/61rCR/p73/AK50CP8B1MTpQyKa/A5he/cCfGIh1mVt4aOgxjS204rSg26oPaDNUTRCh
rN5T9mKaeeOqatv1Yg/LVW3o9bR7DUrZvtq2/XRVspNQiw22f8T3Wn3EAMnMVLVK3vD7u3vVUVvu
Dh0GslW2m2gTXm3/+qh0Ogl7+SgoBjOp6w2LhtLK2os6/88vpkCXPE4aeL9IPgwmES1kF0pXDkEp
ElSBQNLJ1ouG5feX+nUnDerH47kxegwOFK920nXouxVFbudoOZNxWXTs/W2Uwmvptag5Ecu9MUz/
4XrgBUxanNSWBEacl+/L8ErmjSy3jySlBe+f18Ai0lmy7EKyHUJfx+P9/T3+OkagCdncJrI407T1
V9cECwJmGhXEsetASQ6DZmEMHsrntKh/PZP841XQrqBbwuzKyeTlnWWBORTA95wjjK2GFg6aI9eb
hv/iXjhQAjR1kIZjZ3p5Fae1zJqik3P0a8pQTuxiOh2r/+ItkVVh6VilmFbc128pJTEvruLSPiIo
R9a9KML6aUCbPQXYD9pq7Oc35CS/Th/M6XzM3BZiGy778sZIhgumAc3Ekbxj58HovJCotZ6tSJdh
Wiw8cPWY2ZXU+/eD49cPG9MXHXmDuyX09vWt+nj49bmyzWOKUm8b0Ms4tQ4anjlxvDckO/9wiwwO
4qvYgyPoej1XufQIuFRuHscGcCKm6/I0S9rumWDALAmUoxo1f35/UBfpeFPYdWzr1QTZ63AcIhgk
x8xBxVXkQvXevGjPQefND22R5r2cjX2qE7SOxMJW+eVLizBn6HzOR6ACvkctLLfJtXH17Lbq5wbD
K0W2Ff6E8Xoc2NcN7LXkJeLkMdgJTQoOF6X9lIWIqYxI4ljxZsJ9rmFyVtkbj+XXecgnBtk1Mfyh
xEAj8Xq42QNK3oARnltcKA7i6mNCsiKAxUQw1BKfbf3v38Rr6AtriA+hmH2lRWixRaX/5TVD4I8m
wlSGOIXvZjt6ioXVUtP+4jVKoRdVgRrvSWxc1l1Wf+x7G32jFftI3KRZZ/s67BB2sUuK9+0EsuGP
52ZfZ6ZkrBgIqNC2vPx9ei2juff46nPEtpfUHpNHI9Sso8xUQMZQ62+VcX759hwq8HwNlHIYonh7
Xl6wxmvHpn+aUW8q+4qeoKyc6oJhOlacxn//+P/pYtSNYIwA1GU5eHUxbzZ9HXnEdFx8Uhik/HOd
2m62svUKnd7vL/bLYsCdeR5lOt1SezH71VeXp5pRyUCfjk6gTGQhQm8S162IU+LvL2S+Qk8D4lHa
RNZum5vD9vpqIGdWFI8OjhcW8CaS1zpnOPrfnmzT+0Ar6dRWSU8lRITCO4+GCJM9JimLdLVMLYNl
jaIVBzXNEXDV1loac/Xs+9I1h1IWVS8LM5Uyuwx1yuF4cZq1RemX+Z9OxCp3HLySqaLJkVW9+jri
YiIGK5fyCKje2wwA/U/5EMX7UMdZ9vuH9svHz6UYAwJcOCU96/Wc34a62fZj1Bwb5XXzzIT7r+nk
Y1MZcc8V45v1Q7V6/TQxCpY1MqD59F2gipAXX70liKyWUTe2ODr1KL7CnuqPjcBetBREHFdS1ann
zL4vx9F8Y6Yjref1xfm80FlZXNm02AlZLz8zkQVtTOshORoGlaR5oyfAdWizOXNnmWvUX94nx0hT
QSdfGpIQC+yzhdWgAjZbDDxYbpPpVu9yqogzCQkzRUhFnBYd6jF0QoyjJicPb9/x91+77aQBVsRs
ZB98xLGAV1LPKm9ssMfvGzW8SLpg90BSk1Ed+2bCMGk6cry2B2X1lUFK3S+lcISGZ/H3eeFgQpfR
NdSsupHmNwPVBlIIWw3cbexcl5OhEYDnIpGiil2gnnRrUycGI9GLtXTtzl9FoqnO25SG7Nol+2XY
lJMKjyvm+AgURQmyMhsCKn6Bml5bV8d2S+1b74fyyZqTouSbMRKKR11lZMaXgTxUiuIavuY1nk5V
DCUfJLrup5H/drV6Ls+ckhLl3oeBEB2cPuVQUtQz/3eukZYsm88+BTi58zO1r6krvrWoyOzpG9Xy
eFinRkhfCaUF8TkKDT7iKUSyeo0XISvP07Du2xuJf0eFQ7t83aWRV+ktua6sF03XGvXO0NEpp7rp
nWPgLtNbtzLwpEqdu8C6as9ficHtxEVTG6oUNWS85lGP+YPcuv1kD/zcd4oM729xD4vznqep/LId
tbk4hSC/AzvJ5amDULlqZ2WS8/LJAfa3OMMJgw6MT/MACqoek057N5Yxl67TmVXLB65ICSfKCM+8
Kobebm+NWIugaTFcomuOi2WzNnCxVGsk1+Ks7xvp0txtAYLMSIuGjaNc30QAMoKKoueIa7pD7J4L
nNTDWbT4l/Hx9TG8gYyaFh1Owp3GjCPkyoxpCoN/0MfmzihsdNpejKr9oiCJj4ituBmvn/cB1Oxx
l86hQ6khckrqZrTzrekUUAghe2UGaPjNx6F07c39eP1cgsNGzY+xohHJd2KiwicIO9jKTg4ooJbP
imxslWTMNzO4VuI9qWTfhuI8jkwQkVFMPzOmNm+2gmm8cWxGUe05HIyizOZNmVLVzIGAdZ8m9EP9
boypwz+3ZmjqPwW2pTYSoWBvBw9DgLBMVCW2oTy/qtDJHEb65PN6Wf5cp6PIGFG7cs/BSqq4YT0G
pl16qQ7LyA/5TPNKo9OQTYIHixwG6zcZNWF8I4uaH2Lo1E52VWbK22I26vGxG11Lo+fs2ml665U+
Xgp7zIw7h1hUse6aIJ6+ehqdjG3i1aa4mYyKKnA0sTem620Mbs56TBsAc3FEtYCxQrQUoNRItJb7
gY05yuiV3Sg/8yqLAUuCHwrmPF4zhdvJkRQAqvVTZg3Gjgra7FERSDCNAe8eKbVRIQcwZK/mrk+G
5xX/f4KYNwQxLCxKXvzvfdIPsfxMLTJ+0Sj9/qf+bpQ6f3koP23Ozba3AIl/NErNv0B2OGwKhEWF
CdXuj0YpEGMEL2xX+T8mxSd+xt+NUjqvvuXiJ3XYVSJk+aOUxJfbBeGxIXHZkphstNgwsJS+XD/h
RJLgYEfOafmEm9xg7gEFiyVm4lNaelE/PaB/6Db+0wWpNZEuz5LtOctB4qeiFuslXYYqt0/0zMCj
Kn8xGfLjtZN59SGcQFr8/novt8bPN8iBlOdF5U6hml/eIMDBWYLLFCe3jJwnjj7GpZUkxp1UreDf
X+rlRmi5FK+ad00BQ3fp4r68FCrLKOxSQ5xI0GN+dGlk2O1M38AxQwoL8+y/d9OEjqNyPPz+0v9w
l4wk0qihW1OkfO0rY//aT7rWiJNkRTtD5c4EhqoRMU8fvnnaMF5uupYbZQSSLI0oxCN75tWNjmRj
5e4Yi9NQooBfuVXDAjokOkeNvnVpchDBUOHmH5ETracm6vHtGED8N8gttbWuqBN/evt0POCSITtw
HXa+rwosZN2SOxcG4uQNgtv1KfHs2VTxj//uWuys8UUwhBk4rwZUCP4si6ZJEI9Ne6jjbP/Fhe91
2yXmW5Yb9Rx/7KzVc3Yg/Xj05aHwePrrk1ZMsZmwm06cyEL7Jk2cfR2I4jeOc78OHS5C1XK5GLPU
q5epUxMAG5iJEwJauvLI2CpaFBWomllxJX7/ogz1dF7fkjJ1sWuH5668IC9q2ujjjH6m6XZCGkTn
lxDn8gTgip0F6xvQkDq1n3AK8ZGq0sBEAs1Z2IMmeeNn/DqCHUoklAHUpyrM1wMmMA3ook4qTqPX
mkcrLQxACgH8IHDOjNDap5+d0rh08Bp3HGCWj9euJHSKt4sn//QGhLDYcKo3TXH85TNJM98BhlTx
8WJDv9V19PvLEVHgwt7+/sb/6VKclkADc1izaLm/vBTV1KZs3No6xTTFb597qBqhOPPac3gTv7/Y
y6me6RtZCVUhshipif86fKuoLbO6rgjw5MAC+QP99MfCgu4yK5JRX0xvdjIg+P88vNQlsSYhIqUO
ol7w64M2FlWhPEj+UVfFXeEVnH4RhIy3iDXooEvITog18LdGXoKvEonfNh/pBgCSZ+vtxU59IIi2
OSwzCIHsHOCmmXY+QFWN80dslG89JHtZYn98EtSFUcpSWKToTUEF79Sr1w/9LRFjbglqUXq+0+do
3pWxo+1CQ6YdR7V8GsN1liVNST83qSZna/CX3eB+ofcOaJLfGOQ4JtHw0Yuerbz9MsJYIbE1mtXx
AUBUtNGbxOjpFiu0kxH64qmO4MIsdVNKU+2XpVoAEJKDqFRQq0FxttreLU9eKKxjk/AAl2Df6zDO
KPDRcANfBFYyWcN2r42DIcnvWUkwWsMm97G1As+JyRsOu9hy9llRcw3Vd3FkNF3DL9B1jrTChC0Z
I8KRUckIqYRRfVQU03mvBbPvHBdhiGxD2B5TY3BMgQvcfkkTCohuVZjVMTfi6dZAFXNN/DGb8xmv
b/xoTD6vjBa7oxLy8PC8XzpoRZs6T2mswDLLCWYibfALMn+1QlOPfMqn1PxcAWk69LVb33IMz2kY
wbl34xBAB/Nvb68G32aFMYjKQpNTU1EZPe9cBCkJzSN8nAUMNQnSDwMLkNmCddFKRD/tYrNG8+De
ShnO783ell+esV8YUnw0po38koLxpxVgAauZJWm0aw8AxvuumnibWjChl1lkZ3B1jbtFvCQ6NDnP
K2rBSr2r6Fdzts6jJjmE2GqglBC9NRAB6xCWnBfT7B4jtTGBXYGESdmr9cTkNF1OzrjNdE3pVoqM
Im1MpuomtXS0SI7i9kxJQnJTX3rEm/Z64DrHSs2XKGhquZeip4RrjiY/Btxmmm+blnXRKQlAYwSH
qIaWumuk5ZwIp8WWH5SeglVNQhWK04Cjo1FYjOU+0TAgwxZSdqDO24wajKzKUJqvFngxRJvlrNsW
NDPXCgJLvmWGJQA6jv3Ul7X95ETImldyaURz+Gwwic/mYaZG4W5MzryPRd8DnJ3j6SKrCeyt5Vgi
ftUyw9sZZEAfY9KVzkKsIvwtGTKCoZjLbqNLJMMAxZTc2VGuNZesmkva1vopF1FZAcsCrh/bklhU
WxPrqZinuxRN+hZHV4UDRZ+IYmZMYnXTZXHTVtIr8CN1+VdoXO03T1BcofvWXfqLQmAaVaxFR1jI
sEbMk28H4AE8BCUvcAAmSJREk/N5nF1jI5U4oZR6E+5ofLkDac0E/xqLjqHsyks/UXEOWPmjx9DS
bIQ75IRMDgKAGlnAycBmUe895B4fqxgN/FRU86MTDuURDGaI8GAQ82OR1XB5UQZRSe15jV5g9+s0
HYpHwoncdlP0qsyhN+5ebUbhXoxU9jdNk2vbmj3gqmfzsss9s1UTEzKQUg9uu1RqhFrWEGSp8O4m
u5u+BlARtpEWazcTldiHOO3hrSk1SVWgUUkAYa9gWD+5reD7QGkFdCSP1l3fGLscQUrSeNqlGCOd
6d8KoKWkiImNjeMik2hB1vpExa/QjHlhqd58NZyz0/UOJuUee0OrjlS2RQwjlC5GKIWMp7QymVLN
zEo/YyolTZU6dbXuC7nrbAI36Qt9zlxZPsAiQcDlG9jptMDakNyp74Fk5DesSgh1qGJF544gka0K
dd6oG5rJOcIxInfbDoG4bBnUGtXd9mnpRmpmwichlVRrW9L7T07PxDzTQt5KBZDZMGzgDiP0UTIw
amTE/LbQphrkJeHW60Zb36YxEntseUr/B7qbWpVpa+XHwMCcuoDr3AntQit91mOvswMixU0BjW2p
L+nGWMl9GrdMQcj02JhVJbPtyDlKyoQtnNPPYM4qwaffRejDxEj4LhDBtPpYVQxbkDjUXkE0Fhk5
sXXIfo4YGbQwJcmGWAtklT9CJfKqb1PVi5Xs3TZA9t3KbZGI4WvuDZjz7FSzPyD7hzcV+fIAoAsa
TzGGcafKl9En2bdPSWVbW1vEYbgOJqaPh2zWqM7FMyjpAzmz3mXfJPHayeJ0Gw1DTYiOM+8mr6ju
Z8KNEQ8hYr/v7Sa/Jd/lm5nND6MpjKu0NdsD86pqR/vw9kVXmV9ohIdfCA0c3oWdy5vji0+2NW1H
fyVCVyGYaT0Qep1J9+jYQO1hxGZVvpYO8zjQRwDshxZQ30nU5XSBaNC6deYxxjOSp52xcngLyZrN
DpLCogf+Q3hxdjE2jbia4zm7qtFR3OaxBwCtNORn0WvZtkRJ9qn0nZ4mbwWt3Q7M2FlJzwL6B/hk
NXTz4K/yOmO68AMb5pknjtPQfwoqbXg3tGF6Y3TY8Zo4tB/TwSEksckin7WyAIJTk4Z56YspJgbZ
to6aP/jOKupD+WTGQ3XKwV5si9juTnBPNBQ5rcybvcGUt9PYzIIZIimCsjcKzXEXZYV1B/iiOvSF
RS02joJzfermmzYCHOqTXf2xy9q62+pSivhIaWu0oYjRtll5weCllw4awGrvR508cMrVzhN3Lu/1
GNDLWgNjA71ec/X00DF4LgdW+G9GX8uLrqr6/chCeCoSmRPUjoZYYgXkeEGBut7jiTNgc7Kz0NZh
7/Y3ZOpQuiuSAN+oZMr7mI6ttVLmSQIETaZRi/5Nu64hl8I+zXFBr7OiNC9alwSy1QT52yOQ3RVM
iMbwtTQdSJA+NfRdWEHdE6I2t1bmzAfZufEt1c/6vjMm+d6jJLlF9peuZ4SvYFscIlL1CLj2SIbi
xqoGN14bqIO+6HnLOtQqgwv4oDjbCB7VdT9zTiGBzW3WdhnEVxj9x3u9GbQLO26hMMdWbe08zWrc
VVEV9o4gNntYl1SP5b5j7H4Lskhpja32M8pq9wvAaSfe6TjL5Vpi9ENyVmYu4Zr0Pr4BF6rjTYMo
tDvg9P1mR2N4TfUeA8ccy/ZoEY9YIlks6k00xnjBBeTFdcrqfKVlQ7I1IVK3Gz9kzx4iLEV8F5VE
+9idaL1TindnpQm3f8DkWHaotOfkSicNVF8FVZFdFcAs2xWhCNpNBFtlzZotDXGAIJ+N3XuScMbg
u8n+f7XQN2qhiijOKfrfa6En4OVP8mfHyPc/8r0Q6gsIxT6KNvrwKqHG+GEONHTzL4wivOpFzLEE
vX13B6ryyt9uQOcvnya+AbfUcqh2iT8KNoaK8PKsqKQK9GIxitA1pIv4+txVB62XJeHonIgn9oy1
6bgG3RdCLoFTIVKr8He5Jmnd+Ohzqwwuy2IyYPzRrWv8zQwfz3iXsaZq+VFKx2pGVNQjjc+DF3SG
Ay+XDf4KvN1cXaYRCc7uLm/6XAyXLYowNO0TfR3SZKXmtOGulVnunPeilp/TcLghKt4N1gazGLky
hJlnwvennSThvKKD/E7zZuxy85KAXj/HoSMGSfBcGI3Uz4vRyOx1wm6QpMolSz0jKqa+JuMmfddQ
5viIucCK1hglOmPdNH1SnRx8YcEW0OmDRqW45BK0ULcjetd4X1GzKIDFEe9uqaD3FPvgx1qFv2sq
Bj7uRXI9Y/XflR0EvHjJi096lR1fLjnyrYqUT+c8O0tUzLwj7frBlCp73lAx9KXvfc5GtZNmecZl
n09n/CO46DvHuopVlL2vQu3bhHj7cUm671XoPdF45D3q06Rv2iFEdiwq16e12ZXkzIgAg+VgQPaF
lZNfd1BrmQ7y4MxspmE/z+5040tzYhlLyCaYYmYQmi1afIiyJP7CeLBvkrTvafmRYnEV5YW3H20H
8nJJ3PxA/sVdhGR+P3tdeV3Owl33YxiVa0E16UKAWfigUSMVYBlN66oUYbfxq4yQNtd1Fbd6PmWt
PfWbuFN5s2bRAasAwDZoAWBsTJwHqDljuWYTMz9qkPaQEGfaniPZfCYic/5MkIN7FrGuvZtBz152
Wl2el1rY5Xsxa9PV2M0O9p3d2IvWJOLy73+3qSn66ELDrFJBPtNzN65Xde+LojmyzcRyA4BVDlm5
YQtWw25DqH/raYYH/KIfMjnMW+L8DP3zMk38b0Z9Y0a1qD9Sn/v3GfXua1F8lfLr158n1e9/6u/u
Eq45RRWjSEwJ6UdnSf8LRQTuNwjtaED45386S4DimTzVTGvqSHgQrP6YYMVfaLcQKbokW3qIfP6o
swRC7OUEq0xsiO98vGWY/ZCFvar1ulNjkWJiF2caWUEGEXc4J5J+S0rvgBcjZ6onx8I1BxwhEBVz
zEUbQ1EWgZm7hzpHWh/Ygcy3eMc5bNTCuRsVo9GJoTWGIdPIemisbR464wOthrreTJZtPfmK9Wgq
6mPns63BwSW27Bi+dEUFG9ICVwwqJNw4ihxpKIYkfMQOMDUFKWVRL1czCRQ7ovfAPxcqpYUojQdR
1fSz6cCecawCpRo7u07CtOGspa/7JA6vDEW2LKY4uzMji9mol4J2LgK98iEyunpvAvI4sokEkhmy
GH0KFnTmuGA08yYML0p4M/cpHe3zMZn1W8wR5qbI3Ju+M/wLfIj1xsvD8JEoZECOVtofZpdtdRrX
RGInerPHClcchlisOe9ON2VVumcN6JgdqcAQb7reuCrUHqsga6Yc02uNCI+VC5B8ZUyDtwX4U646
RRhtVF73UAt9TWqGOPeJoz9DYqAdAiqgSMQj7ZhJ8lpS8o/X1P9mCoZ6eQHNGrQp1jza1sPQ3Rlx
BYETlNR5iMd9L4Cj78zasvlb5XxT9aa8wDIYQJ007yh/j5+ntHO2cgAEFLipvJnRkABqd7Kd05Xj
RqvgsgpFaO0oioAzf9TzWO6NykoOXR+ae+qRwfvei8tdkgTOF0q56XTRTWZyEdo5nvwFDoseEZ9a
njH1Rp7Hoa5pdrWDSZnca/KGKW6sQkWbhS7rf/KaYvgW4kzazXoBNrgOwPPx3YgbMQ0yO5+S6j7q
jOTeG8vpScOkz1lhtvULrUz7k6chfilzHT5q7AN4rULSWFFIeJtIEXMDxc6lF1JeZOB0kXUA1tUs
UR9YUdIbtGtkfhRWf8WpwueMiBJiVbEqNOvY0HL30GldPO0aqSBzUGJB+s4ddF9SWnfJAvxlK2Lt
IgEF2FyAwHUJGxi+cUIRyAcYbFI5JNbeJG/JGube3MA7dzfSyElSM1kxYaIcYBKiTuiK+qJxzCdq
+W5wXsOUjk5ohT44uFVuyQ7Yw+sxtDPJYhaY+6y1QP6u+v/j7tya00a2KPxXXHmH0l3oIVN1DL7F
MbZzczIvlIwZSUhIIAmQ+PXztSQShC+TSvNAHVWegtzq3n3bvXrvtZx17Iw3ZDIFZ96o3NwSR5Ld
ZUvyl8bo44zQMooRbgXg+2rOC/0uraXsIticjFE2PeOcDX9qhOTdOrE1iH0qJTwSVuZEC1UCefBG
epdzAyToq1aL6Jm1pF6M7ov9Ic4qxb2ZOUV+j4USu8+EKh/i5jEKfYk3Un5sKuE+Ba7l4QI2YvuB
SzgNbT9gNfU+LoTkH9JFGSmNG+eUFe7Ur6QBFSESWMkF9pwZ3qGTognbR9AWHFnJnekj2vNl57IX
r+DXMZMI4DzpLZfhoE6qHJGbY9ysvRkaEiWpxiH5BIwUBWKaK9XPwWjiBfSjMEAZT6Wh5+GFNipI
srRL2IoGK/TcOfGpI9LKYjPkk5vIA5qZCbpMwFCUGkIiT6enHJCDC9Y+QPkaXYWGh/iRmRdMdXTA
nDi5JYRf6L+UtRoMrNWmMkiESoxnFzaSAn5s3RYrqzg3Bd0/KT6QLKQmsoV9CyL2LxGcBtcpSbdo
FyUpbL6bmbMmZVi3bmLHWFyFgcO8L8zRwAwj5L21pW4TR6f5FzGKSxeJn4Z3sRZ93HiOap+mqpl8
LHzTvx7N57iS69zw8eN6NpNqFcDZu4zBRXIowz70IG02O2ShMVche1Y9KzhLoTfunCsw+X4mDG56
ZmnZRu3ra0gJrU4cD2GuST71VrY1zK3F6gc8N1p5qunOdQnj4mm0SBFeKwzvIk9ReUB7ahmhx5Zt
yjEJYY/sUemQC03rfA21YR+WBAVROmWhfPY26ui8IOjwq2l42b1hdEZsDnF0FXl2dpvkvc551CmV
D6tYGY03mgWL1gj4xba8K5bO0SXEyMr30FaDQYaS248VcUbJaT7S5pdTGP6vYaTY4E9C+wsvdTiY
r8vp3z5I5QcT9ouh4RXnSKMZp0WubKb9HJgTfquVbpxNy9HmznKm0zM/dC6ySEBcQL5XpbVawt0Z
by6QFjYXBLEjDLvJIHzA6/NvyUEyp4O00HrX8MHP0RHQoWFKYdFf8/3PBfeXp5oaQM2Agv3dvPSQ
jd/44ZkxdbwLiwacz5E+ANRbGz5L48b4rkPDzl5oOnMXNez8BhBUnQAEJ8TioZ4bqiP10soW+kOn
4Huak3DCQVHgfBrM52dpnEfDUFkvvi2ZhzfLNE/vTKJfP/ZsNe5v/Hj6MQRTuFjo/moYJia541pk
XSI9//eiZwQfuVrwH0bJUhmORirXKNPMwhOYbYiGBEzqk9SlDDNOBTm+sNm7M7kSuXA0K3V7dtxf
ZFY40ItNfk8+doGw2wzZ0JmTOfchQijX6jRMHtdQpp3OixkQa5mQkal4D6MUdj0VIRucB9sWBEr6
GTdOaQ/6uM73AiaZMwN9ZpCYQIEPKQuiU3b/hbjlmA8M1YebCqjva0dbogcASpgRi0pqitNB6y9b
FZbTX5gKCdJOT1wmeBroE5C6bcGrifIlpSnr3kYn6mKZrvIB6I/pauKGqkA3gysxZco9SwqjFBrJ
K0hw7M86vN4eWx78CJ7/JbPKeXD//+XfNweVgZu78OoFeXm/nKTlpwl8/nm25aAQv94lQZx/Sf7s
pbcLOpns8HaMk2Wcixp4QdKKLNNESFHrvFBVqarvWyVELs1aPk3ev0MF2IR3g0wNwgzEg88eIXTU
/NxxnC7h9gTdE4xQPfUHd0z0mhHebl9tzbffabXAfZoF8QCAMA3G+e75xzQdgKPfMcJeETtGsLsa
tCSkxji1ETgd7RoBopMu1zGCepioGPHsDvi3RsLbDTycETjviRw8KSsYSpfUINHZTVfTyl0roCXN
Zyz4LLF49RybFagaGKCkFWx4bEgJgpysbqTdtoKqQYcr8obEYVk89QePaEIQw2Qwi+XGgtZlvOs2
Z/gXZ4QNzKCwcHB1fGyDwAaskG29imo6AbqQ577ceq1bgygNXHNEna9yqCSGS6rztV4XenkSlJq+
F0O8tRAQcIybTVRl80I92o7ICni80lbQjS5hakS1GoSSimdvZwQy66rEZIsbiGObA1XyleQoMHRw
QeJ5ne0k2Gs/SwBAI8HqhPRVTz3sjmgUNHH3UnPBMLr4PiTpCcCy2fRac8FhKdCYLVwdVc/RzQXy
DJtFus7u/+muPPcSX3WQDK7jiJnHTTR+tnLXCo6OF6koIFrN72DImP2IxgKx6b26a/7cCroCHM6m
D+fBi2PBUbvovfUIHm7GytH5yiASWt01ElZw0JzVxcxvNkfm/e5YUFV8A/I/NUDrYxsF0BFIN7/H
pTPAL0Hi9VTY2xxVxewSwiuOTMfWes1gX5DdFeByJJqYlJJmjONr7fZ+D9eIi3S8g1/nyeNaCfAN
rHrD/vM5wHpIsAA5UoIdRzz7e6PZRRJFkAs3R6mjmwm6rhr7d42vYAev7gq62oVHSURo1CehfT8R
7AA6CYgrYZ6ontovP6JdgfmgS1uBVnIeJEbl5RkBLSZXskSU2KRiief4vEWDgSq7LujMCALKWWBf
3BvrY7Mg2zjC5kOJI9l8nUWfiz5cpKqLq07eXRYdGwdJHJc4ndbP0W0OKmwUslZA2MeySUxroBFl
zzVwODgK3jQCx2oj1HPvtxaE33jpJzbb94PoqUJlg0n2Enj72gtbuO757w0WefX0/p0AXVsvirCO
+tu/QNu/Wqtm5Qnv/Lj1jKvvNH/eNPD5p1vf2rZq+5+XwSR107FfVj+UTTWH7gxs93+R++jO3F2w
lIWaof6rJu/fteq50///UXAW7pUr4vKky4VDI4nbBXOFdIiCw+fBiNCvyJfcd6PgH3hxg1ata0xa
1hx9+C1S96klzVV7sPIlE0g0zoPxsgWl19CZbOFvqELs3Gn8ybjbwv8nyT8nGGc5e2yb3YHXTL5L
z7F68NTqzwZVk7XMxSSBSKZdMm4ix0TZki/R4QiCbTlilSLESkRyyRZ89eT6rQGIAKKQjZQuN4qC
OAmybUlVletLDOmi46fA3VtFDBL9t596MQrvJ0j01rp3lazbnVdDK7IVfj1QWnK+XFOz5Tgsty2v
jCyuLrb/8eem+Jgsg+yZmWuQRdYeN+jITrZVrOpM5OEB6nzjkonhxk+7RRPzKNAx+SpnmTsmvWQC
yfm2OFH15jJGuvxg/Kr+guQguQlEUGmSt0a2xk3nASYMGtOZ+Deft9YmovyEayhvlIxMgHS/6INU
PInzvTVEpKw78pUeTh5Td897AjEUmhiy9hhOVm5732rOt/IFr08u3dk884O22FNzz3CI8j9M0mxS
bo1QTR14Sg8wNYeT9cnNpAjGrW2suSE6RM1/JGm4V29xnJYuGtlt/6Tvom0ZtHczsl3Ug31g4Ib7
cx/OgQO4JK+JykouV7dhhEfSPtUAbIoTvKzFb9OJtx9fUyEjsgXfEbefldHK3TsmQJcjFFtli//k
J0+Tk6vs2d5mW0K5Rbb4z8nylYEIhij4XA7zgecDURQPZChb/JtZE5Kj8cukaKe4NbiqbJ2/5q6/
bblYC5uLG9liv03SGTtbq2S24gPsxd8CTjZ7w5vkikOMvweXfSf28vbUbGJ9ZC3yMMnykxcrD4B/
gMH3JiGc5OB7KBNi4rxWb0K0/Z975ktI08/L2uf40zZK7aU/a4Nr4o1xNHHTv/4FAAD//w==</cx:binary>
              </cx:geoCache>
            </cx:geography>
          </cx:layoutPr>
        </cx:series>
      </cx:plotAreaRegion>
    </cx:plotArea>
    <cx:legend pos="r" align="ctr" overlay="0">
      <cx:txPr>
        <a:bodyPr spcFirstLastPara="1" vertOverflow="ellipsis" horzOverflow="overflow" wrap="square" lIns="0" tIns="0" rIns="0" bIns="0" anchor="ctr" anchorCtr="1"/>
        <a:lstStyle/>
        <a:p>
          <a:pPr algn="ctr" rtl="0">
            <a:defRPr sz="1050">
              <a:solidFill>
                <a:schemeClr val="bg1"/>
              </a:solidFill>
            </a:defRPr>
          </a:pPr>
          <a:endParaRPr lang="en-US" sz="1050" b="0" i="0" u="none" strike="noStrike" baseline="0">
            <a:solidFill>
              <a:schemeClr val="bg1"/>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B$29" lockText="1" noThreeD="1"/>
</file>

<file path=xl/ctrlProps/ctrlProp2.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chart" Target="../charts/chart7.xml"/><Relationship Id="rId3" Type="http://schemas.openxmlformats.org/officeDocument/2006/relationships/image" Target="../media/image3.png"/><Relationship Id="rId7" Type="http://schemas.openxmlformats.org/officeDocument/2006/relationships/chart" Target="../charts/chart2.xml"/><Relationship Id="rId12" Type="http://schemas.openxmlformats.org/officeDocument/2006/relationships/chart" Target="../charts/chart6.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11" Type="http://schemas.microsoft.com/office/2014/relationships/chartEx" Target="../charts/chartEx1.xml"/><Relationship Id="rId5" Type="http://schemas.openxmlformats.org/officeDocument/2006/relationships/image" Target="../media/image5.png"/><Relationship Id="rId10" Type="http://schemas.openxmlformats.org/officeDocument/2006/relationships/chart" Target="../charts/chart5.xml"/><Relationship Id="rId4" Type="http://schemas.openxmlformats.org/officeDocument/2006/relationships/image" Target="../media/image4.png"/><Relationship Id="rId9"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35</xdr:col>
      <xdr:colOff>34636</xdr:colOff>
      <xdr:row>130</xdr:row>
      <xdr:rowOff>170929</xdr:rowOff>
    </xdr:to>
    <xdr:sp macro="" textlink="">
      <xdr:nvSpPr>
        <xdr:cNvPr id="2" name="Rectangle 1">
          <a:extLst>
            <a:ext uri="{FF2B5EF4-FFF2-40B4-BE49-F238E27FC236}">
              <a16:creationId xmlns:a16="http://schemas.microsoft.com/office/drawing/2014/main" id="{F2A516F3-1B01-3255-DB7F-BDE5900F9199}"/>
            </a:ext>
          </a:extLst>
        </xdr:cNvPr>
        <xdr:cNvSpPr/>
      </xdr:nvSpPr>
      <xdr:spPr>
        <a:xfrm>
          <a:off x="0" y="0"/>
          <a:ext cx="21451454" cy="24185474"/>
        </a:xfrm>
        <a:prstGeom prst="rect">
          <a:avLst/>
        </a:prstGeom>
        <a:solidFill>
          <a:srgbClr val="2D150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nchorCtr="0"/>
        <a:lstStyle/>
        <a:p>
          <a:pPr algn="l"/>
          <a:endParaRPr lang="en-IN" sz="1100">
            <a:solidFill>
              <a:schemeClr val="bg1"/>
            </a:solidFill>
          </a:endParaRPr>
        </a:p>
      </xdr:txBody>
    </xdr:sp>
    <xdr:clientData/>
  </xdr:twoCellAnchor>
  <xdr:twoCellAnchor>
    <xdr:from>
      <xdr:col>12</xdr:col>
      <xdr:colOff>57971</xdr:colOff>
      <xdr:row>1</xdr:row>
      <xdr:rowOff>90114</xdr:rowOff>
    </xdr:from>
    <xdr:to>
      <xdr:col>22</xdr:col>
      <xdr:colOff>23970</xdr:colOff>
      <xdr:row>4</xdr:row>
      <xdr:rowOff>75651</xdr:rowOff>
    </xdr:to>
    <xdr:sp macro="" textlink="">
      <xdr:nvSpPr>
        <xdr:cNvPr id="3" name="TextBox 2">
          <a:extLst>
            <a:ext uri="{FF2B5EF4-FFF2-40B4-BE49-F238E27FC236}">
              <a16:creationId xmlns:a16="http://schemas.microsoft.com/office/drawing/2014/main" id="{09E40B75-8231-4DAE-9279-C2FFE87063B7}"/>
            </a:ext>
          </a:extLst>
        </xdr:cNvPr>
        <xdr:cNvSpPr txBox="1"/>
      </xdr:nvSpPr>
      <xdr:spPr>
        <a:xfrm>
          <a:off x="7373171" y="275171"/>
          <a:ext cx="6061999" cy="540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2400" b="1" cap="all" baseline="0">
              <a:solidFill>
                <a:schemeClr val="bg1"/>
              </a:solidFill>
              <a:latin typeface="+mj-lt"/>
            </a:rPr>
            <a:t>Coffee Chain Performance Dashboard</a:t>
          </a:r>
        </a:p>
      </xdr:txBody>
    </xdr:sp>
    <xdr:clientData/>
  </xdr:twoCellAnchor>
  <xdr:twoCellAnchor editAs="oneCell">
    <xdr:from>
      <xdr:col>9</xdr:col>
      <xdr:colOff>603932</xdr:colOff>
      <xdr:row>0</xdr:row>
      <xdr:rowOff>0</xdr:rowOff>
    </xdr:from>
    <xdr:to>
      <xdr:col>12</xdr:col>
      <xdr:colOff>367970</xdr:colOff>
      <xdr:row>5</xdr:row>
      <xdr:rowOff>75363</xdr:rowOff>
    </xdr:to>
    <xdr:pic>
      <xdr:nvPicPr>
        <xdr:cNvPr id="4" name="Picture 3" descr="Coffee logo design creative idea logo elements #7502 - Free Transparent PNG  Logos">
          <a:extLst>
            <a:ext uri="{FF2B5EF4-FFF2-40B4-BE49-F238E27FC236}">
              <a16:creationId xmlns:a16="http://schemas.microsoft.com/office/drawing/2014/main" id="{19F7BE6F-B44F-486C-AC9B-46D2358F8A3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72970" y="0"/>
          <a:ext cx="1587051" cy="991692"/>
        </a:xfrm>
        <a:prstGeom prst="rect">
          <a:avLst/>
        </a:prstGeom>
        <a:noFill/>
        <a:ln>
          <a:noFill/>
        </a:ln>
      </xdr:spPr>
    </xdr:pic>
    <xdr:clientData/>
  </xdr:twoCellAnchor>
  <xdr:twoCellAnchor editAs="oneCell">
    <xdr:from>
      <xdr:col>0</xdr:col>
      <xdr:colOff>522513</xdr:colOff>
      <xdr:row>6</xdr:row>
      <xdr:rowOff>35910</xdr:rowOff>
    </xdr:from>
    <xdr:to>
      <xdr:col>7</xdr:col>
      <xdr:colOff>152400</xdr:colOff>
      <xdr:row>12</xdr:row>
      <xdr:rowOff>99047</xdr:rowOff>
    </xdr:to>
    <mc:AlternateContent xmlns:mc="http://schemas.openxmlformats.org/markup-compatibility/2006" xmlns:tsle="http://schemas.microsoft.com/office/drawing/2012/timeslicer">
      <mc:Choice Requires="tsle">
        <xdr:graphicFrame macro="">
          <xdr:nvGraphicFramePr>
            <xdr:cNvPr id="5" name="Date">
              <a:extLst>
                <a:ext uri="{FF2B5EF4-FFF2-40B4-BE49-F238E27FC236}">
                  <a16:creationId xmlns:a16="http://schemas.microsoft.com/office/drawing/2014/main" id="{1A23B469-A83C-4BC9-BB72-AF767677E6DF}"/>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522513" y="1146253"/>
              <a:ext cx="3897087" cy="117348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7</xdr:col>
      <xdr:colOff>344244</xdr:colOff>
      <xdr:row>6</xdr:row>
      <xdr:rowOff>40006</xdr:rowOff>
    </xdr:from>
    <xdr:to>
      <xdr:col>13</xdr:col>
      <xdr:colOff>286644</xdr:colOff>
      <xdr:row>12</xdr:row>
      <xdr:rowOff>128954</xdr:rowOff>
    </xdr:to>
    <mc:AlternateContent xmlns:mc="http://schemas.openxmlformats.org/markup-compatibility/2006" xmlns:a14="http://schemas.microsoft.com/office/drawing/2010/main">
      <mc:Choice Requires="a14">
        <xdr:graphicFrame macro="">
          <xdr:nvGraphicFramePr>
            <xdr:cNvPr id="6" name="Product_type">
              <a:extLst>
                <a:ext uri="{FF2B5EF4-FFF2-40B4-BE49-F238E27FC236}">
                  <a16:creationId xmlns:a16="http://schemas.microsoft.com/office/drawing/2014/main" id="{3840F1E9-EEF8-45AE-8C4E-C63BEE853111}"/>
                </a:ext>
              </a:extLst>
            </xdr:cNvPr>
            <xdr:cNvGraphicFramePr/>
          </xdr:nvGraphicFramePr>
          <xdr:xfrm>
            <a:off x="0" y="0"/>
            <a:ext cx="0" cy="0"/>
          </xdr:xfrm>
          <a:graphic>
            <a:graphicData uri="http://schemas.microsoft.com/office/drawing/2010/slicer">
              <sle:slicer xmlns:sle="http://schemas.microsoft.com/office/drawing/2010/slicer" name="Product_type"/>
            </a:graphicData>
          </a:graphic>
        </xdr:graphicFrame>
      </mc:Choice>
      <mc:Fallback xmlns="">
        <xdr:sp macro="" textlink="">
          <xdr:nvSpPr>
            <xdr:cNvPr id="0" name=""/>
            <xdr:cNvSpPr>
              <a:spLocks noTextEdit="1"/>
            </xdr:cNvSpPr>
          </xdr:nvSpPr>
          <xdr:spPr>
            <a:xfrm>
              <a:off x="4611444" y="1150349"/>
              <a:ext cx="3600000" cy="11663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478488</xdr:colOff>
      <xdr:row>6</xdr:row>
      <xdr:rowOff>26079</xdr:rowOff>
    </xdr:from>
    <xdr:to>
      <xdr:col>19</xdr:col>
      <xdr:colOff>420888</xdr:colOff>
      <xdr:row>12</xdr:row>
      <xdr:rowOff>116837</xdr:rowOff>
    </xdr:to>
    <mc:AlternateContent xmlns:mc="http://schemas.openxmlformats.org/markup-compatibility/2006" xmlns:a14="http://schemas.microsoft.com/office/drawing/2010/main">
      <mc:Choice Requires="a14">
        <xdr:graphicFrame macro="">
          <xdr:nvGraphicFramePr>
            <xdr:cNvPr id="7" name="Market">
              <a:extLst>
                <a:ext uri="{FF2B5EF4-FFF2-40B4-BE49-F238E27FC236}">
                  <a16:creationId xmlns:a16="http://schemas.microsoft.com/office/drawing/2014/main" id="{A474D9D3-0C4B-4F52-80B2-C557370C811B}"/>
                </a:ext>
              </a:extLst>
            </xdr:cNvPr>
            <xdr:cNvGraphicFramePr/>
          </xdr:nvGraphicFramePr>
          <xdr:xfrm>
            <a:off x="0" y="0"/>
            <a:ext cx="0" cy="0"/>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8403288" y="1136422"/>
              <a:ext cx="3600000" cy="12011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142214</xdr:colOff>
      <xdr:row>6</xdr:row>
      <xdr:rowOff>32985</xdr:rowOff>
    </xdr:from>
    <xdr:to>
      <xdr:col>32</xdr:col>
      <xdr:colOff>89452</xdr:colOff>
      <xdr:row>12</xdr:row>
      <xdr:rowOff>123743</xdr:rowOff>
    </xdr:to>
    <mc:AlternateContent xmlns:mc="http://schemas.openxmlformats.org/markup-compatibility/2006" xmlns:a14="http://schemas.microsoft.com/office/drawing/2010/main">
      <mc:Choice Requires="a14">
        <xdr:graphicFrame macro="">
          <xdr:nvGraphicFramePr>
            <xdr:cNvPr id="8" name="Product_line">
              <a:extLst>
                <a:ext uri="{FF2B5EF4-FFF2-40B4-BE49-F238E27FC236}">
                  <a16:creationId xmlns:a16="http://schemas.microsoft.com/office/drawing/2014/main" id="{A5BDB93E-6277-42A0-A075-F4146FD834C3}"/>
                </a:ext>
              </a:extLst>
            </xdr:cNvPr>
            <xdr:cNvGraphicFramePr/>
          </xdr:nvGraphicFramePr>
          <xdr:xfrm>
            <a:off x="0" y="0"/>
            <a:ext cx="0" cy="0"/>
          </xdr:xfrm>
          <a:graphic>
            <a:graphicData uri="http://schemas.microsoft.com/office/drawing/2010/slicer">
              <sle:slicer xmlns:sle="http://schemas.microsoft.com/office/drawing/2010/slicer" name="Product_line"/>
            </a:graphicData>
          </a:graphic>
        </xdr:graphicFrame>
      </mc:Choice>
      <mc:Fallback xmlns="">
        <xdr:sp macro="" textlink="">
          <xdr:nvSpPr>
            <xdr:cNvPr id="0" name=""/>
            <xdr:cNvSpPr>
              <a:spLocks noTextEdit="1"/>
            </xdr:cNvSpPr>
          </xdr:nvSpPr>
          <xdr:spPr>
            <a:xfrm>
              <a:off x="15991814" y="1143328"/>
              <a:ext cx="3604838" cy="12011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7970</xdr:colOff>
      <xdr:row>6</xdr:row>
      <xdr:rowOff>46910</xdr:rowOff>
    </xdr:from>
    <xdr:to>
      <xdr:col>25</xdr:col>
      <xdr:colOff>555132</xdr:colOff>
      <xdr:row>12</xdr:row>
      <xdr:rowOff>102910</xdr:rowOff>
    </xdr:to>
    <mc:AlternateContent xmlns:mc="http://schemas.openxmlformats.org/markup-compatibility/2006" xmlns:a14="http://schemas.microsoft.com/office/drawing/2010/main">
      <mc:Choice Requires="a14">
        <xdr:graphicFrame macro="">
          <xdr:nvGraphicFramePr>
            <xdr:cNvPr id="9" name="Type">
              <a:extLst>
                <a:ext uri="{FF2B5EF4-FFF2-40B4-BE49-F238E27FC236}">
                  <a16:creationId xmlns:a16="http://schemas.microsoft.com/office/drawing/2014/main" id="{AB520A2F-17B6-4EE0-8B47-49964C092A9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2199970" y="1157253"/>
              <a:ext cx="3595162" cy="11663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555171</xdr:colOff>
      <xdr:row>13</xdr:row>
      <xdr:rowOff>152400</xdr:rowOff>
    </xdr:from>
    <xdr:to>
      <xdr:col>5</xdr:col>
      <xdr:colOff>1</xdr:colOff>
      <xdr:row>29</xdr:row>
      <xdr:rowOff>87087</xdr:rowOff>
    </xdr:to>
    <xdr:sp macro="" textlink="">
      <xdr:nvSpPr>
        <xdr:cNvPr id="10" name="Rectangle: Rounded Corners 9">
          <a:extLst>
            <a:ext uri="{FF2B5EF4-FFF2-40B4-BE49-F238E27FC236}">
              <a16:creationId xmlns:a16="http://schemas.microsoft.com/office/drawing/2014/main" id="{0AAE9344-FB10-9FE2-AD40-0B00FEA9418C}"/>
            </a:ext>
          </a:extLst>
        </xdr:cNvPr>
        <xdr:cNvSpPr/>
      </xdr:nvSpPr>
      <xdr:spPr>
        <a:xfrm>
          <a:off x="555171" y="2558143"/>
          <a:ext cx="2492830" cy="2895601"/>
        </a:xfrm>
        <a:prstGeom prst="roundRect">
          <a:avLst/>
        </a:prstGeom>
        <a:solidFill>
          <a:srgbClr val="572F17"/>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228601</xdr:colOff>
      <xdr:row>19</xdr:row>
      <xdr:rowOff>174171</xdr:rowOff>
    </xdr:from>
    <xdr:to>
      <xdr:col>4</xdr:col>
      <xdr:colOff>272144</xdr:colOff>
      <xdr:row>22</xdr:row>
      <xdr:rowOff>152400</xdr:rowOff>
    </xdr:to>
    <xdr:sp macro="" textlink="">
      <xdr:nvSpPr>
        <xdr:cNvPr id="14" name="TextBox 13">
          <a:extLst>
            <a:ext uri="{FF2B5EF4-FFF2-40B4-BE49-F238E27FC236}">
              <a16:creationId xmlns:a16="http://schemas.microsoft.com/office/drawing/2014/main" id="{BC5CA876-E74D-0FEA-8251-ECEB14E6CFA5}"/>
            </a:ext>
          </a:extLst>
        </xdr:cNvPr>
        <xdr:cNvSpPr txBox="1"/>
      </xdr:nvSpPr>
      <xdr:spPr>
        <a:xfrm>
          <a:off x="838201" y="3690257"/>
          <a:ext cx="1872343"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rPr>
            <a:t>TOTAL SALES</a:t>
          </a:r>
          <a:endParaRPr lang="en-IN" sz="1400">
            <a:solidFill>
              <a:schemeClr val="bg1"/>
            </a:solidFill>
          </a:endParaRPr>
        </a:p>
      </xdr:txBody>
    </xdr:sp>
    <xdr:clientData/>
  </xdr:twoCellAnchor>
  <xdr:twoCellAnchor>
    <xdr:from>
      <xdr:col>5</xdr:col>
      <xdr:colOff>272143</xdr:colOff>
      <xdr:row>13</xdr:row>
      <xdr:rowOff>152400</xdr:rowOff>
    </xdr:from>
    <xdr:to>
      <xdr:col>9</xdr:col>
      <xdr:colOff>326573</xdr:colOff>
      <xdr:row>29</xdr:row>
      <xdr:rowOff>87087</xdr:rowOff>
    </xdr:to>
    <xdr:sp macro="" textlink="">
      <xdr:nvSpPr>
        <xdr:cNvPr id="11" name="Rectangle: Rounded Corners 10">
          <a:extLst>
            <a:ext uri="{FF2B5EF4-FFF2-40B4-BE49-F238E27FC236}">
              <a16:creationId xmlns:a16="http://schemas.microsoft.com/office/drawing/2014/main" id="{D7915A49-4F3F-51DC-FA0F-4B12412E38AB}"/>
            </a:ext>
          </a:extLst>
        </xdr:cNvPr>
        <xdr:cNvSpPr/>
      </xdr:nvSpPr>
      <xdr:spPr>
        <a:xfrm>
          <a:off x="3320143" y="2558143"/>
          <a:ext cx="2492830" cy="2895601"/>
        </a:xfrm>
        <a:prstGeom prst="roundRect">
          <a:avLst/>
        </a:prstGeom>
        <a:solidFill>
          <a:srgbClr val="572F17"/>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10885</xdr:colOff>
      <xdr:row>13</xdr:row>
      <xdr:rowOff>152399</xdr:rowOff>
    </xdr:from>
    <xdr:to>
      <xdr:col>14</xdr:col>
      <xdr:colOff>65315</xdr:colOff>
      <xdr:row>29</xdr:row>
      <xdr:rowOff>114821</xdr:rowOff>
    </xdr:to>
    <xdr:sp macro="" textlink="">
      <xdr:nvSpPr>
        <xdr:cNvPr id="12" name="Rectangle: Rounded Corners 11">
          <a:extLst>
            <a:ext uri="{FF2B5EF4-FFF2-40B4-BE49-F238E27FC236}">
              <a16:creationId xmlns:a16="http://schemas.microsoft.com/office/drawing/2014/main" id="{CA2E83E0-1549-D8B0-CAA2-06FAD750A03B}"/>
            </a:ext>
          </a:extLst>
        </xdr:cNvPr>
        <xdr:cNvSpPr/>
      </xdr:nvSpPr>
      <xdr:spPr>
        <a:xfrm>
          <a:off x="6065132" y="2594974"/>
          <a:ext cx="2476128" cy="2968669"/>
        </a:xfrm>
        <a:prstGeom prst="roundRect">
          <a:avLst/>
        </a:prstGeom>
        <a:solidFill>
          <a:srgbClr val="572F17"/>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337456</xdr:colOff>
      <xdr:row>13</xdr:row>
      <xdr:rowOff>152400</xdr:rowOff>
    </xdr:from>
    <xdr:to>
      <xdr:col>18</xdr:col>
      <xdr:colOff>391886</xdr:colOff>
      <xdr:row>29</xdr:row>
      <xdr:rowOff>135699</xdr:rowOff>
    </xdr:to>
    <xdr:sp macro="" textlink="">
      <xdr:nvSpPr>
        <xdr:cNvPr id="13" name="Rectangle: Rounded Corners 12">
          <a:extLst>
            <a:ext uri="{FF2B5EF4-FFF2-40B4-BE49-F238E27FC236}">
              <a16:creationId xmlns:a16="http://schemas.microsoft.com/office/drawing/2014/main" id="{5CD8DF0C-B204-8E36-4D4B-741FFEE00B4F}"/>
            </a:ext>
          </a:extLst>
        </xdr:cNvPr>
        <xdr:cNvSpPr/>
      </xdr:nvSpPr>
      <xdr:spPr>
        <a:xfrm>
          <a:off x="8813401" y="2594975"/>
          <a:ext cx="2476129" cy="2989546"/>
        </a:xfrm>
        <a:prstGeom prst="roundRect">
          <a:avLst/>
        </a:prstGeom>
        <a:solidFill>
          <a:srgbClr val="572F17"/>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206830</xdr:colOff>
      <xdr:row>15</xdr:row>
      <xdr:rowOff>14074</xdr:rowOff>
    </xdr:from>
    <xdr:to>
      <xdr:col>3</xdr:col>
      <xdr:colOff>359229</xdr:colOff>
      <xdr:row>19</xdr:row>
      <xdr:rowOff>35844</xdr:rowOff>
    </xdr:to>
    <xdr:pic>
      <xdr:nvPicPr>
        <xdr:cNvPr id="15" name="Picture 14">
          <a:extLst>
            <a:ext uri="{FF2B5EF4-FFF2-40B4-BE49-F238E27FC236}">
              <a16:creationId xmlns:a16="http://schemas.microsoft.com/office/drawing/2014/main" id="{9A0E5177-F66F-83A4-58F8-19C3AAC96477}"/>
            </a:ext>
          </a:extLst>
        </xdr:cNvPr>
        <xdr:cNvPicPr>
          <a:picLocks noChangeAspect="1"/>
        </xdr:cNvPicPr>
      </xdr:nvPicPr>
      <xdr:blipFill>
        <a:blip xmlns:r="http://schemas.openxmlformats.org/officeDocument/2006/relationships" r:embed="rId2">
          <a:lum bright="70000" contrast="-70000"/>
        </a:blip>
        <a:stretch>
          <a:fillRect/>
        </a:stretch>
      </xdr:blipFill>
      <xdr:spPr>
        <a:xfrm>
          <a:off x="1426030" y="2789931"/>
          <a:ext cx="761999" cy="761999"/>
        </a:xfrm>
        <a:prstGeom prst="rect">
          <a:avLst/>
        </a:prstGeom>
      </xdr:spPr>
    </xdr:pic>
    <xdr:clientData/>
  </xdr:twoCellAnchor>
  <xdr:twoCellAnchor editAs="oneCell">
    <xdr:from>
      <xdr:col>6</xdr:col>
      <xdr:colOff>511629</xdr:colOff>
      <xdr:row>14</xdr:row>
      <xdr:rowOff>177359</xdr:rowOff>
    </xdr:from>
    <xdr:to>
      <xdr:col>8</xdr:col>
      <xdr:colOff>55629</xdr:colOff>
      <xdr:row>19</xdr:row>
      <xdr:rowOff>15273</xdr:rowOff>
    </xdr:to>
    <xdr:pic>
      <xdr:nvPicPr>
        <xdr:cNvPr id="17" name="Picture 16">
          <a:extLst>
            <a:ext uri="{FF2B5EF4-FFF2-40B4-BE49-F238E27FC236}">
              <a16:creationId xmlns:a16="http://schemas.microsoft.com/office/drawing/2014/main" id="{964BE882-9910-C630-E082-2250BD67A1D2}"/>
            </a:ext>
          </a:extLst>
        </xdr:cNvPr>
        <xdr:cNvPicPr>
          <a:picLocks noChangeAspect="1"/>
        </xdr:cNvPicPr>
      </xdr:nvPicPr>
      <xdr:blipFill>
        <a:blip xmlns:r="http://schemas.openxmlformats.org/officeDocument/2006/relationships" r:embed="rId3">
          <a:lum bright="70000" contrast="-70000"/>
        </a:blip>
        <a:stretch>
          <a:fillRect/>
        </a:stretch>
      </xdr:blipFill>
      <xdr:spPr>
        <a:xfrm>
          <a:off x="4169229" y="2768159"/>
          <a:ext cx="763200" cy="763200"/>
        </a:xfrm>
        <a:prstGeom prst="rect">
          <a:avLst/>
        </a:prstGeom>
      </xdr:spPr>
    </xdr:pic>
    <xdr:clientData/>
  </xdr:twoCellAnchor>
  <xdr:twoCellAnchor editAs="oneCell">
    <xdr:from>
      <xdr:col>11</xdr:col>
      <xdr:colOff>287694</xdr:colOff>
      <xdr:row>15</xdr:row>
      <xdr:rowOff>130705</xdr:rowOff>
    </xdr:from>
    <xdr:to>
      <xdr:col>12</xdr:col>
      <xdr:colOff>441294</xdr:colOff>
      <xdr:row>19</xdr:row>
      <xdr:rowOff>155232</xdr:rowOff>
    </xdr:to>
    <xdr:pic>
      <xdr:nvPicPr>
        <xdr:cNvPr id="18" name="Picture 17">
          <a:extLst>
            <a:ext uri="{FF2B5EF4-FFF2-40B4-BE49-F238E27FC236}">
              <a16:creationId xmlns:a16="http://schemas.microsoft.com/office/drawing/2014/main" id="{2F7A10AF-C387-0A61-FBAB-F72FC64C5A33}"/>
            </a:ext>
          </a:extLst>
        </xdr:cNvPr>
        <xdr:cNvPicPr>
          <a:picLocks noChangeAspect="1"/>
        </xdr:cNvPicPr>
      </xdr:nvPicPr>
      <xdr:blipFill>
        <a:blip xmlns:r="http://schemas.openxmlformats.org/officeDocument/2006/relationships" r:embed="rId4">
          <a:lum bright="70000" contrast="-70000"/>
        </a:blip>
        <a:stretch>
          <a:fillRect/>
        </a:stretch>
      </xdr:blipFill>
      <xdr:spPr>
        <a:xfrm>
          <a:off x="6959082" y="2929889"/>
          <a:ext cx="760090" cy="770976"/>
        </a:xfrm>
        <a:prstGeom prst="rect">
          <a:avLst/>
        </a:prstGeom>
      </xdr:spPr>
    </xdr:pic>
    <xdr:clientData/>
  </xdr:twoCellAnchor>
  <xdr:twoCellAnchor>
    <xdr:from>
      <xdr:col>5</xdr:col>
      <xdr:colOff>544287</xdr:colOff>
      <xdr:row>19</xdr:row>
      <xdr:rowOff>163286</xdr:rowOff>
    </xdr:from>
    <xdr:to>
      <xdr:col>9</xdr:col>
      <xdr:colOff>130629</xdr:colOff>
      <xdr:row>22</xdr:row>
      <xdr:rowOff>141515</xdr:rowOff>
    </xdr:to>
    <xdr:sp macro="" textlink="">
      <xdr:nvSpPr>
        <xdr:cNvPr id="22" name="TextBox 21">
          <a:extLst>
            <a:ext uri="{FF2B5EF4-FFF2-40B4-BE49-F238E27FC236}">
              <a16:creationId xmlns:a16="http://schemas.microsoft.com/office/drawing/2014/main" id="{6D40ABAD-2024-6AC5-03A2-C4B24D490216}"/>
            </a:ext>
          </a:extLst>
        </xdr:cNvPr>
        <xdr:cNvSpPr txBox="1"/>
      </xdr:nvSpPr>
      <xdr:spPr>
        <a:xfrm>
          <a:off x="3592287" y="3679372"/>
          <a:ext cx="2024742"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rPr>
            <a:t>TOTAL PROFIT</a:t>
          </a:r>
        </a:p>
      </xdr:txBody>
    </xdr:sp>
    <xdr:clientData/>
  </xdr:twoCellAnchor>
  <xdr:twoCellAnchor>
    <xdr:from>
      <xdr:col>10</xdr:col>
      <xdr:colOff>337458</xdr:colOff>
      <xdr:row>20</xdr:row>
      <xdr:rowOff>26437</xdr:rowOff>
    </xdr:from>
    <xdr:to>
      <xdr:col>13</xdr:col>
      <xdr:colOff>381001</xdr:colOff>
      <xdr:row>23</xdr:row>
      <xdr:rowOff>4665</xdr:rowOff>
    </xdr:to>
    <xdr:sp macro="" textlink="">
      <xdr:nvSpPr>
        <xdr:cNvPr id="23" name="TextBox 22">
          <a:extLst>
            <a:ext uri="{FF2B5EF4-FFF2-40B4-BE49-F238E27FC236}">
              <a16:creationId xmlns:a16="http://schemas.microsoft.com/office/drawing/2014/main" id="{F772C77D-D379-9D63-ED6E-9BA10E45A5FE}"/>
            </a:ext>
          </a:extLst>
        </xdr:cNvPr>
        <xdr:cNvSpPr txBox="1"/>
      </xdr:nvSpPr>
      <xdr:spPr>
        <a:xfrm>
          <a:off x="6402356" y="3758682"/>
          <a:ext cx="1863012" cy="5380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rPr>
            <a:t>TOTAL COGS</a:t>
          </a:r>
        </a:p>
      </xdr:txBody>
    </xdr:sp>
    <xdr:clientData/>
  </xdr:twoCellAnchor>
  <xdr:twoCellAnchor>
    <xdr:from>
      <xdr:col>14</xdr:col>
      <xdr:colOff>276808</xdr:colOff>
      <xdr:row>20</xdr:row>
      <xdr:rowOff>35767</xdr:rowOff>
    </xdr:from>
    <xdr:to>
      <xdr:col>18</xdr:col>
      <xdr:colOff>527180</xdr:colOff>
      <xdr:row>23</xdr:row>
      <xdr:rowOff>79309</xdr:rowOff>
    </xdr:to>
    <xdr:sp macro="" textlink="">
      <xdr:nvSpPr>
        <xdr:cNvPr id="24" name="TextBox 23">
          <a:extLst>
            <a:ext uri="{FF2B5EF4-FFF2-40B4-BE49-F238E27FC236}">
              <a16:creationId xmlns:a16="http://schemas.microsoft.com/office/drawing/2014/main" id="{CF650A0A-196C-574F-56CA-D755B222F8F8}"/>
            </a:ext>
          </a:extLst>
        </xdr:cNvPr>
        <xdr:cNvSpPr txBox="1"/>
      </xdr:nvSpPr>
      <xdr:spPr>
        <a:xfrm>
          <a:off x="8767665" y="3768012"/>
          <a:ext cx="2676331" cy="603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solidFill>
                <a:schemeClr val="bg1"/>
              </a:solidFill>
            </a:rPr>
            <a:t>%</a:t>
          </a:r>
          <a:r>
            <a:rPr lang="en-IN" sz="1600" baseline="0">
              <a:solidFill>
                <a:schemeClr val="bg1"/>
              </a:solidFill>
            </a:rPr>
            <a:t> PROFIT MARGIN</a:t>
          </a:r>
          <a:endParaRPr lang="en-IN" sz="1600">
            <a:solidFill>
              <a:schemeClr val="bg1"/>
            </a:solidFill>
          </a:endParaRPr>
        </a:p>
      </xdr:txBody>
    </xdr:sp>
    <xdr:clientData/>
  </xdr:twoCellAnchor>
  <xdr:twoCellAnchor>
    <xdr:from>
      <xdr:col>1</xdr:col>
      <xdr:colOff>272142</xdr:colOff>
      <xdr:row>23</xdr:row>
      <xdr:rowOff>1</xdr:rowOff>
    </xdr:from>
    <xdr:to>
      <xdr:col>4</xdr:col>
      <xdr:colOff>206828</xdr:colOff>
      <xdr:row>26</xdr:row>
      <xdr:rowOff>21771</xdr:rowOff>
    </xdr:to>
    <xdr:sp macro="" textlink="">
      <xdr:nvSpPr>
        <xdr:cNvPr id="26" name="TextBox 25">
          <a:extLst>
            <a:ext uri="{FF2B5EF4-FFF2-40B4-BE49-F238E27FC236}">
              <a16:creationId xmlns:a16="http://schemas.microsoft.com/office/drawing/2014/main" id="{569AB8AA-024B-7AEF-9BB9-691F429FFB92}"/>
            </a:ext>
          </a:extLst>
        </xdr:cNvPr>
        <xdr:cNvSpPr txBox="1"/>
      </xdr:nvSpPr>
      <xdr:spPr>
        <a:xfrm>
          <a:off x="881742" y="4256315"/>
          <a:ext cx="1763486" cy="5769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IN" sz="3200"/>
        </a:p>
      </xdr:txBody>
    </xdr:sp>
    <xdr:clientData/>
  </xdr:twoCellAnchor>
  <xdr:twoCellAnchor editAs="oneCell">
    <xdr:from>
      <xdr:col>16</xdr:col>
      <xdr:colOff>6220</xdr:colOff>
      <xdr:row>15</xdr:row>
      <xdr:rowOff>88639</xdr:rowOff>
    </xdr:from>
    <xdr:to>
      <xdr:col>17</xdr:col>
      <xdr:colOff>156710</xdr:colOff>
      <xdr:row>19</xdr:row>
      <xdr:rowOff>111610</xdr:rowOff>
    </xdr:to>
    <xdr:pic>
      <xdr:nvPicPr>
        <xdr:cNvPr id="27" name="Picture 26">
          <a:extLst>
            <a:ext uri="{FF2B5EF4-FFF2-40B4-BE49-F238E27FC236}">
              <a16:creationId xmlns:a16="http://schemas.microsoft.com/office/drawing/2014/main" id="{C16570DF-EB35-4EB1-858D-332A13566D64}"/>
            </a:ext>
          </a:extLst>
        </xdr:cNvPr>
        <xdr:cNvPicPr>
          <a:picLocks noChangeAspect="1"/>
        </xdr:cNvPicPr>
      </xdr:nvPicPr>
      <xdr:blipFill>
        <a:blip xmlns:r="http://schemas.openxmlformats.org/officeDocument/2006/relationships" r:embed="rId5">
          <a:lum bright="70000" contrast="-70000"/>
        </a:blip>
        <a:stretch>
          <a:fillRect/>
        </a:stretch>
      </xdr:blipFill>
      <xdr:spPr>
        <a:xfrm>
          <a:off x="9710057" y="2887823"/>
          <a:ext cx="756980" cy="769420"/>
        </a:xfrm>
        <a:prstGeom prst="rect">
          <a:avLst/>
        </a:prstGeom>
      </xdr:spPr>
    </xdr:pic>
    <xdr:clientData/>
  </xdr:twoCellAnchor>
  <xdr:twoCellAnchor>
    <xdr:from>
      <xdr:col>1</xdr:col>
      <xdr:colOff>228601</xdr:colOff>
      <xdr:row>23</xdr:row>
      <xdr:rowOff>88875</xdr:rowOff>
    </xdr:from>
    <xdr:to>
      <xdr:col>4</xdr:col>
      <xdr:colOff>272144</xdr:colOff>
      <xdr:row>26</xdr:row>
      <xdr:rowOff>67102</xdr:rowOff>
    </xdr:to>
    <xdr:sp macro="" textlink="Analysis!B4">
      <xdr:nvSpPr>
        <xdr:cNvPr id="28" name="TextBox 27">
          <a:extLst>
            <a:ext uri="{FF2B5EF4-FFF2-40B4-BE49-F238E27FC236}">
              <a16:creationId xmlns:a16="http://schemas.microsoft.com/office/drawing/2014/main" id="{EBA05E0D-F733-25DB-262D-A00775148F26}"/>
            </a:ext>
          </a:extLst>
        </xdr:cNvPr>
        <xdr:cNvSpPr txBox="1"/>
      </xdr:nvSpPr>
      <xdr:spPr>
        <a:xfrm>
          <a:off x="834026" y="4410354"/>
          <a:ext cx="1859817" cy="541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2FF9C71-07E9-4B93-BA8C-30874E781965}" type="TxLink">
            <a:rPr lang="en-US" sz="3200" b="0" i="0" u="none" strike="noStrike">
              <a:solidFill>
                <a:schemeClr val="bg1"/>
              </a:solidFill>
              <a:latin typeface="Calibri"/>
              <a:ea typeface="Calibri"/>
              <a:cs typeface="Calibri"/>
            </a:rPr>
            <a:pPr algn="ctr"/>
            <a:t>$202.90K</a:t>
          </a:fld>
          <a:endParaRPr lang="en-IN" sz="3200">
            <a:solidFill>
              <a:schemeClr val="bg1"/>
            </a:solidFill>
          </a:endParaRPr>
        </a:p>
      </xdr:txBody>
    </xdr:sp>
    <xdr:clientData/>
  </xdr:twoCellAnchor>
  <xdr:twoCellAnchor>
    <xdr:from>
      <xdr:col>5</xdr:col>
      <xdr:colOff>566059</xdr:colOff>
      <xdr:row>23</xdr:row>
      <xdr:rowOff>87980</xdr:rowOff>
    </xdr:from>
    <xdr:to>
      <xdr:col>9</xdr:col>
      <xdr:colOff>2</xdr:colOff>
      <xdr:row>26</xdr:row>
      <xdr:rowOff>66207</xdr:rowOff>
    </xdr:to>
    <xdr:sp macro="" textlink="Analysis!B7">
      <xdr:nvSpPr>
        <xdr:cNvPr id="29" name="TextBox 28">
          <a:extLst>
            <a:ext uri="{FF2B5EF4-FFF2-40B4-BE49-F238E27FC236}">
              <a16:creationId xmlns:a16="http://schemas.microsoft.com/office/drawing/2014/main" id="{FC37D078-5D4E-11A3-C5AC-6515C6308739}"/>
            </a:ext>
          </a:extLst>
        </xdr:cNvPr>
        <xdr:cNvSpPr txBox="1"/>
      </xdr:nvSpPr>
      <xdr:spPr>
        <a:xfrm>
          <a:off x="3593182" y="4409459"/>
          <a:ext cx="1855642" cy="541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3A7B83-472A-4461-81C7-369FC2354E4F}" type="TxLink">
            <a:rPr lang="en-US" sz="3200" b="0" i="0" u="none" strike="noStrike">
              <a:solidFill>
                <a:schemeClr val="bg1"/>
              </a:solidFill>
              <a:latin typeface="Calibri"/>
              <a:ea typeface="Calibri"/>
              <a:cs typeface="Calibri"/>
            </a:rPr>
            <a:pPr algn="ctr"/>
            <a:t>$64.31K</a:t>
          </a:fld>
          <a:endParaRPr lang="en-IN" sz="3200">
            <a:solidFill>
              <a:schemeClr val="bg1"/>
            </a:solidFill>
          </a:endParaRPr>
        </a:p>
      </xdr:txBody>
    </xdr:sp>
    <xdr:clientData/>
  </xdr:twoCellAnchor>
  <xdr:twoCellAnchor>
    <xdr:from>
      <xdr:col>10</xdr:col>
      <xdr:colOff>422755</xdr:colOff>
      <xdr:row>23</xdr:row>
      <xdr:rowOff>97524</xdr:rowOff>
    </xdr:from>
    <xdr:to>
      <xdr:col>13</xdr:col>
      <xdr:colOff>466298</xdr:colOff>
      <xdr:row>26</xdr:row>
      <xdr:rowOff>75751</xdr:rowOff>
    </xdr:to>
    <xdr:sp macro="" textlink="Analysis!B13">
      <xdr:nvSpPr>
        <xdr:cNvPr id="30" name="TextBox 29">
          <a:extLst>
            <a:ext uri="{FF2B5EF4-FFF2-40B4-BE49-F238E27FC236}">
              <a16:creationId xmlns:a16="http://schemas.microsoft.com/office/drawing/2014/main" id="{C3AE8881-3F32-6202-A786-13BDCD8E8B17}"/>
            </a:ext>
          </a:extLst>
        </xdr:cNvPr>
        <xdr:cNvSpPr txBox="1"/>
      </xdr:nvSpPr>
      <xdr:spPr>
        <a:xfrm>
          <a:off x="6477002" y="4419003"/>
          <a:ext cx="1859817" cy="541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FC666DD-674D-44FB-96C3-F6636691AF68}" type="TxLink">
            <a:rPr lang="en-US" sz="3200" b="0" i="0" u="none" strike="noStrike">
              <a:solidFill>
                <a:schemeClr val="bg1"/>
              </a:solidFill>
              <a:latin typeface="Calibri"/>
              <a:ea typeface="Calibri"/>
              <a:cs typeface="Calibri"/>
            </a:rPr>
            <a:pPr algn="ctr"/>
            <a:t>$87.51K</a:t>
          </a:fld>
          <a:endParaRPr lang="en-IN" sz="3200">
            <a:solidFill>
              <a:schemeClr val="bg1"/>
            </a:solidFill>
          </a:endParaRPr>
        </a:p>
      </xdr:txBody>
    </xdr:sp>
    <xdr:clientData/>
  </xdr:twoCellAnchor>
  <xdr:twoCellAnchor>
    <xdr:from>
      <xdr:col>15</xdr:col>
      <xdr:colOff>128990</xdr:colOff>
      <xdr:row>23</xdr:row>
      <xdr:rowOff>87981</xdr:rowOff>
    </xdr:from>
    <xdr:to>
      <xdr:col>18</xdr:col>
      <xdr:colOff>168358</xdr:colOff>
      <xdr:row>26</xdr:row>
      <xdr:rowOff>66208</xdr:rowOff>
    </xdr:to>
    <xdr:sp macro="" textlink="Analysis!C10">
      <xdr:nvSpPr>
        <xdr:cNvPr id="31" name="TextBox 30">
          <a:extLst>
            <a:ext uri="{FF2B5EF4-FFF2-40B4-BE49-F238E27FC236}">
              <a16:creationId xmlns:a16="http://schemas.microsoft.com/office/drawing/2014/main" id="{B2DF4CB5-D376-2A4A-935E-BF9646DCB0AB}"/>
            </a:ext>
          </a:extLst>
        </xdr:cNvPr>
        <xdr:cNvSpPr txBox="1"/>
      </xdr:nvSpPr>
      <xdr:spPr>
        <a:xfrm>
          <a:off x="9210360" y="4409460"/>
          <a:ext cx="1855642" cy="541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747041-8A8F-4066-A086-DF72E7F6A770}" type="TxLink">
            <a:rPr lang="en-US" sz="3200" b="0" i="0" u="none" strike="noStrike">
              <a:solidFill>
                <a:schemeClr val="bg1"/>
              </a:solidFill>
              <a:latin typeface="Calibri"/>
              <a:ea typeface="Calibri"/>
              <a:cs typeface="Calibri"/>
            </a:rPr>
            <a:pPr algn="ctr"/>
            <a:t>32%</a:t>
          </a:fld>
          <a:endParaRPr lang="en-IN" sz="3200">
            <a:solidFill>
              <a:schemeClr val="bg1"/>
            </a:solidFill>
          </a:endParaRPr>
        </a:p>
      </xdr:txBody>
    </xdr:sp>
    <xdr:clientData/>
  </xdr:twoCellAnchor>
  <xdr:twoCellAnchor>
    <xdr:from>
      <xdr:col>19</xdr:col>
      <xdr:colOff>185057</xdr:colOff>
      <xdr:row>13</xdr:row>
      <xdr:rowOff>125261</xdr:rowOff>
    </xdr:from>
    <xdr:to>
      <xdr:col>32</xdr:col>
      <xdr:colOff>152400</xdr:colOff>
      <xdr:row>30</xdr:row>
      <xdr:rowOff>559</xdr:rowOff>
    </xdr:to>
    <xdr:sp macro="" textlink="">
      <xdr:nvSpPr>
        <xdr:cNvPr id="32" name="Rectangle: Rounded Corners 31">
          <a:extLst>
            <a:ext uri="{FF2B5EF4-FFF2-40B4-BE49-F238E27FC236}">
              <a16:creationId xmlns:a16="http://schemas.microsoft.com/office/drawing/2014/main" id="{45B7D386-8184-9C34-483E-483B5302D020}"/>
            </a:ext>
          </a:extLst>
        </xdr:cNvPr>
        <xdr:cNvSpPr/>
      </xdr:nvSpPr>
      <xdr:spPr>
        <a:xfrm>
          <a:off x="11819164" y="2424868"/>
          <a:ext cx="7927522" cy="2882477"/>
        </a:xfrm>
        <a:prstGeom prst="roundRect">
          <a:avLst/>
        </a:prstGeom>
        <a:solidFill>
          <a:srgbClr val="572F17"/>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558699</xdr:colOff>
      <xdr:row>13</xdr:row>
      <xdr:rowOff>174171</xdr:rowOff>
    </xdr:from>
    <xdr:to>
      <xdr:col>31</xdr:col>
      <xdr:colOff>436779</xdr:colOff>
      <xdr:row>29</xdr:row>
      <xdr:rowOff>104383</xdr:rowOff>
    </xdr:to>
    <xdr:graphicFrame macro="">
      <xdr:nvGraphicFramePr>
        <xdr:cNvPr id="34" name="Chart 33">
          <a:extLst>
            <a:ext uri="{FF2B5EF4-FFF2-40B4-BE49-F238E27FC236}">
              <a16:creationId xmlns:a16="http://schemas.microsoft.com/office/drawing/2014/main" id="{D4E469F8-E1E5-4AD7-A8C7-E2E7879A18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519044</xdr:colOff>
      <xdr:row>32</xdr:row>
      <xdr:rowOff>33131</xdr:rowOff>
    </xdr:from>
    <xdr:to>
      <xdr:col>11</xdr:col>
      <xdr:colOff>198784</xdr:colOff>
      <xdr:row>53</xdr:row>
      <xdr:rowOff>22087</xdr:rowOff>
    </xdr:to>
    <xdr:sp macro="" textlink="">
      <xdr:nvSpPr>
        <xdr:cNvPr id="16" name="Rectangle: Rounded Corners 15">
          <a:extLst>
            <a:ext uri="{FF2B5EF4-FFF2-40B4-BE49-F238E27FC236}">
              <a16:creationId xmlns:a16="http://schemas.microsoft.com/office/drawing/2014/main" id="{C8C40F7E-2681-AEB3-139D-48E512EB2059}"/>
            </a:ext>
          </a:extLst>
        </xdr:cNvPr>
        <xdr:cNvSpPr/>
      </xdr:nvSpPr>
      <xdr:spPr>
        <a:xfrm>
          <a:off x="519044" y="5954960"/>
          <a:ext cx="6385340" cy="3875156"/>
        </a:xfrm>
        <a:prstGeom prst="roundRect">
          <a:avLst/>
        </a:prstGeom>
        <a:solidFill>
          <a:srgbClr val="572F17"/>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457961</xdr:colOff>
      <xdr:row>32</xdr:row>
      <xdr:rowOff>9319</xdr:rowOff>
    </xdr:from>
    <xdr:to>
      <xdr:col>21</xdr:col>
      <xdr:colOff>583407</xdr:colOff>
      <xdr:row>52</xdr:row>
      <xdr:rowOff>176869</xdr:rowOff>
    </xdr:to>
    <xdr:sp macro="" textlink="">
      <xdr:nvSpPr>
        <xdr:cNvPr id="19" name="Rectangle: Rounded Corners 18">
          <a:extLst>
            <a:ext uri="{FF2B5EF4-FFF2-40B4-BE49-F238E27FC236}">
              <a16:creationId xmlns:a16="http://schemas.microsoft.com/office/drawing/2014/main" id="{CA5478C5-CFB7-62A2-1F43-467895B52CBA}"/>
            </a:ext>
          </a:extLst>
        </xdr:cNvPr>
        <xdr:cNvSpPr/>
      </xdr:nvSpPr>
      <xdr:spPr>
        <a:xfrm>
          <a:off x="7137367" y="5724319"/>
          <a:ext cx="6197634" cy="3739425"/>
        </a:xfrm>
        <a:prstGeom prst="roundRect">
          <a:avLst/>
        </a:prstGeom>
        <a:solidFill>
          <a:srgbClr val="572F17"/>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22</xdr:col>
      <xdr:colOff>254000</xdr:colOff>
      <xdr:row>32</xdr:row>
      <xdr:rowOff>11045</xdr:rowOff>
    </xdr:from>
    <xdr:to>
      <xdr:col>32</xdr:col>
      <xdr:colOff>202406</xdr:colOff>
      <xdr:row>53</xdr:row>
      <xdr:rowOff>1</xdr:rowOff>
    </xdr:to>
    <xdr:sp macro="" textlink="">
      <xdr:nvSpPr>
        <xdr:cNvPr id="21" name="Rectangle: Rounded Corners 20">
          <a:extLst>
            <a:ext uri="{FF2B5EF4-FFF2-40B4-BE49-F238E27FC236}">
              <a16:creationId xmlns:a16="http://schemas.microsoft.com/office/drawing/2014/main" id="{7C6D47C7-E3E4-6BF9-A553-D1DD348CEC6E}"/>
            </a:ext>
          </a:extLst>
        </xdr:cNvPr>
        <xdr:cNvSpPr/>
      </xdr:nvSpPr>
      <xdr:spPr>
        <a:xfrm>
          <a:off x="13612813" y="5726045"/>
          <a:ext cx="6020593" cy="3739425"/>
        </a:xfrm>
        <a:prstGeom prst="roundRect">
          <a:avLst/>
        </a:prstGeom>
        <a:solidFill>
          <a:srgbClr val="572F17"/>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77305</xdr:colOff>
      <xdr:row>33</xdr:row>
      <xdr:rowOff>11044</xdr:rowOff>
    </xdr:from>
    <xdr:to>
      <xdr:col>11</xdr:col>
      <xdr:colOff>33131</xdr:colOff>
      <xdr:row>51</xdr:row>
      <xdr:rowOff>132521</xdr:rowOff>
    </xdr:to>
    <xdr:graphicFrame macro="">
      <xdr:nvGraphicFramePr>
        <xdr:cNvPr id="25" name="Chart 24">
          <a:extLst>
            <a:ext uri="{FF2B5EF4-FFF2-40B4-BE49-F238E27FC236}">
              <a16:creationId xmlns:a16="http://schemas.microsoft.com/office/drawing/2014/main" id="{E3BE19F1-E643-48F8-8BB9-106265F257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409996</xdr:colOff>
      <xdr:row>32</xdr:row>
      <xdr:rowOff>152400</xdr:rowOff>
    </xdr:from>
    <xdr:to>
      <xdr:col>21</xdr:col>
      <xdr:colOff>576944</xdr:colOff>
      <xdr:row>52</xdr:row>
      <xdr:rowOff>32658</xdr:rowOff>
    </xdr:to>
    <xdr:graphicFrame macro="">
      <xdr:nvGraphicFramePr>
        <xdr:cNvPr id="20" name="Chart 19">
          <a:extLst>
            <a:ext uri="{FF2B5EF4-FFF2-40B4-BE49-F238E27FC236}">
              <a16:creationId xmlns:a16="http://schemas.microsoft.com/office/drawing/2014/main" id="{E6539EF5-C012-4E1A-9AF4-497C257134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22</xdr:col>
      <xdr:colOff>384629</xdr:colOff>
      <xdr:row>32</xdr:row>
      <xdr:rowOff>100389</xdr:rowOff>
    </xdr:from>
    <xdr:to>
      <xdr:col>32</xdr:col>
      <xdr:colOff>94342</xdr:colOff>
      <xdr:row>52</xdr:row>
      <xdr:rowOff>12093</xdr:rowOff>
    </xdr:to>
    <xdr:graphicFrame macro="">
      <xdr:nvGraphicFramePr>
        <xdr:cNvPr id="33" name="Chart 32">
          <a:extLst>
            <a:ext uri="{FF2B5EF4-FFF2-40B4-BE49-F238E27FC236}">
              <a16:creationId xmlns:a16="http://schemas.microsoft.com/office/drawing/2014/main" id="{F0F571CE-58AE-451F-BA3D-27021A414C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500742</xdr:colOff>
      <xdr:row>55</xdr:row>
      <xdr:rowOff>65789</xdr:rowOff>
    </xdr:from>
    <xdr:to>
      <xdr:col>32</xdr:col>
      <xdr:colOff>381000</xdr:colOff>
      <xdr:row>77</xdr:row>
      <xdr:rowOff>174172</xdr:rowOff>
    </xdr:to>
    <xdr:sp macro="" textlink="">
      <xdr:nvSpPr>
        <xdr:cNvPr id="35" name="Rectangle: Rounded Corners 34">
          <a:extLst>
            <a:ext uri="{FF2B5EF4-FFF2-40B4-BE49-F238E27FC236}">
              <a16:creationId xmlns:a16="http://schemas.microsoft.com/office/drawing/2014/main" id="{1BD38685-7586-A8C3-E46F-E82AFEFA5E6F}"/>
            </a:ext>
          </a:extLst>
        </xdr:cNvPr>
        <xdr:cNvSpPr/>
      </xdr:nvSpPr>
      <xdr:spPr>
        <a:xfrm>
          <a:off x="7236278" y="9794896"/>
          <a:ext cx="12739008" cy="4000026"/>
        </a:xfrm>
        <a:prstGeom prst="roundRect">
          <a:avLst/>
        </a:prstGeom>
        <a:solidFill>
          <a:srgbClr val="572F17"/>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283029</xdr:colOff>
      <xdr:row>55</xdr:row>
      <xdr:rowOff>163286</xdr:rowOff>
    </xdr:from>
    <xdr:to>
      <xdr:col>32</xdr:col>
      <xdr:colOff>21771</xdr:colOff>
      <xdr:row>76</xdr:row>
      <xdr:rowOff>130628</xdr:rowOff>
    </xdr:to>
    <xdr:graphicFrame macro="">
      <xdr:nvGraphicFramePr>
        <xdr:cNvPr id="36" name="Chart 35">
          <a:extLst>
            <a:ext uri="{FF2B5EF4-FFF2-40B4-BE49-F238E27FC236}">
              <a16:creationId xmlns:a16="http://schemas.microsoft.com/office/drawing/2014/main" id="{596F7FC3-44DF-4570-BB9F-A22E3C08A9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460428</xdr:colOff>
      <xdr:row>55</xdr:row>
      <xdr:rowOff>93783</xdr:rowOff>
    </xdr:from>
    <xdr:to>
      <xdr:col>11</xdr:col>
      <xdr:colOff>140168</xdr:colOff>
      <xdr:row>78</xdr:row>
      <xdr:rowOff>58614</xdr:rowOff>
    </xdr:to>
    <xdr:sp macro="" textlink="">
      <xdr:nvSpPr>
        <xdr:cNvPr id="37" name="Rectangle: Rounded Corners 36">
          <a:extLst>
            <a:ext uri="{FF2B5EF4-FFF2-40B4-BE49-F238E27FC236}">
              <a16:creationId xmlns:a16="http://schemas.microsoft.com/office/drawing/2014/main" id="{167A3ED0-0C2F-B274-4BC9-FBB139933AE1}"/>
            </a:ext>
          </a:extLst>
        </xdr:cNvPr>
        <xdr:cNvSpPr/>
      </xdr:nvSpPr>
      <xdr:spPr>
        <a:xfrm>
          <a:off x="460428" y="9999783"/>
          <a:ext cx="6385340" cy="4107340"/>
        </a:xfrm>
        <a:prstGeom prst="roundRect">
          <a:avLst/>
        </a:prstGeom>
        <a:solidFill>
          <a:srgbClr val="572F17"/>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555959</xdr:colOff>
      <xdr:row>80</xdr:row>
      <xdr:rowOff>65789</xdr:rowOff>
    </xdr:from>
    <xdr:to>
      <xdr:col>21</xdr:col>
      <xdr:colOff>436217</xdr:colOff>
      <xdr:row>106</xdr:row>
      <xdr:rowOff>110434</xdr:rowOff>
    </xdr:to>
    <xdr:sp macro="" textlink="">
      <xdr:nvSpPr>
        <xdr:cNvPr id="42" name="Rectangle: Rounded Corners 41">
          <a:extLst>
            <a:ext uri="{FF2B5EF4-FFF2-40B4-BE49-F238E27FC236}">
              <a16:creationId xmlns:a16="http://schemas.microsoft.com/office/drawing/2014/main" id="{117C3BC8-5A83-F77E-EFFD-3AA88A17BFBE}"/>
            </a:ext>
          </a:extLst>
        </xdr:cNvPr>
        <xdr:cNvSpPr/>
      </xdr:nvSpPr>
      <xdr:spPr>
        <a:xfrm>
          <a:off x="555959" y="15084919"/>
          <a:ext cx="12635475" cy="4925863"/>
        </a:xfrm>
        <a:prstGeom prst="roundRect">
          <a:avLst/>
        </a:prstGeom>
        <a:solidFill>
          <a:srgbClr val="572F17"/>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555959</xdr:colOff>
      <xdr:row>81</xdr:row>
      <xdr:rowOff>55217</xdr:rowOff>
    </xdr:from>
    <xdr:to>
      <xdr:col>21</xdr:col>
      <xdr:colOff>287131</xdr:colOff>
      <xdr:row>105</xdr:row>
      <xdr:rowOff>165652</xdr:rowOff>
    </xdr:to>
    <mc:AlternateContent xmlns:mc="http://schemas.openxmlformats.org/markup-compatibility/2006">
      <mc:Choice xmlns:cx4="http://schemas.microsoft.com/office/drawing/2016/5/10/chartex" Requires="cx4">
        <xdr:graphicFrame macro="">
          <xdr:nvGraphicFramePr>
            <xdr:cNvPr id="39" name="Chart 38">
              <a:extLst>
                <a:ext uri="{FF2B5EF4-FFF2-40B4-BE49-F238E27FC236}">
                  <a16:creationId xmlns:a16="http://schemas.microsoft.com/office/drawing/2014/main" id="{C6817269-E24B-402B-A1DA-EF0A465B845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555959" y="14868497"/>
              <a:ext cx="12532772" cy="449955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22</xdr:col>
      <xdr:colOff>164353</xdr:colOff>
      <xdr:row>80</xdr:row>
      <xdr:rowOff>28575</xdr:rowOff>
    </xdr:from>
    <xdr:to>
      <xdr:col>32</xdr:col>
      <xdr:colOff>466725</xdr:colOff>
      <xdr:row>106</xdr:row>
      <xdr:rowOff>104775</xdr:rowOff>
    </xdr:to>
    <xdr:sp macro="" textlink="">
      <xdr:nvSpPr>
        <xdr:cNvPr id="44" name="Rectangle: Rounded Corners 43">
          <a:extLst>
            <a:ext uri="{FF2B5EF4-FFF2-40B4-BE49-F238E27FC236}">
              <a16:creationId xmlns:a16="http://schemas.microsoft.com/office/drawing/2014/main" id="{825BE387-2075-DC44-9F50-AEC5877EEA35}"/>
            </a:ext>
          </a:extLst>
        </xdr:cNvPr>
        <xdr:cNvSpPr/>
      </xdr:nvSpPr>
      <xdr:spPr>
        <a:xfrm>
          <a:off x="13575553" y="14437302"/>
          <a:ext cx="6398372" cy="4759037"/>
        </a:xfrm>
        <a:prstGeom prst="roundRect">
          <a:avLst/>
        </a:prstGeom>
        <a:solidFill>
          <a:srgbClr val="572F17"/>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332509</xdr:colOff>
      <xdr:row>55</xdr:row>
      <xdr:rowOff>110836</xdr:rowOff>
    </xdr:from>
    <xdr:to>
      <xdr:col>10</xdr:col>
      <xdr:colOff>512618</xdr:colOff>
      <xdr:row>78</xdr:row>
      <xdr:rowOff>83127</xdr:rowOff>
    </xdr:to>
    <xdr:graphicFrame macro="">
      <xdr:nvGraphicFramePr>
        <xdr:cNvPr id="45" name="Chart 44">
          <a:extLst>
            <a:ext uri="{FF2B5EF4-FFF2-40B4-BE49-F238E27FC236}">
              <a16:creationId xmlns:a16="http://schemas.microsoft.com/office/drawing/2014/main" id="{2FE92319-9ED4-4A52-AD90-40C18282EC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24</xdr:col>
          <xdr:colOff>266700</xdr:colOff>
          <xdr:row>15</xdr:row>
          <xdr:rowOff>129540</xdr:rowOff>
        </xdr:from>
        <xdr:to>
          <xdr:col>25</xdr:col>
          <xdr:colOff>487680</xdr:colOff>
          <xdr:row>17</xdr:row>
          <xdr:rowOff>160020</xdr:rowOff>
        </xdr:to>
        <xdr:sp macro="" textlink="">
          <xdr:nvSpPr>
            <xdr:cNvPr id="1028" name="Option Button 4" descr="SALE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SALES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327660</xdr:colOff>
          <xdr:row>15</xdr:row>
          <xdr:rowOff>83820</xdr:rowOff>
        </xdr:from>
        <xdr:to>
          <xdr:col>27</xdr:col>
          <xdr:colOff>152400</xdr:colOff>
          <xdr:row>17</xdr:row>
          <xdr:rowOff>182880</xdr:rowOff>
        </xdr:to>
        <xdr:sp macro="" textlink="">
          <xdr:nvSpPr>
            <xdr:cNvPr id="1029" name="Option Button 5" descr="SALES"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PROFIT</a:t>
              </a:r>
            </a:p>
          </xdr:txBody>
        </xdr:sp>
        <xdr:clientData/>
      </xdr:twoCellAnchor>
    </mc:Choice>
    <mc:Fallback/>
  </mc:AlternateContent>
  <xdr:twoCellAnchor>
    <xdr:from>
      <xdr:col>22</xdr:col>
      <xdr:colOff>207818</xdr:colOff>
      <xdr:row>80</xdr:row>
      <xdr:rowOff>96982</xdr:rowOff>
    </xdr:from>
    <xdr:to>
      <xdr:col>32</xdr:col>
      <xdr:colOff>344879</xdr:colOff>
      <xdr:row>105</xdr:row>
      <xdr:rowOff>83127</xdr:rowOff>
    </xdr:to>
    <xdr:graphicFrame macro="">
      <xdr:nvGraphicFramePr>
        <xdr:cNvPr id="38" name="Chart 37">
          <a:extLst>
            <a:ext uri="{FF2B5EF4-FFF2-40B4-BE49-F238E27FC236}">
              <a16:creationId xmlns:a16="http://schemas.microsoft.com/office/drawing/2014/main" id="{31F3697D-6FD4-4DE1-8C91-6146DC57FD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PARAJITHA KUMARI" refreshedDate="45887.928114236114" createdVersion="8" refreshedVersion="8" minRefreshableVersion="3" recordCount="1062" xr:uid="{425862A7-82B4-4005-80EB-3EAC6CA884FF}">
  <cacheSource type="worksheet">
    <worksheetSource name="Coffee_Chain_Sales"/>
  </cacheSource>
  <cacheFields count="29">
    <cacheField name="Area Code" numFmtId="0">
      <sharedItems containsSemiMixedTypes="0" containsString="0" containsNumber="1" containsInteger="1" minValue="203" maxValue="985"/>
    </cacheField>
    <cacheField name="Cogs" numFmtId="0">
      <sharedItems containsSemiMixedTypes="0" containsString="0" containsNumber="1" containsInteger="1" minValue="0" maxValue="294" count="100">
        <n v="51"/>
        <n v="52"/>
        <n v="43"/>
        <n v="38"/>
        <n v="72"/>
        <n v="0"/>
        <n v="47"/>
        <n v="27"/>
        <n v="31"/>
        <n v="40"/>
        <n v="49"/>
        <n v="45"/>
        <n v="60"/>
        <n v="34"/>
        <n v="54"/>
        <n v="48"/>
        <n v="82"/>
        <n v="91"/>
        <n v="50"/>
        <n v="75"/>
        <n v="46"/>
        <n v="55"/>
        <n v="57"/>
        <n v="36"/>
        <n v="33"/>
        <n v="44"/>
        <n v="53"/>
        <n v="61"/>
        <n v="65"/>
        <n v="80"/>
        <n v="41"/>
        <n v="39"/>
        <n v="92"/>
        <n v="68"/>
        <n v="63"/>
        <n v="76"/>
        <n v="22"/>
        <n v="23"/>
        <n v="79"/>
        <n v="28"/>
        <n v="32"/>
        <n v="69"/>
        <n v="86"/>
        <n v="24"/>
        <n v="35"/>
        <n v="29"/>
        <n v="30"/>
        <n v="56"/>
        <n v="59"/>
        <n v="67"/>
        <n v="21"/>
        <n v="25"/>
        <n v="15"/>
        <n v="16"/>
        <n v="20"/>
        <n v="239"/>
        <n v="123"/>
        <n v="90"/>
        <n v="103"/>
        <n v="96"/>
        <n v="225"/>
        <n v="118"/>
        <n v="78"/>
        <n v="88"/>
        <n v="102"/>
        <n v="101"/>
        <n v="94"/>
        <n v="241"/>
        <n v="81"/>
        <n v="134"/>
        <n v="105"/>
        <n v="125"/>
        <n v="130"/>
        <n v="115"/>
        <n v="260"/>
        <n v="161"/>
        <n v="255"/>
        <n v="108"/>
        <n v="77"/>
        <n v="249"/>
        <n v="121"/>
        <n v="181"/>
        <n v="211"/>
        <n v="245"/>
        <n v="83"/>
        <n v="279"/>
        <n v="135"/>
        <n v="153"/>
        <n v="250"/>
        <n v="294"/>
        <n v="122"/>
        <n v="154"/>
        <n v="257"/>
        <n v="10"/>
        <n v="113"/>
        <n v="173"/>
        <n v="228"/>
        <n v="127"/>
        <n v="224"/>
        <n v="247"/>
      </sharedItems>
    </cacheField>
    <cacheField name="DifferenceBetweenActualandTargetProfit" numFmtId="0">
      <sharedItems containsSemiMixedTypes="0" containsString="0" containsNumber="1" containsInteger="1" minValue="-369" maxValue="249"/>
    </cacheField>
    <cacheField name="Date" numFmtId="14">
      <sharedItems containsSemiMixedTypes="0" containsNonDate="0" containsDate="1" containsString="0" minDate="2012-01-10T00:00:00" maxDate="2014-12-07T00:00:00" count="1062">
        <d v="2012-01-10T00:00:00"/>
        <d v="2012-01-11T00:00:00"/>
        <d v="2012-01-12T00:00:00"/>
        <d v="2012-01-13T00:00:00"/>
        <d v="2012-01-14T00:00:00"/>
        <d v="2012-01-15T00:00:00"/>
        <d v="2012-01-16T00:00:00"/>
        <d v="2012-01-17T00:00:00"/>
        <d v="2012-01-18T00:00:00"/>
        <d v="2012-01-19T00:00:00"/>
        <d v="2012-01-20T00:00:00"/>
        <d v="2012-01-21T00:00:00"/>
        <d v="2012-01-22T00:00:00"/>
        <d v="2012-01-23T00:00:00"/>
        <d v="2012-01-24T00:00:00"/>
        <d v="2012-01-25T00:00:00"/>
        <d v="2012-01-26T00:00:00"/>
        <d v="2012-01-27T00:00:00"/>
        <d v="2012-01-28T00:00:00"/>
        <d v="2012-01-29T00:00:00"/>
        <d v="2012-01-30T00:00:00"/>
        <d v="2012-01-31T00:00:00"/>
        <d v="2012-02-01T00:00:00"/>
        <d v="2012-02-02T00:00:00"/>
        <d v="2012-02-03T00:00:00"/>
        <d v="2012-02-04T00:00:00"/>
        <d v="2012-02-05T00:00:00"/>
        <d v="2012-02-06T00:00:00"/>
        <d v="2012-02-07T00:00:00"/>
        <d v="2012-02-08T00:00:00"/>
        <d v="2012-02-09T00:00:00"/>
        <d v="2012-02-10T00:00:00"/>
        <d v="2012-02-11T00:00:00"/>
        <d v="2012-02-12T00:00:00"/>
        <d v="2012-02-13T00:00:00"/>
        <d v="2012-02-14T00:00:00"/>
        <d v="2012-02-15T00:00:00"/>
        <d v="2012-02-16T00:00:00"/>
        <d v="2012-02-17T00:00:00"/>
        <d v="2012-02-18T00:00:00"/>
        <d v="2012-02-19T00:00:00"/>
        <d v="2012-02-20T00:00:00"/>
        <d v="2012-02-21T00:00:00"/>
        <d v="2012-02-22T00:00:00"/>
        <d v="2012-02-23T00:00:00"/>
        <d v="2012-02-24T00:00:00"/>
        <d v="2012-02-25T00:00:00"/>
        <d v="2012-02-26T00:00:00"/>
        <d v="2012-02-27T00:00:00"/>
        <d v="2012-02-28T00:00:00"/>
        <d v="2012-02-29T00:00:00"/>
        <d v="2012-03-01T00:00:00"/>
        <d v="2012-03-02T00:00:00"/>
        <d v="2012-03-03T00:00:00"/>
        <d v="2012-03-04T00:00:00"/>
        <d v="2012-03-05T00:00:00"/>
        <d v="2012-03-06T00:00:00"/>
        <d v="2012-03-07T00:00:00"/>
        <d v="2012-03-08T00:00:00"/>
        <d v="2012-03-09T00:00:00"/>
        <d v="2012-03-10T00:00:00"/>
        <d v="2012-03-11T00:00:00"/>
        <d v="2012-03-12T00:00:00"/>
        <d v="2012-03-13T00:00:00"/>
        <d v="2012-03-14T00:00:00"/>
        <d v="2012-03-15T00:00:00"/>
        <d v="2012-03-16T00:00:00"/>
        <d v="2012-03-17T00:00:00"/>
        <d v="2012-03-18T00:00:00"/>
        <d v="2012-03-19T00:00:00"/>
        <d v="2012-03-20T00:00:00"/>
        <d v="2012-03-21T00:00:00"/>
        <d v="2012-03-22T00:00:00"/>
        <d v="2012-03-23T00:00:00"/>
        <d v="2012-03-24T00:00:00"/>
        <d v="2012-03-25T00:00:00"/>
        <d v="2012-03-26T00:00:00"/>
        <d v="2012-03-27T00:00:00"/>
        <d v="2012-03-28T00:00:00"/>
        <d v="2012-03-29T00:00:00"/>
        <d v="2012-03-30T00:00:00"/>
        <d v="2012-03-31T00:00:00"/>
        <d v="2012-04-01T00:00:00"/>
        <d v="2012-04-02T00:00:00"/>
        <d v="2012-04-03T00:00:00"/>
        <d v="2012-04-04T00:00:00"/>
        <d v="2012-04-05T00:00:00"/>
        <d v="2012-04-06T00:00:00"/>
        <d v="2012-04-07T00:00:00"/>
        <d v="2012-04-08T00:00:00"/>
        <d v="2012-04-09T00:00:00"/>
        <d v="2012-04-10T00:00:00"/>
        <d v="2012-04-11T00:00:00"/>
        <d v="2012-04-12T00:00:00"/>
        <d v="2012-04-13T00:00:00"/>
        <d v="2012-04-14T00:00:00"/>
        <d v="2012-04-15T00:00:00"/>
        <d v="2012-04-16T00:00:00"/>
        <d v="2012-04-17T00:00:00"/>
        <d v="2012-04-18T00:00:00"/>
        <d v="2012-04-19T00:00:00"/>
        <d v="2012-04-20T00:00:00"/>
        <d v="2012-04-21T00:00:00"/>
        <d v="2012-04-22T00:00:00"/>
        <d v="2012-04-23T00:00:00"/>
        <d v="2012-04-24T00:00:00"/>
        <d v="2012-04-25T00:00:00"/>
        <d v="2012-04-26T00:00:00"/>
        <d v="2012-04-27T00:00:00"/>
        <d v="2012-04-28T00:00:00"/>
        <d v="2012-04-29T00:00:00"/>
        <d v="2012-04-30T00:00:00"/>
        <d v="2012-05-01T00:00:00"/>
        <d v="2012-05-02T00:00:00"/>
        <d v="2012-05-03T00:00:00"/>
        <d v="2012-05-04T00:00:00"/>
        <d v="2012-05-05T00:00:00"/>
        <d v="2012-05-06T00:00:00"/>
        <d v="2012-05-07T00:00:00"/>
        <d v="2012-05-08T00:00:00"/>
        <d v="2012-05-09T00:00:00"/>
        <d v="2012-05-10T00:00:00"/>
        <d v="2012-05-11T00:00:00"/>
        <d v="2012-05-12T00:00:00"/>
        <d v="2012-05-13T00:00:00"/>
        <d v="2012-05-14T00:00:00"/>
        <d v="2012-05-15T00:00:00"/>
        <d v="2012-05-16T00:00:00"/>
        <d v="2012-05-17T00:00:00"/>
        <d v="2012-05-18T00:00:00"/>
        <d v="2012-05-19T00:00:00"/>
        <d v="2012-05-20T00:00:00"/>
        <d v="2012-05-21T00:00:00"/>
        <d v="2012-05-22T00:00:00"/>
        <d v="2012-05-23T00:00:00"/>
        <d v="2012-05-24T00:00:00"/>
        <d v="2012-05-25T00:00:00"/>
        <d v="2012-05-26T00:00:00"/>
        <d v="2012-05-27T00:00:00"/>
        <d v="2012-05-28T00:00:00"/>
        <d v="2012-05-29T00:00:00"/>
        <d v="2012-05-30T00:00:00"/>
        <d v="2012-05-31T00:00:00"/>
        <d v="2012-06-01T00:00:00"/>
        <d v="2012-06-02T00:00:00"/>
        <d v="2012-06-03T00:00:00"/>
        <d v="2012-06-04T00:00:00"/>
        <d v="2012-06-05T00:00:00"/>
        <d v="2012-06-06T00:00:00"/>
        <d v="2012-06-07T00:00:00"/>
        <d v="2012-06-08T00:00:00"/>
        <d v="2012-06-09T00:00:00"/>
        <d v="2012-06-10T00:00:00"/>
        <d v="2012-06-11T00:00:00"/>
        <d v="2012-06-12T00:00:00"/>
        <d v="2012-06-13T00:00:00"/>
        <d v="2012-06-14T00:00:00"/>
        <d v="2012-06-15T00:00:00"/>
        <d v="2012-06-16T00:00:00"/>
        <d v="2012-06-17T00:00:00"/>
        <d v="2012-06-18T00:00:00"/>
        <d v="2012-06-19T00:00:00"/>
        <d v="2012-06-20T00:00:00"/>
        <d v="2012-06-21T00:00:00"/>
        <d v="2012-06-22T00:00:00"/>
        <d v="2012-06-23T00:00:00"/>
        <d v="2012-06-24T00:00:00"/>
        <d v="2012-06-25T00:00:00"/>
        <d v="2012-06-26T00:00:00"/>
        <d v="2012-06-27T00:00:00"/>
        <d v="2012-06-28T00:00:00"/>
        <d v="2012-06-29T00:00:00"/>
        <d v="2012-06-30T00:00:00"/>
        <d v="2012-07-01T00:00:00"/>
        <d v="2012-07-02T00:00:00"/>
        <d v="2012-07-03T00:00:00"/>
        <d v="2012-07-04T00:00:00"/>
        <d v="2012-07-05T00:00:00"/>
        <d v="2012-07-06T00:00:00"/>
        <d v="2012-07-07T00:00:00"/>
        <d v="2012-07-08T00:00:00"/>
        <d v="2012-07-09T00:00:00"/>
        <d v="2012-07-10T00:00:00"/>
        <d v="2012-07-11T00:00:00"/>
        <d v="2012-07-12T00:00:00"/>
        <d v="2012-07-13T00:00:00"/>
        <d v="2012-07-14T00:00:00"/>
        <d v="2012-07-15T00:00:00"/>
        <d v="2012-07-16T00:00:00"/>
        <d v="2012-07-17T00:00:00"/>
        <d v="2012-07-18T00:00:00"/>
        <d v="2012-07-19T00:00:00"/>
        <d v="2012-07-20T00:00:00"/>
        <d v="2012-07-21T00:00:00"/>
        <d v="2012-07-22T00:00:00"/>
        <d v="2012-07-23T00:00:00"/>
        <d v="2012-07-24T00:00:00"/>
        <d v="2012-07-25T00:00:00"/>
        <d v="2012-07-26T00:00:00"/>
        <d v="2012-07-27T00:00:00"/>
        <d v="2012-07-28T00:00:00"/>
        <d v="2012-07-29T00:00:00"/>
        <d v="2012-07-30T00:00:00"/>
        <d v="2012-07-31T00:00:00"/>
        <d v="2012-08-01T00:00:00"/>
        <d v="2012-08-02T00:00:00"/>
        <d v="2012-08-03T00:00:00"/>
        <d v="2012-08-04T00:00:00"/>
        <d v="2012-08-05T00:00:00"/>
        <d v="2012-08-06T00:00:00"/>
        <d v="2012-08-07T00:00:00"/>
        <d v="2012-08-08T00:00:00"/>
        <d v="2012-08-09T00:00:00"/>
        <d v="2012-08-10T00:00:00"/>
        <d v="2012-08-11T00:00:00"/>
        <d v="2012-08-12T00:00:00"/>
        <d v="2012-08-13T00:00:00"/>
        <d v="2012-08-14T00:00:00"/>
        <d v="2012-08-15T00:00:00"/>
        <d v="2012-08-16T00:00:00"/>
        <d v="2012-08-17T00:00:00"/>
        <d v="2012-08-18T00:00:00"/>
        <d v="2012-08-19T00:00:00"/>
        <d v="2012-08-20T00:00:00"/>
        <d v="2012-08-21T00:00:00"/>
        <d v="2012-08-22T00:00:00"/>
        <d v="2012-08-23T00:00:00"/>
        <d v="2012-08-24T00:00:00"/>
        <d v="2012-08-25T00:00:00"/>
        <d v="2012-08-26T00:00:00"/>
        <d v="2012-08-27T00:00:00"/>
        <d v="2012-08-28T00:00:00"/>
        <d v="2012-08-29T00:00:00"/>
        <d v="2012-08-30T00:00:00"/>
        <d v="2012-08-31T00:00:00"/>
        <d v="2012-09-01T00:00:00"/>
        <d v="2012-09-02T00:00:00"/>
        <d v="2012-09-03T00:00:00"/>
        <d v="2012-09-04T00:00:00"/>
        <d v="2012-09-05T00:00:00"/>
        <d v="2012-09-06T00:00:00"/>
        <d v="2012-09-07T00:00:00"/>
        <d v="2012-09-08T00:00:00"/>
        <d v="2012-09-09T00:00:00"/>
        <d v="2012-09-10T00:00:00"/>
        <d v="2012-09-11T00:00:00"/>
        <d v="2012-09-12T00:00:00"/>
        <d v="2012-09-13T00:00:00"/>
        <d v="2012-09-14T00:00:00"/>
        <d v="2012-09-15T00:00:00"/>
        <d v="2012-09-16T00:00:00"/>
        <d v="2012-09-17T00:00:00"/>
        <d v="2012-09-18T00:00:00"/>
        <d v="2012-09-19T00:00:00"/>
        <d v="2012-09-20T00:00:00"/>
        <d v="2012-09-21T00:00:00"/>
        <d v="2012-09-22T00:00:00"/>
        <d v="2012-09-23T00:00:00"/>
        <d v="2012-09-24T00:00:00"/>
        <d v="2012-09-25T00:00:00"/>
        <d v="2012-09-26T00:00:00"/>
        <d v="2012-09-27T00:00:00"/>
        <d v="2012-09-28T00:00:00"/>
        <d v="2012-09-29T00:00:00"/>
        <d v="2012-09-30T00:00:00"/>
        <d v="2012-10-01T00:00:00"/>
        <d v="2012-10-02T00:00:00"/>
        <d v="2012-10-03T00:00:00"/>
        <d v="2012-10-04T00:00:00"/>
        <d v="2012-10-05T00:00:00"/>
        <d v="2012-10-06T00:00:00"/>
        <d v="2012-10-07T00:00:00"/>
        <d v="2012-10-08T00:00:00"/>
        <d v="2012-10-09T00:00:00"/>
        <d v="2012-10-10T00:00:00"/>
        <d v="2012-10-11T00:00:00"/>
        <d v="2012-10-12T00:00:00"/>
        <d v="2012-10-13T00:00:00"/>
        <d v="2012-10-14T00:00:00"/>
        <d v="2012-10-15T00:00:00"/>
        <d v="2012-10-16T00:00:00"/>
        <d v="2012-10-17T00:00:00"/>
        <d v="2012-10-18T00:00:00"/>
        <d v="2012-10-19T00:00:00"/>
        <d v="2012-10-20T00:00:00"/>
        <d v="2012-10-21T00:00:00"/>
        <d v="2012-10-22T00:00:00"/>
        <d v="2012-10-23T00:00:00"/>
        <d v="2012-10-24T00:00:00"/>
        <d v="2012-10-25T00:00:00"/>
        <d v="2012-10-26T00:00:00"/>
        <d v="2012-10-27T00:00:00"/>
        <d v="2012-10-28T00:00:00"/>
        <d v="2012-10-29T00:00:00"/>
        <d v="2012-10-30T00:00:00"/>
        <d v="2012-10-31T00:00:00"/>
        <d v="2012-11-01T00:00:00"/>
        <d v="2012-11-02T00:00:00"/>
        <d v="2012-11-03T00:00:00"/>
        <d v="2012-11-04T00:00:00"/>
        <d v="2012-11-05T00:00:00"/>
        <d v="2012-11-06T00:00:00"/>
        <d v="2012-11-07T00:00:00"/>
        <d v="2012-11-08T00:00:00"/>
        <d v="2012-11-09T00:00:00"/>
        <d v="2012-11-10T00:00:00"/>
        <d v="2012-11-11T00:00:00"/>
        <d v="2012-11-12T00:00:00"/>
        <d v="2012-11-13T00:00:00"/>
        <d v="2012-11-14T00:00:00"/>
        <d v="2012-11-15T00:00:00"/>
        <d v="2012-11-16T00:00:00"/>
        <d v="2012-11-17T00:00:00"/>
        <d v="2012-11-18T00:00:00"/>
        <d v="2012-11-19T00:00:00"/>
        <d v="2012-11-20T00:00:00"/>
        <d v="2012-11-21T00:00:00"/>
        <d v="2012-11-22T00:00:00"/>
        <d v="2012-11-23T00:00:00"/>
        <d v="2012-11-24T00:00:00"/>
        <d v="2012-11-25T00:00:00"/>
        <d v="2012-11-26T00:00:00"/>
        <d v="2012-11-27T00:00:00"/>
        <d v="2012-11-28T00:00:00"/>
        <d v="2012-11-29T00:00:00"/>
        <d v="2012-11-30T00:00:00"/>
        <d v="2012-12-01T00:00:00"/>
        <d v="2012-12-02T00:00:00"/>
        <d v="2012-12-03T00:00:00"/>
        <d v="2012-12-04T00:00:00"/>
        <d v="2012-12-05T00:00:00"/>
        <d v="2012-12-06T00:00:00"/>
        <d v="2012-12-07T00:00:00"/>
        <d v="2012-12-08T00:00:00"/>
        <d v="2012-12-09T00:00:00"/>
        <d v="2012-12-10T00:00:00"/>
        <d v="2012-12-11T00:00:00"/>
        <d v="2012-12-12T00:00:00"/>
        <d v="2012-12-13T00:00:00"/>
        <d v="2012-12-14T00:00:00"/>
        <d v="2012-12-15T00:00:00"/>
        <d v="2012-12-16T00:00:00"/>
        <d v="2012-12-17T00:00:00"/>
        <d v="2012-12-18T00:00:00"/>
        <d v="2012-12-19T00:00:00"/>
        <d v="2012-12-20T00:00:00"/>
        <d v="2012-12-21T00:00:00"/>
        <d v="2012-12-22T00:00:00"/>
        <d v="2012-12-23T00:00:00"/>
        <d v="2012-12-24T00:00:00"/>
        <d v="2012-12-25T00:00:00"/>
        <d v="2012-12-26T00:00:00"/>
        <d v="2012-12-27T00:00:00"/>
        <d v="2012-12-28T00:00:00"/>
        <d v="2012-12-29T00:00:00"/>
        <d v="2012-12-30T00:00:00"/>
        <d v="2012-12-31T00:00:00"/>
        <d v="2013-01-01T00:00:00"/>
        <d v="2013-01-02T00:00:00"/>
        <d v="2013-01-03T00:00:00"/>
        <d v="2013-01-04T00:00:00"/>
        <d v="2013-01-05T00:00:00"/>
        <d v="2013-01-06T00:00:00"/>
        <d v="2013-01-07T00:00:00"/>
        <d v="2013-01-08T00:00:00"/>
        <d v="2013-01-09T00:00:00"/>
        <d v="2013-01-10T00:00:00"/>
        <d v="2013-01-11T00:00:00"/>
        <d v="2013-01-12T00:00:00"/>
        <d v="2013-01-13T00:00:00"/>
        <d v="2013-01-14T00:00:00"/>
        <d v="2013-01-15T00:00:00"/>
        <d v="2013-01-16T00:00:00"/>
        <d v="2013-01-17T00:00:00"/>
        <d v="2013-01-18T00:00:00"/>
        <d v="2013-01-19T00:00:00"/>
        <d v="2013-01-20T00:00:00"/>
        <d v="2013-01-21T00:00:00"/>
        <d v="2013-01-22T00:00:00"/>
        <d v="2013-01-23T00:00:00"/>
        <d v="2013-01-24T00:00:00"/>
        <d v="2013-01-25T00:00:00"/>
        <d v="2013-01-26T00:00:00"/>
        <d v="2013-01-27T00:00:00"/>
        <d v="2013-01-28T00:00:00"/>
        <d v="2013-01-29T00:00:00"/>
        <d v="2013-01-30T00:00:00"/>
        <d v="2013-01-31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8T00:00:00"/>
        <d v="2013-02-19T00:00:00"/>
        <d v="2013-02-20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3-29T00:00:00"/>
        <d v="2013-03-30T00:00:00"/>
        <d v="2013-03-31T00:00:00"/>
        <d v="2013-04-01T00:00:00"/>
        <d v="2013-04-02T00:00:00"/>
        <d v="2013-04-03T00:00:00"/>
        <d v="2013-04-04T00:00:00"/>
        <d v="2013-04-05T00:00:00"/>
        <d v="2013-04-06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4-29T00:00:00"/>
        <d v="2013-04-30T00:00:00"/>
        <d v="2013-05-01T00:00:00"/>
        <d v="2013-05-02T00:00:00"/>
        <d v="2013-05-03T00:00:00"/>
        <d v="2013-05-04T00:00:00"/>
        <d v="2013-05-05T00:00:00"/>
        <d v="2013-05-06T00:00:00"/>
        <d v="2013-05-07T00:00:00"/>
        <d v="2013-05-08T00:00:00"/>
        <d v="2013-05-09T00:00:00"/>
        <d v="2013-05-10T00:00:00"/>
        <d v="2013-05-11T00:00:00"/>
        <d v="2013-05-12T00:00:00"/>
        <d v="2013-05-13T00:00:00"/>
        <d v="2013-05-14T00:00:00"/>
        <d v="2013-05-15T00:00:00"/>
        <d v="2013-05-16T00:00:00"/>
        <d v="2013-05-17T00:00:00"/>
        <d v="2013-05-18T00:00:00"/>
        <d v="2013-05-19T00:00:00"/>
        <d v="2013-05-20T00:00:00"/>
        <d v="2013-05-21T00:00:00"/>
        <d v="2013-05-22T00:00:00"/>
        <d v="2013-05-23T00:00:00"/>
        <d v="2013-05-24T00:00:00"/>
        <d v="2013-05-25T00:00:00"/>
        <d v="2013-05-26T00:00:00"/>
        <d v="2013-05-27T00:00:00"/>
        <d v="2013-05-28T00:00:00"/>
        <d v="2013-05-29T00:00:00"/>
        <d v="2013-05-30T00:00:00"/>
        <d v="2013-05-31T00:00:00"/>
        <d v="2013-06-01T00:00:00"/>
        <d v="2013-06-02T00:00:00"/>
        <d v="2013-06-03T00:00:00"/>
        <d v="2013-06-04T00:00:00"/>
        <d v="2013-06-05T00:00:00"/>
        <d v="2013-06-06T00:00:00"/>
        <d v="2013-06-07T00:00:00"/>
        <d v="2013-06-08T00:00:00"/>
        <d v="2013-06-09T00:00:00"/>
        <d v="2013-06-10T00:00:00"/>
        <d v="2013-06-11T00:00:00"/>
        <d v="2013-06-12T00:00:00"/>
        <d v="2013-06-13T00:00:00"/>
        <d v="2013-06-14T00:00:00"/>
        <d v="2013-06-15T00:00:00"/>
        <d v="2013-06-16T00:00:00"/>
        <d v="2013-06-17T00:00:00"/>
        <d v="2013-06-18T00:00:00"/>
        <d v="2013-06-19T00:00:00"/>
        <d v="2013-06-20T00:00:00"/>
        <d v="2013-06-21T00:00:00"/>
        <d v="2013-06-22T00:00:00"/>
        <d v="2013-06-23T00:00:00"/>
        <d v="2013-06-24T00:00:00"/>
        <d v="2013-06-25T00:00:00"/>
        <d v="2013-06-26T00:00:00"/>
        <d v="2013-06-27T00:00:00"/>
        <d v="2013-06-28T00:00:00"/>
        <d v="2013-06-29T00:00:00"/>
        <d v="2013-06-30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7-29T00:00:00"/>
        <d v="2013-07-30T00:00:00"/>
        <d v="2013-07-31T00:00:00"/>
        <d v="2013-08-01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7T00:00:00"/>
        <d v="2013-08-18T00:00:00"/>
        <d v="2013-08-19T00:00:00"/>
        <d v="2013-08-20T00:00:00"/>
        <d v="2013-08-21T00:00:00"/>
        <d v="2013-08-22T00:00:00"/>
        <d v="2013-08-23T00:00:00"/>
        <d v="2013-08-24T00:00:00"/>
        <d v="2013-08-25T00:00:00"/>
        <d v="2013-08-26T00:00:00"/>
        <d v="2013-08-27T00:00:00"/>
        <d v="2013-08-28T00:00:00"/>
        <d v="2013-08-29T00:00:00"/>
        <d v="2013-08-30T00:00:00"/>
        <d v="2013-08-31T00:00:00"/>
        <d v="2013-09-01T00:00:00"/>
        <d v="2013-09-02T00:00:00"/>
        <d v="2013-09-03T00:00:00"/>
        <d v="2013-09-04T00:00:00"/>
        <d v="2013-09-05T00:00:00"/>
        <d v="2013-09-06T00:00:00"/>
        <d v="2013-09-07T00:00:00"/>
        <d v="2013-09-08T00:00:00"/>
        <d v="2013-09-09T00:00:00"/>
        <d v="2013-09-10T00:00:00"/>
        <d v="2013-09-11T00:00:00"/>
        <d v="2013-09-12T00:00:00"/>
        <d v="2013-09-13T00:00:00"/>
        <d v="2013-09-14T00:00:00"/>
        <d v="2013-09-15T00:00:00"/>
        <d v="2013-09-16T00:00:00"/>
        <d v="2013-09-17T00:00:00"/>
        <d v="2013-09-18T00:00:00"/>
        <d v="2013-09-19T00:00:00"/>
        <d v="2013-09-20T00:00:00"/>
        <d v="2013-09-21T00:00:00"/>
        <d v="2013-09-22T00:00:00"/>
        <d v="2013-09-23T00:00:00"/>
        <d v="2013-09-24T00:00:00"/>
        <d v="2013-09-25T00:00:00"/>
        <d v="2013-09-26T00:00:00"/>
        <d v="2013-09-27T00:00:00"/>
        <d v="2013-09-28T00:00:00"/>
        <d v="2013-09-29T00:00:00"/>
        <d v="2013-09-30T00:00:00"/>
        <d v="2013-10-01T00:00:00"/>
        <d v="2013-10-02T00:00:00"/>
        <d v="2013-10-03T00:00:00"/>
        <d v="2013-10-04T00:00:00"/>
        <d v="2013-10-05T00:00:00"/>
        <d v="2013-10-06T00:00:00"/>
        <d v="2013-10-07T00:00:00"/>
        <d v="2013-10-08T00:00:00"/>
        <d v="2013-10-09T00:00:00"/>
        <d v="2013-10-10T00:00:00"/>
        <d v="2013-10-11T00:00:00"/>
        <d v="2013-10-12T00:00:00"/>
        <d v="2013-10-13T00:00:00"/>
        <d v="2013-10-14T00:00:00"/>
        <d v="2013-10-15T00:00:00"/>
        <d v="2013-10-16T00:00:00"/>
        <d v="2013-10-17T00:00:00"/>
        <d v="2013-10-18T00:00:00"/>
        <d v="2013-10-19T00:00:00"/>
        <d v="2013-10-20T00:00:00"/>
        <d v="2013-10-21T00:00:00"/>
        <d v="2013-10-22T00:00:00"/>
        <d v="2013-10-23T00:00:00"/>
        <d v="2013-10-24T00:00:00"/>
        <d v="2013-10-25T00:00:00"/>
        <d v="2013-10-26T00:00:00"/>
        <d v="2013-10-27T00:00:00"/>
        <d v="2013-10-28T00:00:00"/>
        <d v="2013-10-29T00:00:00"/>
        <d v="2013-10-30T00:00:00"/>
        <d v="2013-10-31T00:00:00"/>
        <d v="2013-11-01T00:00:00"/>
        <d v="2013-11-02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1-29T00:00:00"/>
        <d v="2013-11-30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2T00:00:00"/>
        <d v="2013-12-23T00:00:00"/>
        <d v="2013-12-24T00:00:00"/>
        <d v="2013-12-25T00:00:00"/>
        <d v="2013-12-26T00:00:00"/>
        <d v="2013-12-27T00:00:00"/>
        <d v="2013-12-28T00:00:00"/>
        <d v="2013-12-29T00:00:00"/>
        <d v="2013-12-30T00:00:00"/>
        <d v="2013-12-31T00:00:00"/>
        <d v="2014-01-01T00:00:00"/>
        <d v="2014-01-02T00:00:00"/>
        <d v="2014-01-03T00:00:00"/>
        <d v="2014-01-04T00:00:00"/>
        <d v="2014-01-05T00:00:00"/>
        <d v="2014-01-06T00:00:00"/>
        <d v="2014-01-07T00:00:00"/>
        <d v="2014-01-08T00:00:00"/>
        <d v="2014-01-09T00:00:00"/>
        <d v="2014-01-10T00:00:00"/>
        <d v="2014-01-11T00:00:00"/>
        <d v="2014-01-12T00:00:00"/>
        <d v="2014-01-13T00:00:00"/>
        <d v="2014-01-14T00:00:00"/>
        <d v="2014-01-15T00:00:00"/>
        <d v="2014-01-16T00:00:00"/>
        <d v="2014-01-17T00:00:00"/>
        <d v="2014-01-18T00:00:00"/>
        <d v="2014-01-19T00:00:00"/>
        <d v="2014-01-20T00:00:00"/>
        <d v="2014-01-21T00:00:00"/>
        <d v="2014-01-22T00:00:00"/>
        <d v="2014-01-23T00:00:00"/>
        <d v="2014-01-24T00:00:00"/>
        <d v="2014-01-25T00:00:00"/>
        <d v="2014-01-26T00:00:00"/>
        <d v="2014-01-27T00:00:00"/>
        <d v="2014-01-28T00:00:00"/>
        <d v="2014-01-29T00:00:00"/>
        <d v="2014-01-30T00:00:00"/>
        <d v="2014-01-31T00:00:00"/>
        <d v="2014-02-01T00:00:00"/>
        <d v="2014-02-02T00:00:00"/>
        <d v="2014-02-03T00:00:00"/>
        <d v="2014-02-04T00:00:00"/>
        <d v="2014-02-05T00:00:00"/>
        <d v="2014-02-06T00:00:00"/>
        <d v="2014-02-07T00:00:00"/>
        <d v="2014-02-08T00:00:00"/>
        <d v="2014-02-09T00:00:00"/>
        <d v="2014-02-10T00:00:00"/>
        <d v="2014-02-11T00:00:00"/>
        <d v="2014-02-12T00:00:00"/>
        <d v="2014-02-13T00:00:00"/>
        <d v="2014-02-14T00:00:00"/>
        <d v="2014-02-15T00:00:00"/>
        <d v="2014-02-16T00:00:00"/>
        <d v="2014-02-17T00:00:00"/>
        <d v="2014-02-18T00:00:00"/>
        <d v="2014-02-19T00:00:00"/>
        <d v="2014-02-20T00:00:00"/>
        <d v="2014-02-21T00:00:00"/>
        <d v="2014-02-22T00:00:00"/>
        <d v="2014-02-23T00:00:00"/>
        <d v="2014-02-24T00:00:00"/>
        <d v="2014-02-25T00:00:00"/>
        <d v="2014-02-26T00:00:00"/>
        <d v="2014-02-27T00:00:00"/>
        <d v="2014-02-28T00:00:00"/>
        <d v="2014-03-01T00:00:00"/>
        <d v="2014-03-02T00:00:00"/>
        <d v="2014-03-03T00:00:00"/>
        <d v="2014-03-04T00:00:00"/>
        <d v="2014-03-05T00:00:00"/>
        <d v="2014-03-06T00:00:00"/>
        <d v="2014-03-07T00:00:00"/>
        <d v="2014-03-08T00:00:00"/>
        <d v="2014-03-09T00:00:00"/>
        <d v="2014-03-10T00:00:00"/>
        <d v="2014-03-11T00:00:00"/>
        <d v="2014-03-12T00:00:00"/>
        <d v="2014-03-13T00:00:00"/>
        <d v="2014-03-14T00:00:00"/>
        <d v="2014-03-15T00:00:00"/>
        <d v="2014-03-16T00:00:00"/>
        <d v="2014-03-17T00:00:00"/>
        <d v="2014-03-18T00:00:00"/>
        <d v="2014-03-19T00:00:00"/>
        <d v="2014-03-20T00:00:00"/>
        <d v="2014-03-21T00:00:00"/>
        <d v="2014-03-22T00:00:00"/>
        <d v="2014-03-23T00:00:00"/>
        <d v="2014-03-24T00:00:00"/>
        <d v="2014-03-25T00:00:00"/>
        <d v="2014-03-26T00:00:00"/>
        <d v="2014-03-27T00:00:00"/>
        <d v="2014-03-28T00:00:00"/>
        <d v="2014-03-29T00:00:00"/>
        <d v="2014-03-30T00:00:00"/>
        <d v="2014-03-31T00:00:00"/>
        <d v="2014-04-01T00:00:00"/>
        <d v="2014-04-02T00:00:00"/>
        <d v="2014-04-03T00:00:00"/>
        <d v="2014-04-04T00:00:00"/>
        <d v="2014-04-05T00:00:00"/>
        <d v="2014-04-06T00:00:00"/>
        <d v="2014-04-07T00:00:00"/>
        <d v="2014-04-08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4T00:00:00"/>
        <d v="2014-04-25T00:00:00"/>
        <d v="2014-04-26T00:00:00"/>
        <d v="2014-04-27T00:00:00"/>
        <d v="2014-04-28T00:00:00"/>
        <d v="2014-04-29T00:00:00"/>
        <d v="2014-04-30T00:00:00"/>
        <d v="2014-05-01T00:00:00"/>
        <d v="2014-05-02T00:00:00"/>
        <d v="2014-05-03T00:00:00"/>
        <d v="2014-05-04T00:00:00"/>
        <d v="2014-05-05T00:00:00"/>
        <d v="2014-05-06T00:00:00"/>
        <d v="2014-05-07T00:00:00"/>
        <d v="2014-05-08T00:00:00"/>
        <d v="2014-05-09T00:00:00"/>
        <d v="2014-05-10T00:00:00"/>
        <d v="2014-05-11T00:00:00"/>
        <d v="2014-05-12T00:00:00"/>
        <d v="2014-05-13T00:00:00"/>
        <d v="2014-05-14T00:00:00"/>
        <d v="2014-05-15T00:00:00"/>
        <d v="2014-05-16T00:00:00"/>
        <d v="2014-05-17T00:00:00"/>
        <d v="2014-05-18T00:00:00"/>
        <d v="2014-05-19T00:00:00"/>
        <d v="2014-05-20T00:00:00"/>
        <d v="2014-05-21T00:00:00"/>
        <d v="2014-05-22T00:00:00"/>
        <d v="2014-05-23T00:00:00"/>
        <d v="2014-05-24T00:00:00"/>
        <d v="2014-05-25T00:00:00"/>
        <d v="2014-05-26T00:00:00"/>
        <d v="2014-05-27T00:00:00"/>
        <d v="2014-05-28T00:00:00"/>
        <d v="2014-05-29T00:00:00"/>
        <d v="2014-05-30T00:00:00"/>
        <d v="2014-05-31T00:00:00"/>
        <d v="2014-06-01T00:00:00"/>
        <d v="2014-06-02T00:00:00"/>
        <d v="2014-06-03T00:00:00"/>
        <d v="2014-06-04T00:00:00"/>
        <d v="2014-06-05T00:00:00"/>
        <d v="2014-06-06T00:00:00"/>
        <d v="2014-06-07T00:00:00"/>
        <d v="2014-06-08T00:00:00"/>
        <d v="2014-06-09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6-29T00:00:00"/>
        <d v="2014-06-30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3T00:00:00"/>
        <d v="2014-07-24T00:00:00"/>
        <d v="2014-07-25T00:00:00"/>
        <d v="2014-07-26T00:00:00"/>
        <d v="2014-07-27T00:00:00"/>
        <d v="2014-07-28T00:00:00"/>
        <d v="2014-07-29T00:00:00"/>
        <d v="2014-07-30T00:00:00"/>
        <d v="2014-07-31T00:00:00"/>
        <d v="2014-08-01T00:00:00"/>
        <d v="2014-08-02T00:00:00"/>
        <d v="2014-08-03T00:00:00"/>
        <d v="2014-08-04T00:00:00"/>
        <d v="2014-08-05T00:00:00"/>
        <d v="2014-08-06T00:00:00"/>
        <d v="2014-08-07T00:00:00"/>
        <d v="2014-08-08T00:00:00"/>
        <d v="2014-08-09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8-29T00:00:00"/>
        <d v="2014-08-30T00:00:00"/>
        <d v="2014-08-31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4T00:00:00"/>
        <d v="2014-09-25T00:00:00"/>
        <d v="2014-09-26T00:00:00"/>
        <d v="2014-09-27T00:00:00"/>
        <d v="2014-09-28T00:00:00"/>
        <d v="2014-09-29T00:00:00"/>
        <d v="2014-09-30T00:00:00"/>
        <d v="2014-10-01T00:00:00"/>
        <d v="2014-10-02T00:00:00"/>
        <d v="2014-10-03T00:00:00"/>
        <d v="2014-10-04T00:00:00"/>
        <d v="2014-10-05T00:00:00"/>
        <d v="2014-10-06T00:00:00"/>
        <d v="2014-10-07T00:00:00"/>
        <d v="2014-10-08T00:00:00"/>
        <d v="2014-10-09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5T00:00:00"/>
        <d v="2014-10-26T00:00:00"/>
        <d v="2014-10-27T00:00:00"/>
        <d v="2014-10-28T00:00:00"/>
        <d v="2014-10-29T00:00:00"/>
        <d v="2014-10-30T00:00:00"/>
        <d v="2014-10-31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7T00:00:00"/>
        <d v="2014-11-18T00:00:00"/>
        <d v="2014-11-19T00:00:00"/>
        <d v="2014-11-20T00:00:00"/>
        <d v="2014-11-21T00:00:00"/>
        <d v="2014-11-22T00:00:00"/>
        <d v="2014-11-23T00:00:00"/>
        <d v="2014-11-24T00:00:00"/>
        <d v="2014-11-25T00:00:00"/>
        <d v="2014-11-26T00:00:00"/>
        <d v="2014-11-27T00:00:00"/>
        <d v="2014-11-28T00:00:00"/>
        <d v="2014-11-29T00:00:00"/>
        <d v="2014-11-30T00:00:00"/>
        <d v="2014-12-01T00:00:00"/>
        <d v="2014-12-02T00:00:00"/>
        <d v="2014-12-03T00:00:00"/>
        <d v="2014-12-04T00:00:00"/>
        <d v="2014-12-05T00:00:00"/>
        <d v="2014-12-06T00:00:00"/>
      </sharedItems>
      <fieldGroup par="26"/>
    </cacheField>
    <cacheField name="Inventory Margin" numFmtId="0">
      <sharedItems containsSemiMixedTypes="0" containsString="0" containsNumber="1" containsInteger="1" minValue="-3534" maxValue="8252"/>
    </cacheField>
    <cacheField name="Gross Margin" numFmtId="0">
      <sharedItems containsSemiMixedTypes="0" containsString="0" containsNumber="1" containsInteger="1" minValue="-294" maxValue="526"/>
    </cacheField>
    <cacheField name="Market_size" numFmtId="0">
      <sharedItems count="2">
        <s v="Major Market"/>
        <s v="Small Market"/>
      </sharedItems>
    </cacheField>
    <cacheField name="Market" numFmtId="0">
      <sharedItems count="4">
        <s v="Central"/>
        <s v="South"/>
        <s v="East"/>
        <s v="West"/>
      </sharedItems>
    </cacheField>
    <cacheField name="Marketing" numFmtId="0">
      <sharedItems containsSemiMixedTypes="0" containsString="0" containsNumber="1" containsInteger="1" minValue="0" maxValue="122"/>
    </cacheField>
    <cacheField name="Product_line" numFmtId="0">
      <sharedItems count="2">
        <s v="Leaves"/>
        <s v="Beans"/>
      </sharedItems>
    </cacheField>
    <cacheField name="Product_type" numFmtId="0">
      <sharedItems count="4">
        <s v="Herbal Tea"/>
        <s v="Tea"/>
        <s v="Espresso"/>
        <s v="Coffee"/>
      </sharedItems>
    </cacheField>
    <cacheField name="Product" numFmtId="0">
      <sharedItems count="13">
        <s v="Lemon"/>
        <s v="Mint"/>
        <s v="Darjeeling"/>
        <s v="Green Tea"/>
        <s v="Decaf Espresso"/>
        <s v="Decaf Irish Cream"/>
        <s v="Amaretto"/>
        <s v="Colombian"/>
        <s v="Caffe Mocha"/>
        <s v="Caffe Latte"/>
        <s v="Chamomile"/>
        <s v="Earl Grey"/>
        <s v="Regular Espresso"/>
      </sharedItems>
    </cacheField>
    <cacheField name="Profit" numFmtId="0">
      <sharedItems containsSemiMixedTypes="0" containsString="0" containsNumber="1" containsInteger="1" minValue="-605" maxValue="646" count="238">
        <n v="-5"/>
        <n v="26"/>
        <n v="28"/>
        <n v="35"/>
        <n v="56"/>
        <n v="31"/>
        <n v="21"/>
        <n v="7"/>
        <n v="37"/>
        <n v="33"/>
        <n v="24"/>
        <n v="-7"/>
        <n v="1"/>
        <n v="-2"/>
        <n v="12"/>
        <n v="-6"/>
        <n v="45"/>
        <n v="47"/>
        <n v="36"/>
        <n v="64"/>
        <n v="76"/>
        <n v="48"/>
        <n v="27"/>
        <n v="-8"/>
        <n v="44"/>
        <n v="15"/>
        <n v="29"/>
        <n v="30"/>
        <n v="34"/>
        <n v="14"/>
        <n v="20"/>
        <n v="49"/>
        <n v="13"/>
        <n v="52"/>
        <n v="23"/>
        <n v="50"/>
        <n v="53"/>
        <n v="-3"/>
        <n v="16"/>
        <n v="17"/>
        <n v="39"/>
        <n v="42"/>
        <n v="83"/>
        <n v="46"/>
        <n v="10"/>
        <n v="55"/>
        <n v="-10"/>
        <n v="18"/>
        <n v="-9"/>
        <n v="67"/>
        <n v="70"/>
        <n v="95"/>
        <n v="113"/>
        <n v="71"/>
        <n v="40"/>
        <n v="-12"/>
        <n v="65"/>
        <n v="22"/>
        <n v="43"/>
        <n v="73"/>
        <n v="19"/>
        <n v="77"/>
        <n v="74"/>
        <n v="79"/>
        <n v="-4"/>
        <n v="25"/>
        <n v="0"/>
        <n v="57"/>
        <n v="38"/>
        <n v="-20"/>
        <n v="6"/>
        <n v="32"/>
        <n v="8"/>
        <n v="117"/>
        <n v="85"/>
        <n v="-30"/>
        <n v="9"/>
        <n v="-26"/>
        <n v="11"/>
        <n v="5"/>
        <n v="2"/>
        <n v="-39"/>
        <n v="-13"/>
        <n v="3"/>
        <n v="-11"/>
        <n v="58"/>
        <n v="-16"/>
        <n v="82"/>
        <n v="68"/>
        <n v="86"/>
        <n v="-18"/>
        <n v="-24"/>
        <n v="78"/>
        <n v="59"/>
        <n v="51"/>
        <n v="116"/>
        <n v="96"/>
        <n v="88"/>
        <n v="185"/>
        <n v="133"/>
        <n v="87"/>
        <n v="174"/>
        <n v="127"/>
        <n v="62"/>
        <n v="89"/>
        <n v="188"/>
        <n v="72"/>
        <n v="66"/>
        <n v="-15"/>
        <n v="121"/>
        <n v="275"/>
        <n v="197"/>
        <n v="110"/>
        <n v="129"/>
        <n v="258"/>
        <n v="92"/>
        <n v="105"/>
        <n v="132"/>
        <n v="126"/>
        <n v="279"/>
        <n v="107"/>
        <n v="98"/>
        <n v="-22"/>
        <n v="180"/>
        <n v="114"/>
        <n v="115"/>
        <n v="122"/>
        <n v="171"/>
        <n v="181"/>
        <n v="156"/>
        <n v="60"/>
        <n v="348"/>
        <n v="247"/>
        <n v="-202"/>
        <n v="435"/>
        <n v="-170"/>
        <n v="134"/>
        <n v="63"/>
        <n v="324"/>
        <n v="236"/>
        <n v="108"/>
        <n v="381"/>
        <n v="204"/>
        <n v="-156"/>
        <n v="84"/>
        <n v="390"/>
        <n v="271"/>
        <n v="-224"/>
        <n v="312"/>
        <n v="309"/>
        <n v="-189"/>
        <n v="516"/>
        <n v="367"/>
        <n v="-300"/>
        <n v="137"/>
        <n v="646"/>
        <n v="191"/>
        <n v="-252"/>
        <n v="199"/>
        <n v="93"/>
        <n v="481"/>
        <n v="350"/>
        <n v="160"/>
        <n v="565"/>
        <n v="303"/>
        <n v="-232"/>
        <n v="125"/>
        <n v="579"/>
        <n v="402"/>
        <n v="-332"/>
        <n v="463"/>
        <n v="459"/>
        <n v="-280"/>
        <n v="149"/>
        <n v="120"/>
        <n v="224"/>
        <n v="61"/>
        <n v="183"/>
        <n v="106"/>
        <n v="128"/>
        <n v="139"/>
        <n v="196"/>
        <n v="173"/>
        <n v="157"/>
        <n v="194"/>
        <n v="216"/>
        <n v="-1"/>
        <n v="123"/>
        <n v="172"/>
        <n v="221"/>
        <n v="178"/>
        <n v="332"/>
        <n v="91"/>
        <n v="169"/>
        <n v="272"/>
        <n v="190"/>
        <n v="206"/>
        <n v="291"/>
        <n v="159"/>
        <n v="104"/>
        <n v="257"/>
        <n v="131"/>
        <n v="233"/>
        <n v="288"/>
        <n v="321"/>
        <n v="232"/>
        <n v="-117"/>
        <n v="225"/>
        <n v="-74"/>
        <n v="186"/>
        <n v="-27"/>
        <n v="-363"/>
        <n v="-127"/>
        <n v="-56"/>
        <n v="235"/>
        <n v="138"/>
        <n v="-340"/>
        <n v="-149"/>
        <n v="-88"/>
        <n v="215"/>
        <n v="-408"/>
        <n v="-174"/>
        <n v="334"/>
        <n v="-110"/>
        <n v="276"/>
        <n v="135"/>
        <n v="-40"/>
        <n v="-539"/>
        <n v="-188"/>
        <n v="292"/>
        <n v="-83"/>
        <n v="349"/>
        <n v="205"/>
        <n v="-505"/>
        <n v="-221"/>
        <n v="-131"/>
        <n v="319"/>
        <n v="-605"/>
      </sharedItems>
    </cacheField>
    <cacheField name="Sales" numFmtId="0">
      <sharedItems containsSemiMixedTypes="0" containsString="0" containsNumber="1" containsInteger="1" minValue="21" maxValue="815" count="243">
        <n v="122"/>
        <n v="123"/>
        <n v="107"/>
        <n v="94"/>
        <n v="182"/>
        <n v="43"/>
        <n v="111"/>
        <n v="66"/>
        <n v="68"/>
        <n v="99"/>
        <n v="120"/>
        <n v="114"/>
        <n v="109"/>
        <n v="144"/>
        <n v="77"/>
        <n v="118"/>
        <n v="119"/>
        <n v="205"/>
        <n v="218"/>
        <n v="92"/>
        <n v="164"/>
        <n v="124"/>
        <n v="125"/>
        <n v="88"/>
        <n v="81"/>
        <n v="78"/>
        <n v="121"/>
        <n v="113"/>
        <n v="106"/>
        <n v="141"/>
        <n v="115"/>
        <n v="90"/>
        <n v="147"/>
        <n v="133"/>
        <n v="112"/>
        <n v="127"/>
        <n v="145"/>
        <n v="176"/>
        <n v="101"/>
        <n v="85"/>
        <n v="82"/>
        <n v="131"/>
        <n v="160"/>
        <n v="153"/>
        <n v="139"/>
        <n v="130"/>
        <n v="100"/>
        <n v="194"/>
        <n v="46"/>
        <n v="70"/>
        <n v="72"/>
        <n v="128"/>
        <n v="116"/>
        <n v="126"/>
        <n v="232"/>
        <n v="98"/>
        <n v="175"/>
        <n v="132"/>
        <n v="86"/>
        <n v="83"/>
        <n v="129"/>
        <n v="150"/>
        <n v="96"/>
        <n v="157"/>
        <n v="142"/>
        <n v="135"/>
        <n v="155"/>
        <n v="188"/>
        <n v="108"/>
        <n v="91"/>
        <n v="87"/>
        <n v="140"/>
        <n v="171"/>
        <n v="163"/>
        <n v="148"/>
        <n v="174"/>
        <n v="187"/>
        <n v="51"/>
        <n v="58"/>
        <n v="177"/>
        <n v="159"/>
        <n v="80"/>
        <n v="56"/>
        <n v="74"/>
        <n v="103"/>
        <n v="69"/>
        <n v="185"/>
        <n v="199"/>
        <n v="54"/>
        <n v="62"/>
        <n v="189"/>
        <n v="151"/>
        <n v="169"/>
        <n v="75"/>
        <n v="60"/>
        <n v="79"/>
        <n v="110"/>
        <n v="52"/>
        <n v="64"/>
        <n v="76"/>
        <n v="73"/>
        <n v="89"/>
        <n v="84"/>
        <n v="55"/>
        <n v="95"/>
        <n v="138"/>
        <n v="184"/>
        <n v="168"/>
        <n v="134"/>
        <n v="196"/>
        <n v="179"/>
        <n v="104"/>
        <n v="53"/>
        <n v="61"/>
        <n v="63"/>
        <n v="39"/>
        <n v="41"/>
        <n v="45"/>
        <n v="65"/>
        <n v="67"/>
        <n v="42"/>
        <n v="44"/>
        <n v="48"/>
        <n v="201"/>
        <n v="520"/>
        <n v="302"/>
        <n v="236"/>
        <n v="230"/>
        <n v="490"/>
        <n v="290"/>
        <n v="197"/>
        <n v="200"/>
        <n v="245"/>
        <n v="231"/>
        <n v="224"/>
        <n v="525"/>
        <n v="221"/>
        <n v="320"/>
        <n v="214"/>
        <n v="250"/>
        <n v="554"/>
        <n v="322"/>
        <n v="251"/>
        <n v="522"/>
        <n v="309"/>
        <n v="210"/>
        <n v="213"/>
        <n v="261"/>
        <n v="246"/>
        <n v="239"/>
        <n v="559"/>
        <n v="341"/>
        <n v="228"/>
        <n v="266"/>
        <n v="313"/>
        <n v="325"/>
        <n v="289"/>
        <n v="334"/>
        <n v="346"/>
        <n v="308"/>
        <n v="202"/>
        <n v="474"/>
        <n v="650"/>
        <n v="765"/>
        <n v="513"/>
        <n v="265"/>
        <n v="180"/>
        <n v="454"/>
        <n v="623"/>
        <n v="363"/>
        <n v="675"/>
        <n v="576"/>
        <n v="198"/>
        <n v="195"/>
        <n v="510"/>
        <n v="699"/>
        <n v="306"/>
        <n v="657"/>
        <n v="747"/>
        <n v="215"/>
        <n v="505"/>
        <n v="693"/>
        <n v="343"/>
        <n v="815"/>
        <n v="547"/>
        <n v="282"/>
        <n v="192"/>
        <n v="484"/>
        <n v="664"/>
        <n v="387"/>
        <n v="719"/>
        <n v="614"/>
        <n v="211"/>
        <n v="208"/>
        <n v="543"/>
        <n v="745"/>
        <n v="326"/>
        <n v="700"/>
        <n v="796"/>
        <n v="158"/>
        <n v="298"/>
        <n v="478"/>
        <n v="367"/>
        <n v="598"/>
        <n v="23"/>
        <n v="567"/>
        <n v="278"/>
        <n v="423"/>
        <n v="412"/>
        <n v="532"/>
        <n v="545"/>
        <n v="312"/>
        <n v="501"/>
        <n v="534"/>
        <n v="24"/>
        <n v="654"/>
        <n v="318"/>
        <n v="509"/>
        <n v="391"/>
        <n v="637"/>
        <n v="25"/>
        <n v="604"/>
        <n v="296"/>
        <n v="451"/>
        <n v="439"/>
        <n v="581"/>
        <n v="332"/>
        <n v="569"/>
        <n v="26"/>
        <n v="697"/>
        <n v="167"/>
        <n v="21"/>
        <n v="146"/>
        <n v="156"/>
        <n v="32"/>
        <n v="102"/>
        <n v="31"/>
        <n v="178"/>
        <n v="22"/>
        <n v="136"/>
        <n v="166"/>
        <n v="34"/>
        <n v="33"/>
      </sharedItems>
    </cacheField>
    <cacheField name="State" numFmtId="0">
      <sharedItems count="20">
        <s v="Colorado"/>
        <s v="Texas"/>
        <s v="Florida"/>
        <s v="California"/>
        <s v="Iowa"/>
        <s v="Connecticut"/>
        <s v="Oklahoma"/>
        <s v="Nevada"/>
        <s v="Utah"/>
        <s v="New Hampshire"/>
        <s v="Louisiana"/>
        <s v="Oregon"/>
        <s v="Missouri"/>
        <s v="Wisconsin"/>
        <s v="Washington"/>
        <s v="Massachusetts"/>
        <s v="Illinois"/>
        <s v="New Mexico"/>
        <s v="Ohio"/>
        <s v="New York"/>
      </sharedItems>
    </cacheField>
    <cacheField name="Target_cogs" numFmtId="0">
      <sharedItems containsSemiMixedTypes="0" containsString="0" containsNumber="1" containsInteger="1" minValue="0" maxValue="380"/>
    </cacheField>
    <cacheField name="Target_margin" numFmtId="0">
      <sharedItems containsSemiMixedTypes="0" containsString="0" containsNumber="1" containsInteger="1" minValue="-210" maxValue="580"/>
    </cacheField>
    <cacheField name="Target_profit" numFmtId="0">
      <sharedItems containsSemiMixedTypes="0" containsString="0" containsNumber="1" containsInteger="1" minValue="-320" maxValue="470"/>
    </cacheField>
    <cacheField name="Target_sales " numFmtId="0">
      <sharedItems containsSemiMixedTypes="0" containsString="0" containsNumber="1" containsInteger="1" minValue="0" maxValue="960"/>
    </cacheField>
    <cacheField name="Total_expenses" numFmtId="0">
      <sharedItems containsSemiMixedTypes="0" containsString="0" containsNumber="1" containsInteger="1" minValue="11" maxValue="156"/>
    </cacheField>
    <cacheField name="Type" numFmtId="0">
      <sharedItems count="2">
        <s v="Decaf"/>
        <s v="Regular"/>
      </sharedItems>
    </cacheField>
    <cacheField name="Net Margin%" numFmtId="9">
      <sharedItems containsSemiMixedTypes="0" containsString="0" containsNumber="1" minValue="-24.5" maxValue="1.0662983425414365"/>
    </cacheField>
    <cacheField name="Gross Margin%" numFmtId="9">
      <sharedItems containsSemiMixedTypes="0" containsString="0" containsNumber="1" minValue="-11.142857142857142" maxValue="1"/>
    </cacheField>
    <cacheField name="Other_expenses" numFmtId="0">
      <sharedItems containsSemiMixedTypes="0" containsString="0" containsNumber="1" containsInteger="1" minValue="11" maxValue="52"/>
    </cacheField>
    <cacheField name="Months (Date)" numFmtId="0" databaseField="0">
      <fieldGroup base="3">
        <rangePr groupBy="months" startDate="2012-01-10T00:00:00" endDate="2014-12-07T00:00:00"/>
        <groupItems count="14">
          <s v="&lt;10-01-2012"/>
          <s v="Jan"/>
          <s v="Feb"/>
          <s v="Mar"/>
          <s v="Apr"/>
          <s v="May"/>
          <s v="Jun"/>
          <s v="Jul"/>
          <s v="Aug"/>
          <s v="Sep"/>
          <s v="Oct"/>
          <s v="Nov"/>
          <s v="Dec"/>
          <s v="&gt;07-12-2014"/>
        </groupItems>
      </fieldGroup>
    </cacheField>
    <cacheField name="Quarters (Date)" numFmtId="0" databaseField="0">
      <fieldGroup base="3">
        <rangePr groupBy="quarters" startDate="2012-01-10T00:00:00" endDate="2014-12-07T00:00:00"/>
        <groupItems count="6">
          <s v="&lt;10-01-2012"/>
          <s v="Qtr1"/>
          <s v="Qtr2"/>
          <s v="Qtr3"/>
          <s v="Qtr4"/>
          <s v="&gt;07-12-2014"/>
        </groupItems>
      </fieldGroup>
    </cacheField>
    <cacheField name="Years (Date)" numFmtId="0" databaseField="0">
      <fieldGroup base="3">
        <rangePr groupBy="years" startDate="2012-01-10T00:00:00" endDate="2014-12-07T00:00:00"/>
        <groupItems count="5">
          <s v="&lt;10-01-2012"/>
          <s v="2012"/>
          <s v="2013"/>
          <s v="2014"/>
          <s v="&gt;07-12-2014"/>
        </groupItems>
      </fieldGroup>
    </cacheField>
    <cacheField name="overall_netmargin" numFmtId="0" formula="Sales/Profit" databaseField="0"/>
    <cacheField name="Field1" numFmtId="0" formula=" SUM(Profit) / SUM(Sales)" databaseField="0"/>
  </cacheFields>
  <extLst>
    <ext xmlns:x14="http://schemas.microsoft.com/office/spreadsheetml/2009/9/main" uri="{725AE2AE-9491-48be-B2B4-4EB974FC3084}">
      <x14:pivotCacheDefinition pivotCacheId="1994801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62">
  <r>
    <n v="303"/>
    <x v="0"/>
    <n v="-35"/>
    <x v="0"/>
    <n v="503"/>
    <n v="71"/>
    <x v="0"/>
    <x v="0"/>
    <n v="46"/>
    <x v="0"/>
    <x v="0"/>
    <x v="0"/>
    <x v="0"/>
    <x v="0"/>
    <x v="0"/>
    <n v="30"/>
    <n v="60"/>
    <n v="30"/>
    <n v="90"/>
    <n v="76"/>
    <x v="0"/>
    <n v="-4.0983606557377046E-2"/>
    <n v="0.58196721311475408"/>
    <n v="30"/>
  </r>
  <r>
    <n v="970"/>
    <x v="1"/>
    <n v="-24"/>
    <x v="1"/>
    <n v="405"/>
    <n v="71"/>
    <x v="0"/>
    <x v="0"/>
    <n v="17"/>
    <x v="0"/>
    <x v="0"/>
    <x v="1"/>
    <x v="1"/>
    <x v="1"/>
    <x v="0"/>
    <n v="30"/>
    <n v="60"/>
    <n v="50"/>
    <n v="90"/>
    <n v="45"/>
    <x v="0"/>
    <n v="0.21138211382113822"/>
    <n v="0.57723577235772361"/>
    <n v="28"/>
  </r>
  <r>
    <n v="409"/>
    <x v="2"/>
    <n v="-22"/>
    <x v="2"/>
    <n v="419"/>
    <n v="64"/>
    <x v="0"/>
    <x v="1"/>
    <n v="13"/>
    <x v="0"/>
    <x v="0"/>
    <x v="0"/>
    <x v="2"/>
    <x v="2"/>
    <x v="1"/>
    <n v="30"/>
    <n v="60"/>
    <n v="50"/>
    <n v="90"/>
    <n v="36"/>
    <x v="0"/>
    <n v="0.26168224299065418"/>
    <n v="0.59813084112149528"/>
    <n v="23"/>
  </r>
  <r>
    <n v="850"/>
    <x v="3"/>
    <n v="-15"/>
    <x v="3"/>
    <n v="871"/>
    <n v="56"/>
    <x v="0"/>
    <x v="2"/>
    <n v="10"/>
    <x v="0"/>
    <x v="1"/>
    <x v="2"/>
    <x v="3"/>
    <x v="3"/>
    <x v="2"/>
    <n v="40"/>
    <n v="60"/>
    <n v="50"/>
    <n v="100"/>
    <n v="21"/>
    <x v="1"/>
    <n v="0.37234042553191488"/>
    <n v="0.5957446808510638"/>
    <n v="11"/>
  </r>
  <r>
    <n v="562"/>
    <x v="4"/>
    <n v="6"/>
    <x v="4"/>
    <n v="650"/>
    <n v="110"/>
    <x v="0"/>
    <x v="3"/>
    <n v="23"/>
    <x v="0"/>
    <x v="1"/>
    <x v="3"/>
    <x v="4"/>
    <x v="4"/>
    <x v="3"/>
    <n v="20"/>
    <n v="60"/>
    <n v="50"/>
    <n v="80"/>
    <n v="54"/>
    <x v="1"/>
    <n v="0.30769230769230771"/>
    <n v="0.60439560439560436"/>
    <n v="31"/>
  </r>
  <r>
    <n v="712"/>
    <x v="5"/>
    <n v="-29"/>
    <x v="5"/>
    <n v="430"/>
    <n v="43"/>
    <x v="1"/>
    <x v="0"/>
    <n v="0"/>
    <x v="1"/>
    <x v="2"/>
    <x v="4"/>
    <x v="5"/>
    <x v="5"/>
    <x v="4"/>
    <n v="0"/>
    <n v="60"/>
    <n v="60"/>
    <n v="60"/>
    <n v="12"/>
    <x v="0"/>
    <n v="0.72093023255813948"/>
    <n v="1"/>
    <n v="12"/>
  </r>
  <r>
    <n v="860"/>
    <x v="6"/>
    <n v="-29"/>
    <x v="6"/>
    <n v="375"/>
    <n v="64"/>
    <x v="1"/>
    <x v="2"/>
    <n v="15"/>
    <x v="1"/>
    <x v="2"/>
    <x v="4"/>
    <x v="6"/>
    <x v="6"/>
    <x v="5"/>
    <n v="30"/>
    <n v="60"/>
    <n v="50"/>
    <n v="90"/>
    <n v="43"/>
    <x v="0"/>
    <n v="0.1891891891891892"/>
    <n v="0.57657657657657657"/>
    <n v="28"/>
  </r>
  <r>
    <n v="918"/>
    <x v="7"/>
    <n v="-39"/>
    <x v="7"/>
    <n v="859"/>
    <n v="39"/>
    <x v="1"/>
    <x v="1"/>
    <n v="7"/>
    <x v="1"/>
    <x v="3"/>
    <x v="5"/>
    <x v="6"/>
    <x v="7"/>
    <x v="6"/>
    <n v="30"/>
    <n v="60"/>
    <n v="60"/>
    <n v="90"/>
    <n v="18"/>
    <x v="0"/>
    <n v="0.31818181818181818"/>
    <n v="0.59090909090909094"/>
    <n v="11"/>
  </r>
  <r>
    <n v="775"/>
    <x v="8"/>
    <n v="-43"/>
    <x v="8"/>
    <n v="1000"/>
    <n v="37"/>
    <x v="1"/>
    <x v="3"/>
    <n v="9"/>
    <x v="1"/>
    <x v="3"/>
    <x v="5"/>
    <x v="7"/>
    <x v="8"/>
    <x v="7"/>
    <n v="30"/>
    <n v="60"/>
    <n v="50"/>
    <n v="90"/>
    <n v="30"/>
    <x v="0"/>
    <n v="0.10294117647058823"/>
    <n v="0.54411764705882348"/>
    <n v="21"/>
  </r>
  <r>
    <n v="435"/>
    <x v="9"/>
    <n v="-23"/>
    <x v="9"/>
    <n v="881"/>
    <n v="59"/>
    <x v="1"/>
    <x v="3"/>
    <n v="11"/>
    <x v="1"/>
    <x v="2"/>
    <x v="4"/>
    <x v="8"/>
    <x v="9"/>
    <x v="8"/>
    <n v="20"/>
    <n v="60"/>
    <n v="60"/>
    <n v="80"/>
    <n v="22"/>
    <x v="0"/>
    <n v="0.37373737373737376"/>
    <n v="0.59595959595959591"/>
    <n v="11"/>
  </r>
  <r>
    <n v="603"/>
    <x v="10"/>
    <n v="-27"/>
    <x v="10"/>
    <n v="310"/>
    <n v="71"/>
    <x v="1"/>
    <x v="2"/>
    <n v="15"/>
    <x v="1"/>
    <x v="3"/>
    <x v="6"/>
    <x v="9"/>
    <x v="10"/>
    <x v="9"/>
    <n v="30"/>
    <n v="60"/>
    <n v="60"/>
    <n v="90"/>
    <n v="38"/>
    <x v="1"/>
    <n v="0.27500000000000002"/>
    <n v="0.59166666666666667"/>
    <n v="23"/>
  </r>
  <r>
    <n v="603"/>
    <x v="11"/>
    <n v="-26"/>
    <x v="11"/>
    <n v="447"/>
    <n v="69"/>
    <x v="1"/>
    <x v="2"/>
    <n v="14"/>
    <x v="1"/>
    <x v="3"/>
    <x v="7"/>
    <x v="10"/>
    <x v="11"/>
    <x v="9"/>
    <n v="30"/>
    <n v="60"/>
    <n v="50"/>
    <n v="90"/>
    <n v="45"/>
    <x v="1"/>
    <n v="0.21052631578947367"/>
    <n v="0.60526315789473684"/>
    <n v="31"/>
  </r>
  <r>
    <n v="603"/>
    <x v="11"/>
    <n v="-37"/>
    <x v="12"/>
    <n v="320"/>
    <n v="64"/>
    <x v="1"/>
    <x v="2"/>
    <n v="41"/>
    <x v="1"/>
    <x v="2"/>
    <x v="8"/>
    <x v="11"/>
    <x v="12"/>
    <x v="9"/>
    <n v="30"/>
    <n v="60"/>
    <n v="30"/>
    <n v="90"/>
    <n v="71"/>
    <x v="1"/>
    <n v="-6.4220183486238536E-2"/>
    <n v="0.58715596330275233"/>
    <n v="30"/>
  </r>
  <r>
    <n v="318"/>
    <x v="12"/>
    <n v="-9"/>
    <x v="13"/>
    <n v="-762"/>
    <n v="84"/>
    <x v="1"/>
    <x v="1"/>
    <n v="54"/>
    <x v="1"/>
    <x v="2"/>
    <x v="9"/>
    <x v="12"/>
    <x v="13"/>
    <x v="10"/>
    <n v="30"/>
    <n v="60"/>
    <n v="10"/>
    <n v="90"/>
    <n v="83"/>
    <x v="1"/>
    <n v="6.9444444444444441E-3"/>
    <n v="0.58333333333333337"/>
    <n v="29"/>
  </r>
  <r>
    <n v="775"/>
    <x v="13"/>
    <n v="-32"/>
    <x v="14"/>
    <n v="240"/>
    <n v="43"/>
    <x v="1"/>
    <x v="3"/>
    <n v="12"/>
    <x v="1"/>
    <x v="3"/>
    <x v="7"/>
    <x v="13"/>
    <x v="14"/>
    <x v="7"/>
    <n v="40"/>
    <n v="60"/>
    <n v="30"/>
    <n v="100"/>
    <n v="45"/>
    <x v="1"/>
    <n v="-2.5974025974025976E-2"/>
    <n v="0.55844155844155841"/>
    <n v="33"/>
  </r>
  <r>
    <n v="503"/>
    <x v="14"/>
    <n v="-28"/>
    <x v="15"/>
    <n v="404"/>
    <n v="66"/>
    <x v="1"/>
    <x v="3"/>
    <n v="20"/>
    <x v="1"/>
    <x v="2"/>
    <x v="9"/>
    <x v="14"/>
    <x v="10"/>
    <x v="11"/>
    <n v="40"/>
    <n v="60"/>
    <n v="40"/>
    <n v="100"/>
    <n v="54"/>
    <x v="1"/>
    <n v="0.1"/>
    <n v="0.55000000000000004"/>
    <n v="34"/>
  </r>
  <r>
    <n v="573"/>
    <x v="11"/>
    <n v="-36"/>
    <x v="16"/>
    <n v="320"/>
    <n v="64"/>
    <x v="1"/>
    <x v="0"/>
    <n v="41"/>
    <x v="0"/>
    <x v="0"/>
    <x v="10"/>
    <x v="15"/>
    <x v="12"/>
    <x v="12"/>
    <n v="20"/>
    <n v="60"/>
    <n v="30"/>
    <n v="80"/>
    <n v="70"/>
    <x v="0"/>
    <n v="-5.5045871559633031E-2"/>
    <n v="0.58715596330275233"/>
    <n v="29"/>
  </r>
  <r>
    <n v="262"/>
    <x v="15"/>
    <n v="-15"/>
    <x v="17"/>
    <n v="851"/>
    <n v="70"/>
    <x v="1"/>
    <x v="0"/>
    <n v="13"/>
    <x v="0"/>
    <x v="0"/>
    <x v="0"/>
    <x v="16"/>
    <x v="15"/>
    <x v="13"/>
    <n v="30"/>
    <n v="60"/>
    <n v="60"/>
    <n v="90"/>
    <n v="25"/>
    <x v="0"/>
    <n v="0.38135593220338981"/>
    <n v="0.59322033898305082"/>
    <n v="12"/>
  </r>
  <r>
    <n v="801"/>
    <x v="10"/>
    <n v="-27"/>
    <x v="18"/>
    <n v="310"/>
    <n v="71"/>
    <x v="1"/>
    <x v="3"/>
    <n v="15"/>
    <x v="0"/>
    <x v="0"/>
    <x v="10"/>
    <x v="9"/>
    <x v="10"/>
    <x v="8"/>
    <n v="30"/>
    <n v="60"/>
    <n v="60"/>
    <n v="90"/>
    <n v="38"/>
    <x v="0"/>
    <n v="0.27500000000000002"/>
    <n v="0.59166666666666667"/>
    <n v="23"/>
  </r>
  <r>
    <n v="425"/>
    <x v="15"/>
    <n v="-13"/>
    <x v="19"/>
    <n v="829"/>
    <n v="71"/>
    <x v="1"/>
    <x v="3"/>
    <n v="13"/>
    <x v="0"/>
    <x v="0"/>
    <x v="0"/>
    <x v="17"/>
    <x v="16"/>
    <x v="14"/>
    <n v="30"/>
    <n v="60"/>
    <n v="60"/>
    <n v="90"/>
    <n v="24"/>
    <x v="0"/>
    <n v="0.3949579831932773"/>
    <n v="0.59663865546218486"/>
    <n v="11"/>
  </r>
  <r>
    <n v="860"/>
    <x v="9"/>
    <n v="-14"/>
    <x v="20"/>
    <n v="881"/>
    <n v="59"/>
    <x v="1"/>
    <x v="2"/>
    <n v="11"/>
    <x v="0"/>
    <x v="1"/>
    <x v="2"/>
    <x v="18"/>
    <x v="9"/>
    <x v="5"/>
    <n v="40"/>
    <n v="60"/>
    <n v="50"/>
    <n v="100"/>
    <n v="23"/>
    <x v="1"/>
    <n v="0.36363636363636365"/>
    <n v="0.59595959595959591"/>
    <n v="12"/>
  </r>
  <r>
    <n v="971"/>
    <x v="16"/>
    <n v="14"/>
    <x v="21"/>
    <n v="788"/>
    <n v="123"/>
    <x v="1"/>
    <x v="3"/>
    <n v="27"/>
    <x v="0"/>
    <x v="1"/>
    <x v="11"/>
    <x v="19"/>
    <x v="17"/>
    <x v="11"/>
    <n v="30"/>
    <n v="60"/>
    <n v="50"/>
    <n v="90"/>
    <n v="59"/>
    <x v="1"/>
    <n v="0.31219512195121951"/>
    <n v="0.6"/>
    <n v="32"/>
  </r>
  <r>
    <n v="971"/>
    <x v="17"/>
    <n v="26"/>
    <x v="22"/>
    <n v="656"/>
    <n v="127"/>
    <x v="1"/>
    <x v="3"/>
    <n v="28"/>
    <x v="0"/>
    <x v="1"/>
    <x v="3"/>
    <x v="20"/>
    <x v="18"/>
    <x v="11"/>
    <n v="40"/>
    <n v="60"/>
    <n v="50"/>
    <n v="100"/>
    <n v="51"/>
    <x v="1"/>
    <n v="0.34862385321100919"/>
    <n v="0.58256880733944949"/>
    <n v="23"/>
  </r>
  <r>
    <n v="915"/>
    <x v="9"/>
    <n v="-14"/>
    <x v="23"/>
    <n v="536"/>
    <n v="52"/>
    <x v="0"/>
    <x v="1"/>
    <n v="13"/>
    <x v="1"/>
    <x v="3"/>
    <x v="5"/>
    <x v="1"/>
    <x v="19"/>
    <x v="1"/>
    <n v="40"/>
    <n v="60"/>
    <n v="40"/>
    <n v="100"/>
    <n v="26"/>
    <x v="0"/>
    <n v="0.28260869565217389"/>
    <n v="0.56521739130434778"/>
    <n v="13"/>
  </r>
  <r>
    <n v="210"/>
    <x v="18"/>
    <n v="8"/>
    <x v="24"/>
    <n v="589"/>
    <n v="73"/>
    <x v="0"/>
    <x v="1"/>
    <n v="14"/>
    <x v="1"/>
    <x v="2"/>
    <x v="4"/>
    <x v="21"/>
    <x v="1"/>
    <x v="1"/>
    <n v="30"/>
    <n v="60"/>
    <n v="40"/>
    <n v="90"/>
    <n v="25"/>
    <x v="0"/>
    <n v="0.3902439024390244"/>
    <n v="0.5934959349593496"/>
    <n v="11"/>
  </r>
  <r>
    <n v="970"/>
    <x v="9"/>
    <n v="-13"/>
    <x v="25"/>
    <n v="536"/>
    <n v="52"/>
    <x v="0"/>
    <x v="0"/>
    <n v="13"/>
    <x v="1"/>
    <x v="3"/>
    <x v="7"/>
    <x v="22"/>
    <x v="19"/>
    <x v="0"/>
    <n v="30"/>
    <n v="60"/>
    <n v="40"/>
    <n v="90"/>
    <n v="25"/>
    <x v="1"/>
    <n v="0.29347826086956524"/>
    <n v="0.56521739130434778"/>
    <n v="12"/>
  </r>
  <r>
    <n v="774"/>
    <x v="1"/>
    <n v="-8"/>
    <x v="26"/>
    <n v="554"/>
    <n v="68"/>
    <x v="0"/>
    <x v="2"/>
    <n v="47"/>
    <x v="1"/>
    <x v="2"/>
    <x v="8"/>
    <x v="23"/>
    <x v="10"/>
    <x v="15"/>
    <n v="50"/>
    <n v="60"/>
    <n v="0"/>
    <n v="110"/>
    <n v="76"/>
    <x v="1"/>
    <n v="-6.6666666666666666E-2"/>
    <n v="0.56666666666666665"/>
    <n v="29"/>
  </r>
  <r>
    <n v="954"/>
    <x v="19"/>
    <n v="14"/>
    <x v="27"/>
    <n v="1063"/>
    <n v="89"/>
    <x v="0"/>
    <x v="2"/>
    <n v="23"/>
    <x v="0"/>
    <x v="0"/>
    <x v="1"/>
    <x v="24"/>
    <x v="20"/>
    <x v="2"/>
    <n v="50"/>
    <n v="60"/>
    <n v="30"/>
    <n v="110"/>
    <n v="45"/>
    <x v="0"/>
    <n v="0.26829268292682928"/>
    <n v="0.54268292682926833"/>
    <n v="22"/>
  </r>
  <r>
    <n v="936"/>
    <x v="20"/>
    <n v="1"/>
    <x v="28"/>
    <n v="424"/>
    <n v="68"/>
    <x v="0"/>
    <x v="1"/>
    <n v="14"/>
    <x v="0"/>
    <x v="0"/>
    <x v="0"/>
    <x v="5"/>
    <x v="11"/>
    <x v="1"/>
    <n v="40"/>
    <n v="60"/>
    <n v="30"/>
    <n v="100"/>
    <n v="37"/>
    <x v="0"/>
    <n v="0.27192982456140352"/>
    <n v="0.59649122807017541"/>
    <n v="23"/>
  </r>
  <r>
    <n v="719"/>
    <x v="21"/>
    <n v="-5"/>
    <x v="29"/>
    <n v="410"/>
    <n v="69"/>
    <x v="0"/>
    <x v="0"/>
    <n v="20"/>
    <x v="0"/>
    <x v="1"/>
    <x v="2"/>
    <x v="25"/>
    <x v="21"/>
    <x v="0"/>
    <n v="40"/>
    <n v="60"/>
    <n v="20"/>
    <n v="100"/>
    <n v="54"/>
    <x v="1"/>
    <n v="0.12096774193548387"/>
    <n v="0.55645161290322576"/>
    <n v="34"/>
  </r>
  <r>
    <n v="847"/>
    <x v="18"/>
    <n v="8"/>
    <x v="30"/>
    <n v="589"/>
    <n v="73"/>
    <x v="0"/>
    <x v="0"/>
    <n v="14"/>
    <x v="0"/>
    <x v="1"/>
    <x v="2"/>
    <x v="21"/>
    <x v="1"/>
    <x v="16"/>
    <n v="40"/>
    <n v="60"/>
    <n v="40"/>
    <n v="100"/>
    <n v="25"/>
    <x v="1"/>
    <n v="0.3902439024390244"/>
    <n v="0.5934959349593496"/>
    <n v="11"/>
  </r>
  <r>
    <n v="719"/>
    <x v="22"/>
    <n v="-1"/>
    <x v="31"/>
    <n v="1042"/>
    <n v="68"/>
    <x v="0"/>
    <x v="0"/>
    <n v="17"/>
    <x v="0"/>
    <x v="1"/>
    <x v="11"/>
    <x v="26"/>
    <x v="22"/>
    <x v="0"/>
    <n v="40"/>
    <n v="60"/>
    <n v="30"/>
    <n v="100"/>
    <n v="39"/>
    <x v="1"/>
    <n v="0.23200000000000001"/>
    <n v="0.54400000000000004"/>
    <n v="22"/>
  </r>
  <r>
    <n v="339"/>
    <x v="23"/>
    <n v="-9"/>
    <x v="32"/>
    <n v="862"/>
    <n v="52"/>
    <x v="0"/>
    <x v="2"/>
    <n v="10"/>
    <x v="0"/>
    <x v="1"/>
    <x v="2"/>
    <x v="5"/>
    <x v="23"/>
    <x v="15"/>
    <n v="30"/>
    <n v="60"/>
    <n v="40"/>
    <n v="90"/>
    <n v="21"/>
    <x v="1"/>
    <n v="0.35227272727272729"/>
    <n v="0.59090909090909094"/>
    <n v="11"/>
  </r>
  <r>
    <n v="314"/>
    <x v="24"/>
    <n v="-23"/>
    <x v="33"/>
    <n v="836"/>
    <n v="48"/>
    <x v="1"/>
    <x v="0"/>
    <n v="9"/>
    <x v="1"/>
    <x v="2"/>
    <x v="4"/>
    <x v="22"/>
    <x v="24"/>
    <x v="12"/>
    <n v="40"/>
    <n v="60"/>
    <n v="50"/>
    <n v="100"/>
    <n v="21"/>
    <x v="0"/>
    <n v="0.33333333333333331"/>
    <n v="0.59259259259259256"/>
    <n v="12"/>
  </r>
  <r>
    <n v="504"/>
    <x v="8"/>
    <n v="-22"/>
    <x v="34"/>
    <n v="856"/>
    <n v="47"/>
    <x v="1"/>
    <x v="1"/>
    <n v="8"/>
    <x v="1"/>
    <x v="3"/>
    <x v="5"/>
    <x v="2"/>
    <x v="25"/>
    <x v="10"/>
    <n v="30"/>
    <n v="60"/>
    <n v="50"/>
    <n v="90"/>
    <n v="19"/>
    <x v="0"/>
    <n v="0.35897435897435898"/>
    <n v="0.60256410256410253"/>
    <n v="11"/>
  </r>
  <r>
    <n v="580"/>
    <x v="23"/>
    <n v="-10"/>
    <x v="35"/>
    <n v="862"/>
    <n v="52"/>
    <x v="1"/>
    <x v="1"/>
    <n v="10"/>
    <x v="1"/>
    <x v="3"/>
    <x v="5"/>
    <x v="27"/>
    <x v="23"/>
    <x v="6"/>
    <n v="40"/>
    <n v="60"/>
    <n v="40"/>
    <n v="100"/>
    <n v="22"/>
    <x v="0"/>
    <n v="0.34090909090909088"/>
    <n v="0.59090909090909094"/>
    <n v="12"/>
  </r>
  <r>
    <n v="225"/>
    <x v="10"/>
    <n v="4"/>
    <x v="36"/>
    <n v="454"/>
    <n v="71"/>
    <x v="1"/>
    <x v="1"/>
    <n v="15"/>
    <x v="1"/>
    <x v="2"/>
    <x v="4"/>
    <x v="28"/>
    <x v="10"/>
    <x v="10"/>
    <n v="30"/>
    <n v="60"/>
    <n v="30"/>
    <n v="90"/>
    <n v="37"/>
    <x v="0"/>
    <n v="0.28333333333333333"/>
    <n v="0.59166666666666667"/>
    <n v="22"/>
  </r>
  <r>
    <n v="262"/>
    <x v="14"/>
    <n v="-6"/>
    <x v="37"/>
    <n v="391"/>
    <n v="67"/>
    <x v="1"/>
    <x v="0"/>
    <n v="20"/>
    <x v="1"/>
    <x v="3"/>
    <x v="6"/>
    <x v="29"/>
    <x v="26"/>
    <x v="13"/>
    <n v="50"/>
    <n v="60"/>
    <n v="20"/>
    <n v="110"/>
    <n v="53"/>
    <x v="1"/>
    <n v="0.11570247933884298"/>
    <n v="0.55371900826446285"/>
    <n v="33"/>
  </r>
  <r>
    <n v="603"/>
    <x v="20"/>
    <n v="-10"/>
    <x v="38"/>
    <n v="316"/>
    <n v="67"/>
    <x v="1"/>
    <x v="2"/>
    <n v="14"/>
    <x v="1"/>
    <x v="3"/>
    <x v="6"/>
    <x v="27"/>
    <x v="27"/>
    <x v="9"/>
    <n v="40"/>
    <n v="60"/>
    <n v="40"/>
    <n v="100"/>
    <n v="37"/>
    <x v="1"/>
    <n v="0.26548672566371684"/>
    <n v="0.59292035398230092"/>
    <n v="23"/>
  </r>
  <r>
    <n v="603"/>
    <x v="2"/>
    <n v="-10"/>
    <x v="39"/>
    <n v="452"/>
    <n v="66"/>
    <x v="1"/>
    <x v="2"/>
    <n v="14"/>
    <x v="1"/>
    <x v="3"/>
    <x v="7"/>
    <x v="30"/>
    <x v="12"/>
    <x v="9"/>
    <n v="30"/>
    <n v="60"/>
    <n v="30"/>
    <n v="90"/>
    <n v="46"/>
    <x v="1"/>
    <n v="0.1834862385321101"/>
    <n v="0.60550458715596334"/>
    <n v="32"/>
  </r>
  <r>
    <n v="603"/>
    <x v="25"/>
    <n v="-18"/>
    <x v="40"/>
    <n v="325"/>
    <n v="62"/>
    <x v="1"/>
    <x v="2"/>
    <n v="40"/>
    <x v="1"/>
    <x v="2"/>
    <x v="8"/>
    <x v="23"/>
    <x v="28"/>
    <x v="9"/>
    <n v="40"/>
    <n v="60"/>
    <n v="10"/>
    <n v="100"/>
    <n v="70"/>
    <x v="1"/>
    <n v="-7.5471698113207544E-2"/>
    <n v="0.58490566037735847"/>
    <n v="30"/>
  </r>
  <r>
    <n v="225"/>
    <x v="26"/>
    <n v="19"/>
    <x v="41"/>
    <n v="321"/>
    <n v="88"/>
    <x v="1"/>
    <x v="1"/>
    <n v="16"/>
    <x v="1"/>
    <x v="2"/>
    <x v="8"/>
    <x v="31"/>
    <x v="29"/>
    <x v="10"/>
    <n v="40"/>
    <n v="60"/>
    <n v="30"/>
    <n v="100"/>
    <n v="39"/>
    <x v="1"/>
    <n v="0.3475177304964539"/>
    <n v="0.62411347517730498"/>
    <n v="23"/>
  </r>
  <r>
    <n v="425"/>
    <x v="14"/>
    <n v="-7"/>
    <x v="42"/>
    <n v="391"/>
    <n v="67"/>
    <x v="1"/>
    <x v="3"/>
    <n v="20"/>
    <x v="1"/>
    <x v="2"/>
    <x v="8"/>
    <x v="32"/>
    <x v="26"/>
    <x v="14"/>
    <n v="50"/>
    <n v="60"/>
    <n v="20"/>
    <n v="110"/>
    <n v="54"/>
    <x v="1"/>
    <n v="0.10743801652892562"/>
    <n v="0.55371900826446285"/>
    <n v="34"/>
  </r>
  <r>
    <n v="918"/>
    <x v="14"/>
    <n v="-7"/>
    <x v="43"/>
    <n v="391"/>
    <n v="67"/>
    <x v="1"/>
    <x v="1"/>
    <n v="20"/>
    <x v="0"/>
    <x v="0"/>
    <x v="10"/>
    <x v="32"/>
    <x v="26"/>
    <x v="6"/>
    <n v="50"/>
    <n v="60"/>
    <n v="20"/>
    <n v="110"/>
    <n v="54"/>
    <x v="0"/>
    <n v="0.10743801652892562"/>
    <n v="0.55371900826446285"/>
    <n v="34"/>
  </r>
  <r>
    <n v="801"/>
    <x v="20"/>
    <n v="0"/>
    <x v="44"/>
    <n v="316"/>
    <n v="67"/>
    <x v="1"/>
    <x v="3"/>
    <n v="14"/>
    <x v="0"/>
    <x v="0"/>
    <x v="10"/>
    <x v="27"/>
    <x v="27"/>
    <x v="8"/>
    <n v="40"/>
    <n v="60"/>
    <n v="30"/>
    <n v="100"/>
    <n v="37"/>
    <x v="0"/>
    <n v="0.26548672566371684"/>
    <n v="0.59292035398230092"/>
    <n v="23"/>
  </r>
  <r>
    <n v="435"/>
    <x v="2"/>
    <n v="-10"/>
    <x v="45"/>
    <n v="452"/>
    <n v="66"/>
    <x v="1"/>
    <x v="3"/>
    <n v="14"/>
    <x v="0"/>
    <x v="0"/>
    <x v="0"/>
    <x v="30"/>
    <x v="12"/>
    <x v="8"/>
    <n v="40"/>
    <n v="60"/>
    <n v="30"/>
    <n v="100"/>
    <n v="46"/>
    <x v="0"/>
    <n v="0.1834862385321101"/>
    <n v="0.60550458715596334"/>
    <n v="32"/>
  </r>
  <r>
    <n v="509"/>
    <x v="6"/>
    <n v="4"/>
    <x v="46"/>
    <n v="834"/>
    <n v="68"/>
    <x v="1"/>
    <x v="3"/>
    <n v="13"/>
    <x v="0"/>
    <x v="0"/>
    <x v="0"/>
    <x v="24"/>
    <x v="30"/>
    <x v="14"/>
    <n v="40"/>
    <n v="60"/>
    <n v="40"/>
    <n v="100"/>
    <n v="24"/>
    <x v="0"/>
    <n v="0.38260869565217392"/>
    <n v="0.59130434782608698"/>
    <n v="11"/>
  </r>
  <r>
    <n v="203"/>
    <x v="23"/>
    <n v="-7"/>
    <x v="47"/>
    <n v="809"/>
    <n v="54"/>
    <x v="1"/>
    <x v="2"/>
    <n v="10"/>
    <x v="0"/>
    <x v="1"/>
    <x v="3"/>
    <x v="9"/>
    <x v="31"/>
    <x v="5"/>
    <n v="30"/>
    <n v="60"/>
    <n v="40"/>
    <n v="90"/>
    <n v="21"/>
    <x v="1"/>
    <n v="0.36666666666666664"/>
    <n v="0.6"/>
    <n v="11"/>
  </r>
  <r>
    <n v="206"/>
    <x v="27"/>
    <n v="1"/>
    <x v="48"/>
    <n v="613"/>
    <n v="86"/>
    <x v="1"/>
    <x v="3"/>
    <n v="55"/>
    <x v="0"/>
    <x v="1"/>
    <x v="3"/>
    <x v="12"/>
    <x v="32"/>
    <x v="14"/>
    <n v="40"/>
    <n v="60"/>
    <n v="0"/>
    <n v="100"/>
    <n v="85"/>
    <x v="1"/>
    <n v="6.8027210884353739E-3"/>
    <n v="0.58503401360544216"/>
    <n v="30"/>
  </r>
  <r>
    <n v="682"/>
    <x v="2"/>
    <n v="-10"/>
    <x v="49"/>
    <n v="531"/>
    <n v="56"/>
    <x v="0"/>
    <x v="1"/>
    <n v="14"/>
    <x v="1"/>
    <x v="3"/>
    <x v="5"/>
    <x v="27"/>
    <x v="9"/>
    <x v="1"/>
    <n v="50"/>
    <n v="60"/>
    <n v="40"/>
    <n v="110"/>
    <n v="26"/>
    <x v="0"/>
    <n v="0.30303030303030304"/>
    <n v="0.56565656565656564"/>
    <n v="12"/>
  </r>
  <r>
    <n v="214"/>
    <x v="14"/>
    <n v="12"/>
    <x v="50"/>
    <n v="601"/>
    <n v="79"/>
    <x v="0"/>
    <x v="1"/>
    <n v="15"/>
    <x v="1"/>
    <x v="2"/>
    <x v="4"/>
    <x v="33"/>
    <x v="33"/>
    <x v="1"/>
    <n v="40"/>
    <n v="60"/>
    <n v="40"/>
    <n v="100"/>
    <n v="27"/>
    <x v="0"/>
    <n v="0.39097744360902253"/>
    <n v="0.59398496240601506"/>
    <n v="12"/>
  </r>
  <r>
    <n v="970"/>
    <x v="6"/>
    <n v="-6"/>
    <x v="51"/>
    <n v="521"/>
    <n v="65"/>
    <x v="0"/>
    <x v="0"/>
    <n v="42"/>
    <x v="0"/>
    <x v="0"/>
    <x v="0"/>
    <x v="15"/>
    <x v="34"/>
    <x v="0"/>
    <n v="40"/>
    <n v="60"/>
    <n v="0"/>
    <n v="100"/>
    <n v="71"/>
    <x v="0"/>
    <n v="-5.3571428571428568E-2"/>
    <n v="0.5803571428571429"/>
    <n v="29"/>
  </r>
  <r>
    <n v="303"/>
    <x v="14"/>
    <n v="-1"/>
    <x v="52"/>
    <n v="424"/>
    <n v="73"/>
    <x v="0"/>
    <x v="0"/>
    <n v="17"/>
    <x v="0"/>
    <x v="0"/>
    <x v="1"/>
    <x v="26"/>
    <x v="35"/>
    <x v="0"/>
    <n v="50"/>
    <n v="60"/>
    <n v="30"/>
    <n v="110"/>
    <n v="44"/>
    <x v="0"/>
    <n v="0.2283464566929134"/>
    <n v="0.57480314960629919"/>
    <n v="27"/>
  </r>
  <r>
    <n v="954"/>
    <x v="28"/>
    <n v="3"/>
    <x v="53"/>
    <n v="403"/>
    <n v="80"/>
    <x v="0"/>
    <x v="2"/>
    <n v="24"/>
    <x v="0"/>
    <x v="0"/>
    <x v="0"/>
    <x v="34"/>
    <x v="36"/>
    <x v="2"/>
    <n v="40"/>
    <n v="60"/>
    <n v="20"/>
    <n v="100"/>
    <n v="57"/>
    <x v="0"/>
    <n v="0.15862068965517243"/>
    <n v="0.55172413793103448"/>
    <n v="33"/>
  </r>
  <r>
    <n v="561"/>
    <x v="29"/>
    <n v="20"/>
    <x v="54"/>
    <n v="1079"/>
    <n v="96"/>
    <x v="0"/>
    <x v="2"/>
    <n v="24"/>
    <x v="0"/>
    <x v="0"/>
    <x v="1"/>
    <x v="35"/>
    <x v="37"/>
    <x v="2"/>
    <n v="60"/>
    <n v="60"/>
    <n v="30"/>
    <n v="120"/>
    <n v="46"/>
    <x v="0"/>
    <n v="0.28409090909090912"/>
    <n v="0.54545454545454541"/>
    <n v="22"/>
  </r>
  <r>
    <n v="469"/>
    <x v="14"/>
    <n v="-2"/>
    <x v="55"/>
    <n v="424"/>
    <n v="73"/>
    <x v="0"/>
    <x v="1"/>
    <n v="17"/>
    <x v="0"/>
    <x v="0"/>
    <x v="10"/>
    <x v="2"/>
    <x v="35"/>
    <x v="1"/>
    <n v="50"/>
    <n v="60"/>
    <n v="30"/>
    <n v="110"/>
    <n v="45"/>
    <x v="0"/>
    <n v="0.22047244094488189"/>
    <n v="0.57480314960629919"/>
    <n v="28"/>
  </r>
  <r>
    <n v="214"/>
    <x v="30"/>
    <n v="-6"/>
    <x v="56"/>
    <n v="435"/>
    <n v="60"/>
    <x v="0"/>
    <x v="1"/>
    <n v="13"/>
    <x v="0"/>
    <x v="0"/>
    <x v="0"/>
    <x v="10"/>
    <x v="38"/>
    <x v="1"/>
    <n v="30"/>
    <n v="60"/>
    <n v="30"/>
    <n v="90"/>
    <n v="36"/>
    <x v="0"/>
    <n v="0.23762376237623761"/>
    <n v="0.59405940594059403"/>
    <n v="23"/>
  </r>
  <r>
    <n v="619"/>
    <x v="14"/>
    <n v="3"/>
    <x v="57"/>
    <n v="601"/>
    <n v="79"/>
    <x v="0"/>
    <x v="3"/>
    <n v="15"/>
    <x v="0"/>
    <x v="1"/>
    <x v="11"/>
    <x v="36"/>
    <x v="33"/>
    <x v="3"/>
    <n v="30"/>
    <n v="60"/>
    <n v="50"/>
    <n v="90"/>
    <n v="26"/>
    <x v="1"/>
    <n v="0.39849624060150374"/>
    <n v="0.59398496240601506"/>
    <n v="11"/>
  </r>
  <r>
    <n v="314"/>
    <x v="8"/>
    <n v="-23"/>
    <x v="58"/>
    <n v="844"/>
    <n v="46"/>
    <x v="1"/>
    <x v="0"/>
    <n v="8"/>
    <x v="1"/>
    <x v="2"/>
    <x v="4"/>
    <x v="22"/>
    <x v="14"/>
    <x v="12"/>
    <n v="30"/>
    <n v="60"/>
    <n v="50"/>
    <n v="90"/>
    <n v="19"/>
    <x v="0"/>
    <n v="0.35064935064935066"/>
    <n v="0.59740259740259738"/>
    <n v="11"/>
  </r>
  <r>
    <n v="225"/>
    <x v="13"/>
    <n v="-19"/>
    <x v="59"/>
    <n v="863"/>
    <n v="51"/>
    <x v="1"/>
    <x v="1"/>
    <n v="9"/>
    <x v="1"/>
    <x v="3"/>
    <x v="5"/>
    <x v="5"/>
    <x v="39"/>
    <x v="10"/>
    <n v="40"/>
    <n v="60"/>
    <n v="50"/>
    <n v="100"/>
    <n v="20"/>
    <x v="0"/>
    <n v="0.36470588235294116"/>
    <n v="0.6"/>
    <n v="11"/>
  </r>
  <r>
    <n v="580"/>
    <x v="24"/>
    <n v="-22"/>
    <x v="60"/>
    <n v="870"/>
    <n v="49"/>
    <x v="1"/>
    <x v="1"/>
    <n v="9"/>
    <x v="1"/>
    <x v="3"/>
    <x v="5"/>
    <x v="2"/>
    <x v="40"/>
    <x v="6"/>
    <n v="30"/>
    <n v="60"/>
    <n v="50"/>
    <n v="90"/>
    <n v="21"/>
    <x v="0"/>
    <n v="0.34146341463414637"/>
    <n v="0.59756097560975607"/>
    <n v="12"/>
  </r>
  <r>
    <n v="603"/>
    <x v="15"/>
    <n v="-2"/>
    <x v="61"/>
    <n v="462"/>
    <n v="74"/>
    <x v="1"/>
    <x v="2"/>
    <n v="15"/>
    <x v="1"/>
    <x v="3"/>
    <x v="7"/>
    <x v="2"/>
    <x v="0"/>
    <x v="9"/>
    <n v="40"/>
    <n v="60"/>
    <n v="30"/>
    <n v="100"/>
    <n v="46"/>
    <x v="1"/>
    <n v="0.22950819672131148"/>
    <n v="0.60655737704918034"/>
    <n v="31"/>
  </r>
  <r>
    <n v="985"/>
    <x v="21"/>
    <n v="-3"/>
    <x v="62"/>
    <n v="-1053"/>
    <n v="76"/>
    <x v="1"/>
    <x v="1"/>
    <n v="49"/>
    <x v="1"/>
    <x v="2"/>
    <x v="9"/>
    <x v="37"/>
    <x v="41"/>
    <x v="10"/>
    <n v="40"/>
    <n v="60"/>
    <n v="0"/>
    <n v="100"/>
    <n v="79"/>
    <x v="1"/>
    <n v="-2.2900763358778626E-2"/>
    <n v="0.58015267175572516"/>
    <n v="30"/>
  </r>
  <r>
    <n v="505"/>
    <x v="10"/>
    <n v="-15"/>
    <x v="63"/>
    <n v="335"/>
    <n v="69"/>
    <x v="1"/>
    <x v="1"/>
    <n v="44"/>
    <x v="1"/>
    <x v="2"/>
    <x v="8"/>
    <x v="0"/>
    <x v="15"/>
    <x v="17"/>
    <n v="30"/>
    <n v="60"/>
    <n v="10"/>
    <n v="90"/>
    <n v="74"/>
    <x v="1"/>
    <n v="-4.2372881355932202E-2"/>
    <n v="0.5847457627118644"/>
    <n v="30"/>
  </r>
  <r>
    <n v="775"/>
    <x v="31"/>
    <n v="-19"/>
    <x v="64"/>
    <n v="250"/>
    <n v="49"/>
    <x v="1"/>
    <x v="3"/>
    <n v="14"/>
    <x v="1"/>
    <x v="3"/>
    <x v="7"/>
    <x v="12"/>
    <x v="23"/>
    <x v="7"/>
    <n v="40"/>
    <n v="60"/>
    <n v="20"/>
    <n v="100"/>
    <n v="48"/>
    <x v="1"/>
    <n v="1.1363636363636364E-2"/>
    <n v="0.55681818181818177"/>
    <n v="34"/>
  </r>
  <r>
    <n v="417"/>
    <x v="10"/>
    <n v="-5"/>
    <x v="65"/>
    <n v="335"/>
    <n v="69"/>
    <x v="1"/>
    <x v="0"/>
    <n v="44"/>
    <x v="0"/>
    <x v="0"/>
    <x v="10"/>
    <x v="0"/>
    <x v="15"/>
    <x v="12"/>
    <n v="40"/>
    <n v="60"/>
    <n v="0"/>
    <n v="100"/>
    <n v="74"/>
    <x v="0"/>
    <n v="-4.2372881355932202E-2"/>
    <n v="0.5847457627118644"/>
    <n v="30"/>
  </r>
  <r>
    <n v="920"/>
    <x v="30"/>
    <n v="0"/>
    <x v="66"/>
    <n v="320"/>
    <n v="66"/>
    <x v="1"/>
    <x v="0"/>
    <n v="12"/>
    <x v="0"/>
    <x v="0"/>
    <x v="10"/>
    <x v="27"/>
    <x v="2"/>
    <x v="13"/>
    <n v="30"/>
    <n v="60"/>
    <n v="30"/>
    <n v="90"/>
    <n v="36"/>
    <x v="0"/>
    <n v="0.28037383177570091"/>
    <n v="0.61682242990654201"/>
    <n v="24"/>
  </r>
  <r>
    <n v="573"/>
    <x v="32"/>
    <n v="-4"/>
    <x v="67"/>
    <n v="1898"/>
    <n v="68"/>
    <x v="1"/>
    <x v="0"/>
    <n v="28"/>
    <x v="0"/>
    <x v="0"/>
    <x v="0"/>
    <x v="38"/>
    <x v="42"/>
    <x v="12"/>
    <n v="80"/>
    <n v="60"/>
    <n v="20"/>
    <n v="140"/>
    <n v="52"/>
    <x v="0"/>
    <n v="0.1"/>
    <n v="0.42499999999999999"/>
    <n v="24"/>
  </r>
  <r>
    <n v="475"/>
    <x v="33"/>
    <n v="7"/>
    <x v="68"/>
    <n v="619"/>
    <n v="85"/>
    <x v="1"/>
    <x v="2"/>
    <n v="25"/>
    <x v="0"/>
    <x v="0"/>
    <x v="0"/>
    <x v="22"/>
    <x v="43"/>
    <x v="5"/>
    <n v="50"/>
    <n v="60"/>
    <n v="20"/>
    <n v="110"/>
    <n v="58"/>
    <x v="0"/>
    <n v="0.17647058823529413"/>
    <n v="0.55555555555555558"/>
    <n v="33"/>
  </r>
  <r>
    <n v="475"/>
    <x v="34"/>
    <n v="-4"/>
    <x v="69"/>
    <n v="1075"/>
    <n v="76"/>
    <x v="1"/>
    <x v="2"/>
    <n v="19"/>
    <x v="0"/>
    <x v="0"/>
    <x v="1"/>
    <x v="18"/>
    <x v="44"/>
    <x v="5"/>
    <n v="40"/>
    <n v="60"/>
    <n v="40"/>
    <n v="100"/>
    <n v="40"/>
    <x v="0"/>
    <n v="0.25899280575539568"/>
    <n v="0.5467625899280576"/>
    <n v="21"/>
  </r>
  <r>
    <n v="435"/>
    <x v="32"/>
    <n v="-3"/>
    <x v="70"/>
    <n v="1898"/>
    <n v="68"/>
    <x v="1"/>
    <x v="3"/>
    <n v="28"/>
    <x v="0"/>
    <x v="0"/>
    <x v="1"/>
    <x v="39"/>
    <x v="42"/>
    <x v="8"/>
    <n v="80"/>
    <n v="60"/>
    <n v="20"/>
    <n v="140"/>
    <n v="51"/>
    <x v="0"/>
    <n v="0.10625"/>
    <n v="0.42499999999999999"/>
    <n v="23"/>
  </r>
  <r>
    <n v="920"/>
    <x v="21"/>
    <n v="-3"/>
    <x v="71"/>
    <n v="627"/>
    <n v="76"/>
    <x v="1"/>
    <x v="0"/>
    <n v="49"/>
    <x v="0"/>
    <x v="1"/>
    <x v="11"/>
    <x v="37"/>
    <x v="41"/>
    <x v="13"/>
    <n v="40"/>
    <n v="60"/>
    <n v="0"/>
    <n v="100"/>
    <n v="79"/>
    <x v="1"/>
    <n v="-2.2900763358778626E-2"/>
    <n v="0.58015267175572516"/>
    <n v="30"/>
  </r>
  <r>
    <n v="720"/>
    <x v="0"/>
    <n v="-37"/>
    <x v="72"/>
    <n v="503"/>
    <n v="71"/>
    <x v="0"/>
    <x v="0"/>
    <n v="46"/>
    <x v="0"/>
    <x v="0"/>
    <x v="0"/>
    <x v="11"/>
    <x v="45"/>
    <x v="0"/>
    <n v="30"/>
    <n v="60"/>
    <n v="30"/>
    <n v="90"/>
    <n v="76"/>
    <x v="0"/>
    <n v="-5.3846153846153849E-2"/>
    <n v="0.60769230769230764"/>
    <n v="30"/>
  </r>
  <r>
    <n v="970"/>
    <x v="1"/>
    <n v="-11"/>
    <x v="73"/>
    <n v="405"/>
    <n v="71"/>
    <x v="0"/>
    <x v="0"/>
    <n v="17"/>
    <x v="0"/>
    <x v="0"/>
    <x v="1"/>
    <x v="40"/>
    <x v="41"/>
    <x v="0"/>
    <n v="30"/>
    <n v="60"/>
    <n v="50"/>
    <n v="90"/>
    <n v="45"/>
    <x v="0"/>
    <n v="0.29770992366412213"/>
    <n v="0.60305343511450382"/>
    <n v="28"/>
  </r>
  <r>
    <n v="430"/>
    <x v="2"/>
    <n v="-8"/>
    <x v="74"/>
    <n v="419"/>
    <n v="64"/>
    <x v="0"/>
    <x v="1"/>
    <n v="13"/>
    <x v="0"/>
    <x v="0"/>
    <x v="0"/>
    <x v="41"/>
    <x v="11"/>
    <x v="1"/>
    <n v="30"/>
    <n v="60"/>
    <n v="50"/>
    <n v="90"/>
    <n v="36"/>
    <x v="0"/>
    <n v="0.36842105263157893"/>
    <n v="0.6228070175438597"/>
    <n v="23"/>
  </r>
  <r>
    <n v="561"/>
    <x v="3"/>
    <n v="2"/>
    <x v="75"/>
    <n v="871"/>
    <n v="56"/>
    <x v="0"/>
    <x v="2"/>
    <n v="10"/>
    <x v="0"/>
    <x v="1"/>
    <x v="2"/>
    <x v="33"/>
    <x v="46"/>
    <x v="2"/>
    <n v="40"/>
    <n v="60"/>
    <n v="50"/>
    <n v="100"/>
    <n v="21"/>
    <x v="1"/>
    <n v="0.52"/>
    <n v="0.62"/>
    <n v="11"/>
  </r>
  <r>
    <n v="510"/>
    <x v="4"/>
    <n v="33"/>
    <x v="76"/>
    <n v="650"/>
    <n v="110"/>
    <x v="0"/>
    <x v="3"/>
    <n v="23"/>
    <x v="0"/>
    <x v="1"/>
    <x v="3"/>
    <x v="42"/>
    <x v="47"/>
    <x v="3"/>
    <n v="20"/>
    <n v="60"/>
    <n v="50"/>
    <n v="80"/>
    <n v="54"/>
    <x v="1"/>
    <n v="0.42783505154639173"/>
    <n v="0.62886597938144329"/>
    <n v="31"/>
  </r>
  <r>
    <n v="563"/>
    <x v="5"/>
    <n v="-14"/>
    <x v="77"/>
    <n v="430"/>
    <n v="43"/>
    <x v="1"/>
    <x v="0"/>
    <n v="0"/>
    <x v="1"/>
    <x v="2"/>
    <x v="4"/>
    <x v="43"/>
    <x v="48"/>
    <x v="4"/>
    <n v="0"/>
    <n v="60"/>
    <n v="60"/>
    <n v="60"/>
    <n v="12"/>
    <x v="0"/>
    <n v="1"/>
    <n v="1"/>
    <n v="12"/>
  </r>
  <r>
    <n v="203"/>
    <x v="6"/>
    <n v="-19"/>
    <x v="78"/>
    <n v="375"/>
    <n v="64"/>
    <x v="1"/>
    <x v="2"/>
    <n v="15"/>
    <x v="1"/>
    <x v="2"/>
    <x v="4"/>
    <x v="5"/>
    <x v="15"/>
    <x v="5"/>
    <n v="30"/>
    <n v="60"/>
    <n v="50"/>
    <n v="90"/>
    <n v="43"/>
    <x v="0"/>
    <n v="0.26271186440677968"/>
    <n v="0.60169491525423724"/>
    <n v="28"/>
  </r>
  <r>
    <n v="405"/>
    <x v="7"/>
    <n v="-29"/>
    <x v="79"/>
    <n v="859"/>
    <n v="39"/>
    <x v="1"/>
    <x v="1"/>
    <n v="7"/>
    <x v="1"/>
    <x v="3"/>
    <x v="5"/>
    <x v="5"/>
    <x v="49"/>
    <x v="6"/>
    <n v="30"/>
    <n v="60"/>
    <n v="60"/>
    <n v="90"/>
    <n v="18"/>
    <x v="0"/>
    <n v="0.44285714285714284"/>
    <n v="0.61428571428571432"/>
    <n v="11"/>
  </r>
  <r>
    <n v="775"/>
    <x v="8"/>
    <n v="-40"/>
    <x v="80"/>
    <n v="1000"/>
    <n v="37"/>
    <x v="1"/>
    <x v="3"/>
    <n v="9"/>
    <x v="1"/>
    <x v="3"/>
    <x v="5"/>
    <x v="44"/>
    <x v="50"/>
    <x v="7"/>
    <n v="30"/>
    <n v="60"/>
    <n v="50"/>
    <n v="90"/>
    <n v="30"/>
    <x v="0"/>
    <n v="0.1388888888888889"/>
    <n v="0.56944444444444442"/>
    <n v="21"/>
  </r>
  <r>
    <n v="435"/>
    <x v="9"/>
    <n v="-5"/>
    <x v="81"/>
    <n v="881"/>
    <n v="59"/>
    <x v="1"/>
    <x v="3"/>
    <n v="11"/>
    <x v="1"/>
    <x v="2"/>
    <x v="4"/>
    <x v="45"/>
    <x v="28"/>
    <x v="8"/>
    <n v="20"/>
    <n v="60"/>
    <n v="60"/>
    <n v="80"/>
    <n v="22"/>
    <x v="0"/>
    <n v="0.51886792452830188"/>
    <n v="0.62264150943396224"/>
    <n v="11"/>
  </r>
  <r>
    <n v="603"/>
    <x v="10"/>
    <n v="-11"/>
    <x v="82"/>
    <n v="310"/>
    <n v="71"/>
    <x v="1"/>
    <x v="2"/>
    <n v="15"/>
    <x v="1"/>
    <x v="3"/>
    <x v="6"/>
    <x v="31"/>
    <x v="51"/>
    <x v="9"/>
    <n v="30"/>
    <n v="60"/>
    <n v="60"/>
    <n v="90"/>
    <n v="38"/>
    <x v="1"/>
    <n v="0.3828125"/>
    <n v="0.6171875"/>
    <n v="23"/>
  </r>
  <r>
    <n v="603"/>
    <x v="11"/>
    <n v="-14"/>
    <x v="83"/>
    <n v="447"/>
    <n v="69"/>
    <x v="1"/>
    <x v="2"/>
    <n v="14"/>
    <x v="1"/>
    <x v="3"/>
    <x v="7"/>
    <x v="18"/>
    <x v="26"/>
    <x v="9"/>
    <n v="30"/>
    <n v="60"/>
    <n v="50"/>
    <n v="90"/>
    <n v="45"/>
    <x v="1"/>
    <n v="0.2975206611570248"/>
    <n v="0.62809917355371903"/>
    <n v="31"/>
  </r>
  <r>
    <n v="603"/>
    <x v="11"/>
    <n v="-40"/>
    <x v="84"/>
    <n v="320"/>
    <n v="64"/>
    <x v="1"/>
    <x v="2"/>
    <n v="41"/>
    <x v="1"/>
    <x v="2"/>
    <x v="8"/>
    <x v="46"/>
    <x v="52"/>
    <x v="9"/>
    <n v="30"/>
    <n v="60"/>
    <n v="30"/>
    <n v="90"/>
    <n v="71"/>
    <x v="1"/>
    <n v="-8.6206896551724144E-2"/>
    <n v="0.61206896551724133"/>
    <n v="30"/>
  </r>
  <r>
    <n v="504"/>
    <x v="12"/>
    <n v="-9"/>
    <x v="85"/>
    <n v="-762"/>
    <n v="84"/>
    <x v="1"/>
    <x v="1"/>
    <n v="54"/>
    <x v="1"/>
    <x v="2"/>
    <x v="9"/>
    <x v="12"/>
    <x v="43"/>
    <x v="10"/>
    <n v="30"/>
    <n v="60"/>
    <n v="10"/>
    <n v="90"/>
    <n v="83"/>
    <x v="1"/>
    <n v="6.5359477124183009E-3"/>
    <n v="0.60784313725490191"/>
    <n v="29"/>
  </r>
  <r>
    <n v="702"/>
    <x v="13"/>
    <n v="-33"/>
    <x v="86"/>
    <n v="240"/>
    <n v="43"/>
    <x v="1"/>
    <x v="3"/>
    <n v="12"/>
    <x v="1"/>
    <x v="3"/>
    <x v="7"/>
    <x v="37"/>
    <x v="40"/>
    <x v="7"/>
    <n v="40"/>
    <n v="60"/>
    <n v="30"/>
    <n v="100"/>
    <n v="45"/>
    <x v="1"/>
    <n v="-3.6585365853658534E-2"/>
    <n v="0.58536585365853655"/>
    <n v="33"/>
  </r>
  <r>
    <n v="971"/>
    <x v="14"/>
    <n v="-22"/>
    <x v="87"/>
    <n v="404"/>
    <n v="66"/>
    <x v="1"/>
    <x v="3"/>
    <n v="20"/>
    <x v="1"/>
    <x v="2"/>
    <x v="9"/>
    <x v="47"/>
    <x v="51"/>
    <x v="11"/>
    <n v="40"/>
    <n v="60"/>
    <n v="40"/>
    <n v="100"/>
    <n v="54"/>
    <x v="1"/>
    <n v="0.140625"/>
    <n v="0.578125"/>
    <n v="34"/>
  </r>
  <r>
    <n v="573"/>
    <x v="11"/>
    <n v="-39"/>
    <x v="88"/>
    <n v="320"/>
    <n v="64"/>
    <x v="1"/>
    <x v="0"/>
    <n v="41"/>
    <x v="0"/>
    <x v="0"/>
    <x v="10"/>
    <x v="48"/>
    <x v="52"/>
    <x v="12"/>
    <n v="20"/>
    <n v="60"/>
    <n v="30"/>
    <n v="80"/>
    <n v="70"/>
    <x v="0"/>
    <n v="-7.7586206896551727E-2"/>
    <n v="0.61206896551724133"/>
    <n v="29"/>
  </r>
  <r>
    <n v="262"/>
    <x v="15"/>
    <n v="7"/>
    <x v="89"/>
    <n v="851"/>
    <n v="70"/>
    <x v="1"/>
    <x v="0"/>
    <n v="13"/>
    <x v="0"/>
    <x v="0"/>
    <x v="0"/>
    <x v="49"/>
    <x v="53"/>
    <x v="13"/>
    <n v="30"/>
    <n v="60"/>
    <n v="60"/>
    <n v="90"/>
    <n v="25"/>
    <x v="0"/>
    <n v="0.53174603174603174"/>
    <n v="0.61904761904761907"/>
    <n v="12"/>
  </r>
  <r>
    <n v="801"/>
    <x v="10"/>
    <n v="-11"/>
    <x v="90"/>
    <n v="310"/>
    <n v="71"/>
    <x v="1"/>
    <x v="3"/>
    <n v="15"/>
    <x v="0"/>
    <x v="0"/>
    <x v="10"/>
    <x v="31"/>
    <x v="51"/>
    <x v="8"/>
    <n v="30"/>
    <n v="60"/>
    <n v="60"/>
    <n v="90"/>
    <n v="38"/>
    <x v="0"/>
    <n v="0.3828125"/>
    <n v="0.6171875"/>
    <n v="23"/>
  </r>
  <r>
    <n v="509"/>
    <x v="15"/>
    <n v="10"/>
    <x v="91"/>
    <n v="829"/>
    <n v="71"/>
    <x v="1"/>
    <x v="3"/>
    <n v="13"/>
    <x v="0"/>
    <x v="0"/>
    <x v="0"/>
    <x v="50"/>
    <x v="35"/>
    <x v="14"/>
    <n v="30"/>
    <n v="60"/>
    <n v="60"/>
    <n v="90"/>
    <n v="24"/>
    <x v="0"/>
    <n v="0.55118110236220474"/>
    <n v="0.62204724409448819"/>
    <n v="11"/>
  </r>
  <r>
    <n v="475"/>
    <x v="9"/>
    <n v="3"/>
    <x v="92"/>
    <n v="881"/>
    <n v="59"/>
    <x v="1"/>
    <x v="2"/>
    <n v="11"/>
    <x v="0"/>
    <x v="1"/>
    <x v="2"/>
    <x v="36"/>
    <x v="28"/>
    <x v="5"/>
    <n v="40"/>
    <n v="60"/>
    <n v="50"/>
    <n v="100"/>
    <n v="23"/>
    <x v="1"/>
    <n v="0.5"/>
    <n v="0.62264150943396224"/>
    <n v="12"/>
  </r>
  <r>
    <n v="503"/>
    <x v="16"/>
    <n v="45"/>
    <x v="93"/>
    <n v="788"/>
    <n v="123"/>
    <x v="1"/>
    <x v="3"/>
    <n v="27"/>
    <x v="0"/>
    <x v="1"/>
    <x v="11"/>
    <x v="51"/>
    <x v="18"/>
    <x v="11"/>
    <n v="30"/>
    <n v="60"/>
    <n v="50"/>
    <n v="90"/>
    <n v="59"/>
    <x v="1"/>
    <n v="0.43577981651376146"/>
    <n v="0.62385321100917435"/>
    <n v="32"/>
  </r>
  <r>
    <n v="541"/>
    <x v="17"/>
    <n v="63"/>
    <x v="94"/>
    <n v="656"/>
    <n v="127"/>
    <x v="1"/>
    <x v="3"/>
    <n v="28"/>
    <x v="0"/>
    <x v="1"/>
    <x v="3"/>
    <x v="52"/>
    <x v="54"/>
    <x v="11"/>
    <n v="40"/>
    <n v="60"/>
    <n v="50"/>
    <n v="100"/>
    <n v="51"/>
    <x v="1"/>
    <n v="0.48706896551724138"/>
    <n v="0.60775862068965514"/>
    <n v="23"/>
  </r>
  <r>
    <n v="936"/>
    <x v="9"/>
    <n v="-1"/>
    <x v="95"/>
    <n v="536"/>
    <n v="52"/>
    <x v="0"/>
    <x v="1"/>
    <n v="13"/>
    <x v="1"/>
    <x v="3"/>
    <x v="5"/>
    <x v="40"/>
    <x v="55"/>
    <x v="1"/>
    <n v="40"/>
    <n v="60"/>
    <n v="40"/>
    <n v="100"/>
    <n v="26"/>
    <x v="0"/>
    <n v="0.39795918367346939"/>
    <n v="0.59183673469387754"/>
    <n v="13"/>
  </r>
  <r>
    <n v="254"/>
    <x v="18"/>
    <n v="31"/>
    <x v="96"/>
    <n v="589"/>
    <n v="73"/>
    <x v="0"/>
    <x v="1"/>
    <n v="14"/>
    <x v="1"/>
    <x v="2"/>
    <x v="4"/>
    <x v="53"/>
    <x v="41"/>
    <x v="1"/>
    <n v="30"/>
    <n v="60"/>
    <n v="40"/>
    <n v="90"/>
    <n v="25"/>
    <x v="0"/>
    <n v="0.5419847328244275"/>
    <n v="0.61832061068702293"/>
    <n v="11"/>
  </r>
  <r>
    <n v="719"/>
    <x v="9"/>
    <n v="0"/>
    <x v="97"/>
    <n v="536"/>
    <n v="52"/>
    <x v="0"/>
    <x v="0"/>
    <n v="13"/>
    <x v="1"/>
    <x v="3"/>
    <x v="7"/>
    <x v="54"/>
    <x v="55"/>
    <x v="0"/>
    <n v="30"/>
    <n v="60"/>
    <n v="40"/>
    <n v="90"/>
    <n v="25"/>
    <x v="1"/>
    <n v="0.40816326530612246"/>
    <n v="0.59183673469387754"/>
    <n v="12"/>
  </r>
  <r>
    <n v="339"/>
    <x v="1"/>
    <n v="-12"/>
    <x v="98"/>
    <n v="554"/>
    <n v="68"/>
    <x v="0"/>
    <x v="2"/>
    <n v="47"/>
    <x v="1"/>
    <x v="2"/>
    <x v="8"/>
    <x v="55"/>
    <x v="51"/>
    <x v="15"/>
    <n v="50"/>
    <n v="60"/>
    <n v="0"/>
    <n v="110"/>
    <n v="76"/>
    <x v="1"/>
    <n v="-9.375E-2"/>
    <n v="0.59375"/>
    <n v="29"/>
  </r>
  <r>
    <n v="561"/>
    <x v="19"/>
    <n v="35"/>
    <x v="99"/>
    <n v="1063"/>
    <n v="89"/>
    <x v="0"/>
    <x v="2"/>
    <n v="23"/>
    <x v="0"/>
    <x v="0"/>
    <x v="1"/>
    <x v="56"/>
    <x v="56"/>
    <x v="2"/>
    <n v="50"/>
    <n v="60"/>
    <n v="30"/>
    <n v="110"/>
    <n v="45"/>
    <x v="0"/>
    <n v="0.37142857142857144"/>
    <n v="0.5714285714285714"/>
    <n v="22"/>
  </r>
  <r>
    <n v="806"/>
    <x v="20"/>
    <n v="16"/>
    <x v="100"/>
    <n v="424"/>
    <n v="68"/>
    <x v="0"/>
    <x v="1"/>
    <n v="14"/>
    <x v="0"/>
    <x v="0"/>
    <x v="0"/>
    <x v="43"/>
    <x v="26"/>
    <x v="1"/>
    <n v="40"/>
    <n v="60"/>
    <n v="30"/>
    <n v="100"/>
    <n v="37"/>
    <x v="0"/>
    <n v="0.38016528925619836"/>
    <n v="0.6198347107438017"/>
    <n v="23"/>
  </r>
  <r>
    <n v="719"/>
    <x v="21"/>
    <n v="2"/>
    <x v="101"/>
    <n v="410"/>
    <n v="69"/>
    <x v="0"/>
    <x v="0"/>
    <n v="20"/>
    <x v="0"/>
    <x v="1"/>
    <x v="2"/>
    <x v="57"/>
    <x v="57"/>
    <x v="0"/>
    <n v="40"/>
    <n v="60"/>
    <n v="20"/>
    <n v="100"/>
    <n v="54"/>
    <x v="1"/>
    <n v="0.16666666666666666"/>
    <n v="0.58333333333333337"/>
    <n v="34"/>
  </r>
  <r>
    <n v="708"/>
    <x v="18"/>
    <n v="31"/>
    <x v="102"/>
    <n v="589"/>
    <n v="73"/>
    <x v="0"/>
    <x v="0"/>
    <n v="14"/>
    <x v="0"/>
    <x v="1"/>
    <x v="2"/>
    <x v="53"/>
    <x v="41"/>
    <x v="16"/>
    <n v="40"/>
    <n v="60"/>
    <n v="40"/>
    <n v="100"/>
    <n v="25"/>
    <x v="1"/>
    <n v="0.5419847328244275"/>
    <n v="0.61832061068702293"/>
    <n v="11"/>
  </r>
  <r>
    <n v="719"/>
    <x v="22"/>
    <n v="13"/>
    <x v="103"/>
    <n v="1042"/>
    <n v="68"/>
    <x v="0"/>
    <x v="0"/>
    <n v="17"/>
    <x v="0"/>
    <x v="1"/>
    <x v="11"/>
    <x v="58"/>
    <x v="33"/>
    <x v="0"/>
    <n v="40"/>
    <n v="60"/>
    <n v="30"/>
    <n v="100"/>
    <n v="39"/>
    <x v="1"/>
    <n v="0.32330827067669171"/>
    <n v="0.5714285714285714"/>
    <n v="22"/>
  </r>
  <r>
    <n v="351"/>
    <x v="23"/>
    <n v="6"/>
    <x v="104"/>
    <n v="862"/>
    <n v="52"/>
    <x v="0"/>
    <x v="2"/>
    <n v="10"/>
    <x v="0"/>
    <x v="1"/>
    <x v="2"/>
    <x v="43"/>
    <x v="3"/>
    <x v="15"/>
    <n v="30"/>
    <n v="60"/>
    <n v="40"/>
    <n v="90"/>
    <n v="21"/>
    <x v="1"/>
    <n v="0.48936170212765956"/>
    <n v="0.61702127659574468"/>
    <n v="11"/>
  </r>
  <r>
    <n v="636"/>
    <x v="24"/>
    <n v="-10"/>
    <x v="105"/>
    <n v="836"/>
    <n v="48"/>
    <x v="1"/>
    <x v="0"/>
    <n v="9"/>
    <x v="1"/>
    <x v="2"/>
    <x v="4"/>
    <x v="54"/>
    <x v="58"/>
    <x v="12"/>
    <n v="40"/>
    <n v="60"/>
    <n v="50"/>
    <n v="100"/>
    <n v="21"/>
    <x v="0"/>
    <n v="0.46511627906976744"/>
    <n v="0.61627906976744184"/>
    <n v="12"/>
  </r>
  <r>
    <n v="504"/>
    <x v="8"/>
    <n v="-8"/>
    <x v="106"/>
    <n v="856"/>
    <n v="47"/>
    <x v="1"/>
    <x v="1"/>
    <n v="8"/>
    <x v="1"/>
    <x v="3"/>
    <x v="5"/>
    <x v="41"/>
    <x v="59"/>
    <x v="10"/>
    <n v="30"/>
    <n v="60"/>
    <n v="50"/>
    <n v="90"/>
    <n v="19"/>
    <x v="0"/>
    <n v="0.50602409638554213"/>
    <n v="0.62650602409638556"/>
    <n v="11"/>
  </r>
  <r>
    <n v="580"/>
    <x v="23"/>
    <n v="5"/>
    <x v="107"/>
    <n v="862"/>
    <n v="52"/>
    <x v="1"/>
    <x v="1"/>
    <n v="10"/>
    <x v="1"/>
    <x v="3"/>
    <x v="5"/>
    <x v="16"/>
    <x v="3"/>
    <x v="6"/>
    <n v="40"/>
    <n v="60"/>
    <n v="40"/>
    <n v="100"/>
    <n v="22"/>
    <x v="0"/>
    <n v="0.47872340425531917"/>
    <n v="0.61702127659574468"/>
    <n v="12"/>
  </r>
  <r>
    <n v="337"/>
    <x v="10"/>
    <n v="20"/>
    <x v="108"/>
    <n v="454"/>
    <n v="71"/>
    <x v="1"/>
    <x v="1"/>
    <n v="15"/>
    <x v="1"/>
    <x v="2"/>
    <x v="4"/>
    <x v="35"/>
    <x v="51"/>
    <x v="10"/>
    <n v="30"/>
    <n v="60"/>
    <n v="30"/>
    <n v="90"/>
    <n v="37"/>
    <x v="0"/>
    <n v="0.390625"/>
    <n v="0.6171875"/>
    <n v="22"/>
  </r>
  <r>
    <n v="262"/>
    <x v="14"/>
    <n v="1"/>
    <x v="109"/>
    <n v="391"/>
    <n v="67"/>
    <x v="1"/>
    <x v="0"/>
    <n v="20"/>
    <x v="1"/>
    <x v="3"/>
    <x v="6"/>
    <x v="6"/>
    <x v="60"/>
    <x v="13"/>
    <n v="50"/>
    <n v="60"/>
    <n v="20"/>
    <n v="110"/>
    <n v="53"/>
    <x v="1"/>
    <n v="0.16279069767441862"/>
    <n v="0.58139534883720934"/>
    <n v="33"/>
  </r>
  <r>
    <n v="603"/>
    <x v="20"/>
    <n v="5"/>
    <x v="110"/>
    <n v="316"/>
    <n v="67"/>
    <x v="1"/>
    <x v="2"/>
    <n v="14"/>
    <x v="1"/>
    <x v="3"/>
    <x v="6"/>
    <x v="16"/>
    <x v="10"/>
    <x v="9"/>
    <n v="40"/>
    <n v="60"/>
    <n v="40"/>
    <n v="100"/>
    <n v="37"/>
    <x v="1"/>
    <n v="0.375"/>
    <n v="0.6166666666666667"/>
    <n v="23"/>
  </r>
  <r>
    <n v="603"/>
    <x v="2"/>
    <n v="0"/>
    <x v="111"/>
    <n v="452"/>
    <n v="66"/>
    <x v="1"/>
    <x v="2"/>
    <n v="14"/>
    <x v="1"/>
    <x v="3"/>
    <x v="7"/>
    <x v="27"/>
    <x v="52"/>
    <x v="9"/>
    <n v="30"/>
    <n v="60"/>
    <n v="30"/>
    <n v="90"/>
    <n v="46"/>
    <x v="1"/>
    <n v="0.25862068965517243"/>
    <n v="0.62931034482758619"/>
    <n v="32"/>
  </r>
  <r>
    <n v="603"/>
    <x v="25"/>
    <n v="-22"/>
    <x v="112"/>
    <n v="325"/>
    <n v="62"/>
    <x v="1"/>
    <x v="2"/>
    <n v="40"/>
    <x v="1"/>
    <x v="2"/>
    <x v="8"/>
    <x v="55"/>
    <x v="27"/>
    <x v="9"/>
    <n v="40"/>
    <n v="60"/>
    <n v="10"/>
    <n v="100"/>
    <n v="70"/>
    <x v="1"/>
    <n v="-0.10619469026548672"/>
    <n v="0.61061946902654862"/>
    <n v="30"/>
  </r>
  <r>
    <n v="318"/>
    <x v="26"/>
    <n v="43"/>
    <x v="113"/>
    <n v="321"/>
    <n v="88"/>
    <x v="1"/>
    <x v="1"/>
    <n v="16"/>
    <x v="1"/>
    <x v="2"/>
    <x v="8"/>
    <x v="59"/>
    <x v="61"/>
    <x v="10"/>
    <n v="40"/>
    <n v="60"/>
    <n v="30"/>
    <n v="100"/>
    <n v="39"/>
    <x v="1"/>
    <n v="0.48666666666666669"/>
    <n v="0.64666666666666661"/>
    <n v="23"/>
  </r>
  <r>
    <n v="206"/>
    <x v="14"/>
    <n v="-1"/>
    <x v="114"/>
    <n v="391"/>
    <n v="67"/>
    <x v="1"/>
    <x v="3"/>
    <n v="20"/>
    <x v="1"/>
    <x v="2"/>
    <x v="8"/>
    <x v="60"/>
    <x v="60"/>
    <x v="14"/>
    <n v="50"/>
    <n v="60"/>
    <n v="20"/>
    <n v="110"/>
    <n v="54"/>
    <x v="1"/>
    <n v="0.14728682170542637"/>
    <n v="0.58139534883720934"/>
    <n v="34"/>
  </r>
  <r>
    <n v="580"/>
    <x v="14"/>
    <n v="-1"/>
    <x v="115"/>
    <n v="391"/>
    <n v="67"/>
    <x v="1"/>
    <x v="1"/>
    <n v="20"/>
    <x v="0"/>
    <x v="0"/>
    <x v="10"/>
    <x v="60"/>
    <x v="60"/>
    <x v="6"/>
    <n v="50"/>
    <n v="60"/>
    <n v="20"/>
    <n v="110"/>
    <n v="54"/>
    <x v="0"/>
    <n v="0.14728682170542637"/>
    <n v="0.58139534883720934"/>
    <n v="34"/>
  </r>
  <r>
    <n v="435"/>
    <x v="20"/>
    <n v="15"/>
    <x v="116"/>
    <n v="316"/>
    <n v="67"/>
    <x v="1"/>
    <x v="3"/>
    <n v="14"/>
    <x v="0"/>
    <x v="0"/>
    <x v="10"/>
    <x v="16"/>
    <x v="10"/>
    <x v="8"/>
    <n v="40"/>
    <n v="60"/>
    <n v="30"/>
    <n v="100"/>
    <n v="37"/>
    <x v="0"/>
    <n v="0.375"/>
    <n v="0.6166666666666667"/>
    <n v="23"/>
  </r>
  <r>
    <n v="435"/>
    <x v="2"/>
    <n v="0"/>
    <x v="117"/>
    <n v="452"/>
    <n v="66"/>
    <x v="1"/>
    <x v="3"/>
    <n v="14"/>
    <x v="0"/>
    <x v="0"/>
    <x v="0"/>
    <x v="27"/>
    <x v="52"/>
    <x v="8"/>
    <n v="40"/>
    <n v="60"/>
    <n v="30"/>
    <n v="100"/>
    <n v="46"/>
    <x v="0"/>
    <n v="0.25862068965517243"/>
    <n v="0.62931034482758619"/>
    <n v="32"/>
  </r>
  <r>
    <n v="253"/>
    <x v="6"/>
    <n v="25"/>
    <x v="118"/>
    <n v="834"/>
    <n v="68"/>
    <x v="1"/>
    <x v="3"/>
    <n v="13"/>
    <x v="0"/>
    <x v="0"/>
    <x v="0"/>
    <x v="56"/>
    <x v="1"/>
    <x v="14"/>
    <n v="40"/>
    <n v="60"/>
    <n v="40"/>
    <n v="100"/>
    <n v="24"/>
    <x v="0"/>
    <n v="0.52845528455284552"/>
    <n v="0.61788617886178865"/>
    <n v="11"/>
  </r>
  <r>
    <n v="203"/>
    <x v="23"/>
    <n v="9"/>
    <x v="119"/>
    <n v="809"/>
    <n v="54"/>
    <x v="1"/>
    <x v="2"/>
    <n v="10"/>
    <x v="0"/>
    <x v="1"/>
    <x v="3"/>
    <x v="31"/>
    <x v="62"/>
    <x v="5"/>
    <n v="30"/>
    <n v="60"/>
    <n v="40"/>
    <n v="90"/>
    <n v="21"/>
    <x v="1"/>
    <n v="0.51041666666666663"/>
    <n v="0.625"/>
    <n v="11"/>
  </r>
  <r>
    <n v="509"/>
    <x v="27"/>
    <n v="1"/>
    <x v="120"/>
    <n v="613"/>
    <n v="86"/>
    <x v="1"/>
    <x v="3"/>
    <n v="55"/>
    <x v="0"/>
    <x v="1"/>
    <x v="3"/>
    <x v="12"/>
    <x v="63"/>
    <x v="14"/>
    <n v="40"/>
    <n v="60"/>
    <n v="0"/>
    <n v="100"/>
    <n v="85"/>
    <x v="1"/>
    <n v="6.369426751592357E-3"/>
    <n v="0.61146496815286622"/>
    <n v="30"/>
  </r>
  <r>
    <n v="956"/>
    <x v="2"/>
    <n v="5"/>
    <x v="121"/>
    <n v="531"/>
    <n v="56"/>
    <x v="0"/>
    <x v="1"/>
    <n v="14"/>
    <x v="1"/>
    <x v="3"/>
    <x v="5"/>
    <x v="16"/>
    <x v="28"/>
    <x v="1"/>
    <n v="50"/>
    <n v="60"/>
    <n v="40"/>
    <n v="110"/>
    <n v="26"/>
    <x v="0"/>
    <n v="0.42452830188679247"/>
    <n v="0.59433962264150941"/>
    <n v="12"/>
  </r>
  <r>
    <n v="430"/>
    <x v="14"/>
    <n v="37"/>
    <x v="122"/>
    <n v="601"/>
    <n v="79"/>
    <x v="0"/>
    <x v="1"/>
    <n v="15"/>
    <x v="1"/>
    <x v="2"/>
    <x v="4"/>
    <x v="61"/>
    <x v="64"/>
    <x v="1"/>
    <n v="40"/>
    <n v="60"/>
    <n v="40"/>
    <n v="100"/>
    <n v="27"/>
    <x v="0"/>
    <n v="0.54225352112676062"/>
    <n v="0.61971830985915488"/>
    <n v="12"/>
  </r>
  <r>
    <n v="719"/>
    <x v="6"/>
    <n v="-9"/>
    <x v="123"/>
    <n v="521"/>
    <n v="65"/>
    <x v="0"/>
    <x v="0"/>
    <n v="42"/>
    <x v="0"/>
    <x v="0"/>
    <x v="0"/>
    <x v="48"/>
    <x v="16"/>
    <x v="0"/>
    <n v="40"/>
    <n v="60"/>
    <n v="0"/>
    <n v="100"/>
    <n v="71"/>
    <x v="0"/>
    <n v="-7.5630252100840331E-2"/>
    <n v="0.60504201680672265"/>
    <n v="29"/>
  </r>
  <r>
    <n v="970"/>
    <x v="14"/>
    <n v="13"/>
    <x v="124"/>
    <n v="424"/>
    <n v="73"/>
    <x v="0"/>
    <x v="0"/>
    <n v="17"/>
    <x v="0"/>
    <x v="0"/>
    <x v="1"/>
    <x v="58"/>
    <x v="65"/>
    <x v="0"/>
    <n v="50"/>
    <n v="60"/>
    <n v="30"/>
    <n v="110"/>
    <n v="44"/>
    <x v="0"/>
    <n v="0.31851851851851853"/>
    <n v="0.6"/>
    <n v="27"/>
  </r>
  <r>
    <n v="305"/>
    <x v="28"/>
    <n v="14"/>
    <x v="125"/>
    <n v="403"/>
    <n v="80"/>
    <x v="0"/>
    <x v="2"/>
    <n v="24"/>
    <x v="0"/>
    <x v="0"/>
    <x v="0"/>
    <x v="28"/>
    <x v="66"/>
    <x v="2"/>
    <n v="40"/>
    <n v="60"/>
    <n v="20"/>
    <n v="100"/>
    <n v="57"/>
    <x v="0"/>
    <n v="0.21935483870967742"/>
    <n v="0.58064516129032262"/>
    <n v="33"/>
  </r>
  <r>
    <n v="407"/>
    <x v="29"/>
    <n v="44"/>
    <x v="126"/>
    <n v="1079"/>
    <n v="96"/>
    <x v="0"/>
    <x v="2"/>
    <n v="24"/>
    <x v="0"/>
    <x v="0"/>
    <x v="1"/>
    <x v="62"/>
    <x v="67"/>
    <x v="2"/>
    <n v="60"/>
    <n v="60"/>
    <n v="30"/>
    <n v="120"/>
    <n v="46"/>
    <x v="0"/>
    <n v="0.39361702127659576"/>
    <n v="0.57446808510638303"/>
    <n v="22"/>
  </r>
  <r>
    <n v="325"/>
    <x v="14"/>
    <n v="12"/>
    <x v="127"/>
    <n v="424"/>
    <n v="73"/>
    <x v="0"/>
    <x v="1"/>
    <n v="17"/>
    <x v="0"/>
    <x v="0"/>
    <x v="10"/>
    <x v="41"/>
    <x v="65"/>
    <x v="1"/>
    <n v="50"/>
    <n v="60"/>
    <n v="30"/>
    <n v="110"/>
    <n v="45"/>
    <x v="0"/>
    <n v="0.31111111111111112"/>
    <n v="0.6"/>
    <n v="28"/>
  </r>
  <r>
    <n v="430"/>
    <x v="30"/>
    <n v="6"/>
    <x v="128"/>
    <n v="435"/>
    <n v="60"/>
    <x v="0"/>
    <x v="1"/>
    <n v="13"/>
    <x v="0"/>
    <x v="0"/>
    <x v="0"/>
    <x v="18"/>
    <x v="68"/>
    <x v="1"/>
    <n v="30"/>
    <n v="60"/>
    <n v="30"/>
    <n v="90"/>
    <n v="36"/>
    <x v="0"/>
    <n v="0.33333333333333331"/>
    <n v="0.62037037037037035"/>
    <n v="23"/>
  </r>
  <r>
    <n v="408"/>
    <x v="14"/>
    <n v="29"/>
    <x v="129"/>
    <n v="601"/>
    <n v="79"/>
    <x v="0"/>
    <x v="3"/>
    <n v="15"/>
    <x v="0"/>
    <x v="1"/>
    <x v="11"/>
    <x v="63"/>
    <x v="64"/>
    <x v="3"/>
    <n v="30"/>
    <n v="60"/>
    <n v="50"/>
    <n v="90"/>
    <n v="26"/>
    <x v="1"/>
    <n v="0.55633802816901412"/>
    <n v="0.61971830985915488"/>
    <n v="11"/>
  </r>
  <r>
    <n v="816"/>
    <x v="8"/>
    <n v="-10"/>
    <x v="130"/>
    <n v="844"/>
    <n v="46"/>
    <x v="1"/>
    <x v="0"/>
    <n v="8"/>
    <x v="1"/>
    <x v="2"/>
    <x v="4"/>
    <x v="54"/>
    <x v="40"/>
    <x v="12"/>
    <n v="30"/>
    <n v="60"/>
    <n v="50"/>
    <n v="90"/>
    <n v="19"/>
    <x v="0"/>
    <n v="0.48780487804878048"/>
    <n v="0.62195121951219512"/>
    <n v="11"/>
  </r>
  <r>
    <n v="337"/>
    <x v="13"/>
    <n v="-4"/>
    <x v="131"/>
    <n v="863"/>
    <n v="51"/>
    <x v="1"/>
    <x v="1"/>
    <n v="9"/>
    <x v="1"/>
    <x v="3"/>
    <x v="5"/>
    <x v="43"/>
    <x v="69"/>
    <x v="10"/>
    <n v="40"/>
    <n v="60"/>
    <n v="50"/>
    <n v="100"/>
    <n v="20"/>
    <x v="0"/>
    <n v="0.50549450549450547"/>
    <n v="0.62637362637362637"/>
    <n v="11"/>
  </r>
  <r>
    <n v="918"/>
    <x v="24"/>
    <n v="-8"/>
    <x v="132"/>
    <n v="870"/>
    <n v="49"/>
    <x v="1"/>
    <x v="1"/>
    <n v="9"/>
    <x v="1"/>
    <x v="3"/>
    <x v="5"/>
    <x v="41"/>
    <x v="70"/>
    <x v="6"/>
    <n v="30"/>
    <n v="60"/>
    <n v="50"/>
    <n v="90"/>
    <n v="21"/>
    <x v="0"/>
    <n v="0.48275862068965519"/>
    <n v="0.62068965517241381"/>
    <n v="12"/>
  </r>
  <r>
    <n v="603"/>
    <x v="15"/>
    <n v="12"/>
    <x v="133"/>
    <n v="462"/>
    <n v="74"/>
    <x v="1"/>
    <x v="2"/>
    <n v="15"/>
    <x v="1"/>
    <x v="3"/>
    <x v="7"/>
    <x v="41"/>
    <x v="45"/>
    <x v="9"/>
    <n v="40"/>
    <n v="60"/>
    <n v="30"/>
    <n v="100"/>
    <n v="46"/>
    <x v="1"/>
    <n v="0.32307692307692309"/>
    <n v="0.63076923076923075"/>
    <n v="31"/>
  </r>
  <r>
    <n v="225"/>
    <x v="21"/>
    <n v="-4"/>
    <x v="134"/>
    <n v="-1053"/>
    <n v="76"/>
    <x v="1"/>
    <x v="1"/>
    <n v="49"/>
    <x v="1"/>
    <x v="2"/>
    <x v="9"/>
    <x v="64"/>
    <x v="71"/>
    <x v="10"/>
    <n v="40"/>
    <n v="60"/>
    <n v="0"/>
    <n v="100"/>
    <n v="79"/>
    <x v="1"/>
    <n v="-2.8571428571428571E-2"/>
    <n v="0.6071428571428571"/>
    <n v="30"/>
  </r>
  <r>
    <n v="505"/>
    <x v="10"/>
    <n v="-17"/>
    <x v="135"/>
    <n v="335"/>
    <n v="69"/>
    <x v="1"/>
    <x v="1"/>
    <n v="44"/>
    <x v="1"/>
    <x v="2"/>
    <x v="8"/>
    <x v="11"/>
    <x v="53"/>
    <x v="17"/>
    <n v="30"/>
    <n v="60"/>
    <n v="10"/>
    <n v="90"/>
    <n v="74"/>
    <x v="1"/>
    <n v="-5.5555555555555552E-2"/>
    <n v="0.61111111111111116"/>
    <n v="30"/>
  </r>
  <r>
    <n v="702"/>
    <x v="31"/>
    <n v="-19"/>
    <x v="136"/>
    <n v="250"/>
    <n v="49"/>
    <x v="1"/>
    <x v="3"/>
    <n v="14"/>
    <x v="1"/>
    <x v="3"/>
    <x v="7"/>
    <x v="12"/>
    <x v="3"/>
    <x v="7"/>
    <n v="40"/>
    <n v="60"/>
    <n v="20"/>
    <n v="100"/>
    <n v="48"/>
    <x v="1"/>
    <n v="1.0638297872340425E-2"/>
    <n v="0.58510638297872342"/>
    <n v="34"/>
  </r>
  <r>
    <n v="314"/>
    <x v="10"/>
    <n v="-7"/>
    <x v="137"/>
    <n v="335"/>
    <n v="69"/>
    <x v="1"/>
    <x v="0"/>
    <n v="44"/>
    <x v="0"/>
    <x v="0"/>
    <x v="10"/>
    <x v="11"/>
    <x v="53"/>
    <x v="12"/>
    <n v="40"/>
    <n v="60"/>
    <n v="0"/>
    <n v="100"/>
    <n v="74"/>
    <x v="0"/>
    <n v="-5.5555555555555552E-2"/>
    <n v="0.61111111111111116"/>
    <n v="30"/>
  </r>
  <r>
    <n v="920"/>
    <x v="30"/>
    <n v="15"/>
    <x v="138"/>
    <n v="320"/>
    <n v="66"/>
    <x v="1"/>
    <x v="0"/>
    <n v="12"/>
    <x v="0"/>
    <x v="0"/>
    <x v="10"/>
    <x v="16"/>
    <x v="11"/>
    <x v="13"/>
    <n v="30"/>
    <n v="60"/>
    <n v="30"/>
    <n v="90"/>
    <n v="36"/>
    <x v="0"/>
    <n v="0.39473684210526316"/>
    <n v="0.64035087719298245"/>
    <n v="24"/>
  </r>
  <r>
    <n v="417"/>
    <x v="32"/>
    <n v="4"/>
    <x v="139"/>
    <n v="1898"/>
    <n v="68"/>
    <x v="1"/>
    <x v="0"/>
    <n v="28"/>
    <x v="0"/>
    <x v="0"/>
    <x v="0"/>
    <x v="10"/>
    <x v="72"/>
    <x v="12"/>
    <n v="80"/>
    <n v="60"/>
    <n v="20"/>
    <n v="140"/>
    <n v="52"/>
    <x v="0"/>
    <n v="0.14035087719298245"/>
    <n v="0.46198830409356723"/>
    <n v="24"/>
  </r>
  <r>
    <n v="860"/>
    <x v="33"/>
    <n v="20"/>
    <x v="140"/>
    <n v="619"/>
    <n v="85"/>
    <x v="1"/>
    <x v="2"/>
    <n v="25"/>
    <x v="0"/>
    <x v="0"/>
    <x v="0"/>
    <x v="54"/>
    <x v="73"/>
    <x v="5"/>
    <n v="50"/>
    <n v="60"/>
    <n v="20"/>
    <n v="110"/>
    <n v="58"/>
    <x v="0"/>
    <n v="0.24539877300613497"/>
    <n v="0.58282208588957052"/>
    <n v="33"/>
  </r>
  <r>
    <n v="203"/>
    <x v="34"/>
    <n v="13"/>
    <x v="141"/>
    <n v="1075"/>
    <n v="76"/>
    <x v="1"/>
    <x v="2"/>
    <n v="19"/>
    <x v="0"/>
    <x v="0"/>
    <x v="1"/>
    <x v="36"/>
    <x v="74"/>
    <x v="5"/>
    <n v="40"/>
    <n v="60"/>
    <n v="40"/>
    <n v="100"/>
    <n v="40"/>
    <x v="0"/>
    <n v="0.35810810810810811"/>
    <n v="0.57432432432432434"/>
    <n v="21"/>
  </r>
  <r>
    <n v="435"/>
    <x v="32"/>
    <n v="5"/>
    <x v="142"/>
    <n v="1898"/>
    <n v="68"/>
    <x v="1"/>
    <x v="3"/>
    <n v="28"/>
    <x v="0"/>
    <x v="0"/>
    <x v="1"/>
    <x v="65"/>
    <x v="72"/>
    <x v="8"/>
    <n v="80"/>
    <n v="60"/>
    <n v="20"/>
    <n v="140"/>
    <n v="51"/>
    <x v="0"/>
    <n v="0.14619883040935672"/>
    <n v="0.46198830409356723"/>
    <n v="23"/>
  </r>
  <r>
    <n v="262"/>
    <x v="21"/>
    <n v="-4"/>
    <x v="143"/>
    <n v="627"/>
    <n v="76"/>
    <x v="1"/>
    <x v="0"/>
    <n v="49"/>
    <x v="0"/>
    <x v="1"/>
    <x v="11"/>
    <x v="64"/>
    <x v="71"/>
    <x v="13"/>
    <n v="40"/>
    <n v="60"/>
    <n v="0"/>
    <n v="100"/>
    <n v="79"/>
    <x v="1"/>
    <n v="-2.8571428571428571E-2"/>
    <n v="0.6071428571428571"/>
    <n v="30"/>
  </r>
  <r>
    <n v="719"/>
    <x v="31"/>
    <n v="-23"/>
    <x v="144"/>
    <n v="541"/>
    <n v="51"/>
    <x v="0"/>
    <x v="0"/>
    <n v="12"/>
    <x v="1"/>
    <x v="3"/>
    <x v="7"/>
    <x v="22"/>
    <x v="31"/>
    <x v="0"/>
    <n v="30"/>
    <n v="50"/>
    <n v="50"/>
    <n v="80"/>
    <n v="24"/>
    <x v="1"/>
    <n v="0.3"/>
    <n v="0.56666666666666665"/>
    <n v="12"/>
  </r>
  <r>
    <n v="305"/>
    <x v="29"/>
    <n v="8"/>
    <x v="145"/>
    <n v="1055"/>
    <n v="94"/>
    <x v="0"/>
    <x v="2"/>
    <n v="24"/>
    <x v="0"/>
    <x v="0"/>
    <x v="1"/>
    <x v="21"/>
    <x v="75"/>
    <x v="2"/>
    <n v="40"/>
    <n v="50"/>
    <n v="40"/>
    <n v="90"/>
    <n v="46"/>
    <x v="0"/>
    <n v="0.27586206896551724"/>
    <n v="0.54022988505747127"/>
    <n v="22"/>
  </r>
  <r>
    <n v="303"/>
    <x v="14"/>
    <n v="-17"/>
    <x v="146"/>
    <n v="404"/>
    <n v="66"/>
    <x v="0"/>
    <x v="0"/>
    <n v="20"/>
    <x v="0"/>
    <x v="1"/>
    <x v="2"/>
    <x v="32"/>
    <x v="10"/>
    <x v="0"/>
    <n v="30"/>
    <n v="50"/>
    <n v="30"/>
    <n v="80"/>
    <n v="53"/>
    <x v="1"/>
    <n v="0.10833333333333334"/>
    <n v="0.55000000000000004"/>
    <n v="33"/>
  </r>
  <r>
    <n v="303"/>
    <x v="14"/>
    <n v="-13"/>
    <x v="147"/>
    <n v="1037"/>
    <n v="64"/>
    <x v="0"/>
    <x v="0"/>
    <n v="16"/>
    <x v="0"/>
    <x v="1"/>
    <x v="11"/>
    <x v="22"/>
    <x v="15"/>
    <x v="0"/>
    <n v="30"/>
    <n v="50"/>
    <n v="40"/>
    <n v="80"/>
    <n v="37"/>
    <x v="1"/>
    <n v="0.2288135593220339"/>
    <n v="0.5423728813559322"/>
    <n v="21"/>
  </r>
  <r>
    <n v="508"/>
    <x v="7"/>
    <n v="-30"/>
    <x v="148"/>
    <n v="859"/>
    <n v="39"/>
    <x v="0"/>
    <x v="2"/>
    <n v="7"/>
    <x v="0"/>
    <x v="1"/>
    <x v="2"/>
    <x v="30"/>
    <x v="7"/>
    <x v="15"/>
    <n v="20"/>
    <n v="50"/>
    <n v="50"/>
    <n v="70"/>
    <n v="19"/>
    <x v="1"/>
    <n v="0.30303030303030304"/>
    <n v="0.59090909090909094"/>
    <n v="12"/>
  </r>
  <r>
    <n v="209"/>
    <x v="35"/>
    <n v="29"/>
    <x v="149"/>
    <n v="580"/>
    <n v="111"/>
    <x v="0"/>
    <x v="3"/>
    <n v="21"/>
    <x v="0"/>
    <x v="1"/>
    <x v="11"/>
    <x v="63"/>
    <x v="76"/>
    <x v="3"/>
    <n v="30"/>
    <n v="50"/>
    <n v="50"/>
    <n v="80"/>
    <n v="32"/>
    <x v="1"/>
    <n v="0.42245989304812837"/>
    <n v="0.5935828877005348"/>
    <n v="11"/>
  </r>
  <r>
    <n v="715"/>
    <x v="36"/>
    <n v="-40"/>
    <x v="150"/>
    <n v="573"/>
    <n v="29"/>
    <x v="1"/>
    <x v="0"/>
    <n v="7"/>
    <x v="1"/>
    <x v="2"/>
    <x v="4"/>
    <x v="44"/>
    <x v="77"/>
    <x v="13"/>
    <n v="20"/>
    <n v="50"/>
    <n v="50"/>
    <n v="70"/>
    <n v="19"/>
    <x v="0"/>
    <n v="0.19607843137254902"/>
    <n v="0.56862745098039214"/>
    <n v="12"/>
  </r>
  <r>
    <n v="319"/>
    <x v="37"/>
    <n v="-32"/>
    <x v="151"/>
    <n v="800"/>
    <n v="35"/>
    <x v="1"/>
    <x v="0"/>
    <n v="6"/>
    <x v="1"/>
    <x v="2"/>
    <x v="8"/>
    <x v="47"/>
    <x v="78"/>
    <x v="4"/>
    <n v="20"/>
    <n v="50"/>
    <n v="50"/>
    <n v="70"/>
    <n v="17"/>
    <x v="1"/>
    <n v="0.31034482758620691"/>
    <n v="0.60344827586206895"/>
    <n v="11"/>
  </r>
  <r>
    <n v="959"/>
    <x v="38"/>
    <n v="4"/>
    <x v="152"/>
    <n v="593"/>
    <n v="98"/>
    <x v="1"/>
    <x v="2"/>
    <n v="30"/>
    <x v="0"/>
    <x v="0"/>
    <x v="0"/>
    <x v="28"/>
    <x v="79"/>
    <x v="5"/>
    <n v="40"/>
    <n v="50"/>
    <n v="30"/>
    <n v="90"/>
    <n v="64"/>
    <x v="0"/>
    <n v="0.19209039548022599"/>
    <n v="0.5536723163841808"/>
    <n v="34"/>
  </r>
  <r>
    <n v="860"/>
    <x v="28"/>
    <n v="-15"/>
    <x v="153"/>
    <n v="1053"/>
    <n v="77"/>
    <x v="1"/>
    <x v="2"/>
    <n v="20"/>
    <x v="0"/>
    <x v="0"/>
    <x v="1"/>
    <x v="3"/>
    <x v="64"/>
    <x v="5"/>
    <n v="30"/>
    <n v="50"/>
    <n v="50"/>
    <n v="80"/>
    <n v="42"/>
    <x v="0"/>
    <n v="0.24647887323943662"/>
    <n v="0.54225352112676062"/>
    <n v="22"/>
  </r>
  <r>
    <n v="262"/>
    <x v="20"/>
    <n v="-10"/>
    <x v="154"/>
    <n v="449"/>
    <n v="67"/>
    <x v="1"/>
    <x v="0"/>
    <n v="14"/>
    <x v="0"/>
    <x v="1"/>
    <x v="2"/>
    <x v="27"/>
    <x v="27"/>
    <x v="13"/>
    <n v="20"/>
    <n v="50"/>
    <n v="40"/>
    <n v="70"/>
    <n v="37"/>
    <x v="1"/>
    <n v="0.26548672566371684"/>
    <n v="0.59292035398230092"/>
    <n v="23"/>
  </r>
  <r>
    <n v="715"/>
    <x v="12"/>
    <n v="0"/>
    <x v="155"/>
    <n v="606"/>
    <n v="84"/>
    <x v="1"/>
    <x v="0"/>
    <n v="54"/>
    <x v="0"/>
    <x v="1"/>
    <x v="11"/>
    <x v="66"/>
    <x v="13"/>
    <x v="13"/>
    <n v="40"/>
    <n v="50"/>
    <n v="0"/>
    <n v="90"/>
    <n v="84"/>
    <x v="1"/>
    <n v="0"/>
    <n v="0.58333333333333337"/>
    <n v="30"/>
  </r>
  <r>
    <n v="206"/>
    <x v="12"/>
    <n v="17"/>
    <x v="156"/>
    <n v="329"/>
    <n v="99"/>
    <x v="1"/>
    <x v="3"/>
    <n v="18"/>
    <x v="0"/>
    <x v="1"/>
    <x v="2"/>
    <x v="67"/>
    <x v="80"/>
    <x v="14"/>
    <n v="20"/>
    <n v="50"/>
    <n v="40"/>
    <n v="70"/>
    <n v="42"/>
    <x v="1"/>
    <n v="0.35849056603773582"/>
    <n v="0.62264150943396224"/>
    <n v="24"/>
  </r>
  <r>
    <n v="773"/>
    <x v="9"/>
    <n v="-3"/>
    <x v="157"/>
    <n v="536"/>
    <n v="52"/>
    <x v="0"/>
    <x v="0"/>
    <n v="13"/>
    <x v="0"/>
    <x v="0"/>
    <x v="0"/>
    <x v="22"/>
    <x v="19"/>
    <x v="16"/>
    <n v="30"/>
    <n v="50"/>
    <n v="30"/>
    <n v="80"/>
    <n v="25"/>
    <x v="0"/>
    <n v="0.29347826086956524"/>
    <n v="0.56521739130434778"/>
    <n v="12"/>
  </r>
  <r>
    <n v="614"/>
    <x v="23"/>
    <n v="-10"/>
    <x v="158"/>
    <n v="862"/>
    <n v="52"/>
    <x v="0"/>
    <x v="0"/>
    <n v="10"/>
    <x v="0"/>
    <x v="0"/>
    <x v="0"/>
    <x v="27"/>
    <x v="23"/>
    <x v="18"/>
    <n v="30"/>
    <n v="50"/>
    <n v="40"/>
    <n v="80"/>
    <n v="22"/>
    <x v="0"/>
    <n v="0.34090909090909088"/>
    <n v="0.59090909090909094"/>
    <n v="12"/>
  </r>
  <r>
    <n v="617"/>
    <x v="21"/>
    <n v="-5"/>
    <x v="159"/>
    <n v="410"/>
    <n v="69"/>
    <x v="0"/>
    <x v="2"/>
    <n v="20"/>
    <x v="0"/>
    <x v="0"/>
    <x v="0"/>
    <x v="25"/>
    <x v="21"/>
    <x v="15"/>
    <n v="40"/>
    <n v="50"/>
    <n v="20"/>
    <n v="90"/>
    <n v="54"/>
    <x v="0"/>
    <n v="0.12096774193548387"/>
    <n v="0.55645161290322576"/>
    <n v="34"/>
  </r>
  <r>
    <n v="707"/>
    <x v="9"/>
    <n v="-3"/>
    <x v="160"/>
    <n v="536"/>
    <n v="52"/>
    <x v="0"/>
    <x v="3"/>
    <n v="13"/>
    <x v="0"/>
    <x v="0"/>
    <x v="1"/>
    <x v="22"/>
    <x v="19"/>
    <x v="3"/>
    <n v="30"/>
    <n v="50"/>
    <n v="30"/>
    <n v="80"/>
    <n v="25"/>
    <x v="0"/>
    <n v="0.29347826086956524"/>
    <n v="0.56521739130434778"/>
    <n v="12"/>
  </r>
  <r>
    <n v="352"/>
    <x v="39"/>
    <n v="-17"/>
    <x v="161"/>
    <n v="875"/>
    <n v="42"/>
    <x v="0"/>
    <x v="2"/>
    <n v="7"/>
    <x v="0"/>
    <x v="1"/>
    <x v="2"/>
    <x v="34"/>
    <x v="49"/>
    <x v="2"/>
    <n v="20"/>
    <n v="50"/>
    <n v="40"/>
    <n v="70"/>
    <n v="19"/>
    <x v="1"/>
    <n v="0.32857142857142857"/>
    <n v="0.6"/>
    <n v="12"/>
  </r>
  <r>
    <n v="561"/>
    <x v="8"/>
    <n v="-12"/>
    <x v="162"/>
    <n v="856"/>
    <n v="47"/>
    <x v="0"/>
    <x v="2"/>
    <n v="8"/>
    <x v="0"/>
    <x v="1"/>
    <x v="3"/>
    <x v="2"/>
    <x v="25"/>
    <x v="2"/>
    <n v="30"/>
    <n v="50"/>
    <n v="40"/>
    <n v="80"/>
    <n v="19"/>
    <x v="1"/>
    <n v="0.35897435897435898"/>
    <n v="0.60256410256410253"/>
    <n v="11"/>
  </r>
  <r>
    <n v="351"/>
    <x v="40"/>
    <n v="-11"/>
    <x v="163"/>
    <n v="482"/>
    <n v="48"/>
    <x v="0"/>
    <x v="2"/>
    <n v="8"/>
    <x v="0"/>
    <x v="1"/>
    <x v="3"/>
    <x v="26"/>
    <x v="81"/>
    <x v="15"/>
    <n v="30"/>
    <n v="50"/>
    <n v="40"/>
    <n v="80"/>
    <n v="19"/>
    <x v="1"/>
    <n v="0.36249999999999999"/>
    <n v="0.6"/>
    <n v="11"/>
  </r>
  <r>
    <n v="650"/>
    <x v="18"/>
    <n v="7"/>
    <x v="164"/>
    <n v="589"/>
    <n v="73"/>
    <x v="0"/>
    <x v="3"/>
    <n v="14"/>
    <x v="0"/>
    <x v="1"/>
    <x v="11"/>
    <x v="17"/>
    <x v="1"/>
    <x v="3"/>
    <n v="30"/>
    <n v="50"/>
    <n v="40"/>
    <n v="80"/>
    <n v="26"/>
    <x v="1"/>
    <n v="0.38211382113821141"/>
    <n v="0.5934959349593496"/>
    <n v="12"/>
  </r>
  <r>
    <n v="712"/>
    <x v="5"/>
    <n v="-9"/>
    <x v="165"/>
    <n v="387"/>
    <n v="43"/>
    <x v="1"/>
    <x v="0"/>
    <n v="0"/>
    <x v="1"/>
    <x v="2"/>
    <x v="4"/>
    <x v="5"/>
    <x v="5"/>
    <x v="4"/>
    <n v="0"/>
    <n v="50"/>
    <n v="40"/>
    <n v="50"/>
    <n v="12"/>
    <x v="0"/>
    <n v="0.72093023255813948"/>
    <n v="1"/>
    <n v="12"/>
  </r>
  <r>
    <n v="505"/>
    <x v="16"/>
    <n v="-18"/>
    <x v="166"/>
    <n v="1804"/>
    <n v="40"/>
    <x v="1"/>
    <x v="1"/>
    <n v="25"/>
    <x v="1"/>
    <x v="3"/>
    <x v="5"/>
    <x v="23"/>
    <x v="0"/>
    <x v="17"/>
    <n v="90"/>
    <n v="50"/>
    <n v="10"/>
    <n v="140"/>
    <n v="48"/>
    <x v="0"/>
    <n v="-6.5573770491803282E-2"/>
    <n v="0.32786885245901637"/>
    <n v="23"/>
  </r>
  <r>
    <n v="515"/>
    <x v="36"/>
    <n v="-24"/>
    <x v="167"/>
    <n v="802"/>
    <n v="34"/>
    <x v="1"/>
    <x v="0"/>
    <n v="6"/>
    <x v="1"/>
    <x v="2"/>
    <x v="8"/>
    <x v="38"/>
    <x v="82"/>
    <x v="4"/>
    <n v="20"/>
    <n v="50"/>
    <n v="40"/>
    <n v="70"/>
    <n v="18"/>
    <x v="1"/>
    <n v="0.2857142857142857"/>
    <n v="0.6071428571428571"/>
    <n v="12"/>
  </r>
  <r>
    <n v="505"/>
    <x v="25"/>
    <n v="-7"/>
    <x v="168"/>
    <n v="325"/>
    <n v="62"/>
    <x v="1"/>
    <x v="1"/>
    <n v="40"/>
    <x v="1"/>
    <x v="2"/>
    <x v="8"/>
    <x v="11"/>
    <x v="28"/>
    <x v="17"/>
    <n v="30"/>
    <n v="50"/>
    <n v="0"/>
    <n v="80"/>
    <n v="69"/>
    <x v="1"/>
    <n v="-6.6037735849056603E-2"/>
    <n v="0.58490566037735847"/>
    <n v="29"/>
  </r>
  <r>
    <n v="775"/>
    <x v="24"/>
    <n v="-14"/>
    <x v="169"/>
    <n v="243"/>
    <n v="41"/>
    <x v="1"/>
    <x v="3"/>
    <n v="12"/>
    <x v="1"/>
    <x v="3"/>
    <x v="7"/>
    <x v="64"/>
    <x v="83"/>
    <x v="7"/>
    <n v="30"/>
    <n v="50"/>
    <n v="10"/>
    <n v="80"/>
    <n v="45"/>
    <x v="1"/>
    <n v="-5.4054054054054057E-2"/>
    <n v="0.55405405405405406"/>
    <n v="33"/>
  </r>
  <r>
    <n v="573"/>
    <x v="25"/>
    <n v="-8"/>
    <x v="170"/>
    <n v="325"/>
    <n v="62"/>
    <x v="1"/>
    <x v="0"/>
    <n v="40"/>
    <x v="0"/>
    <x v="0"/>
    <x v="10"/>
    <x v="23"/>
    <x v="28"/>
    <x v="12"/>
    <n v="40"/>
    <n v="50"/>
    <n v="0"/>
    <n v="90"/>
    <n v="70"/>
    <x v="0"/>
    <n v="-7.5471698113207544E-2"/>
    <n v="0.58490566037735847"/>
    <n v="30"/>
  </r>
  <r>
    <n v="262"/>
    <x v="8"/>
    <n v="-13"/>
    <x v="171"/>
    <n v="856"/>
    <n v="47"/>
    <x v="1"/>
    <x v="0"/>
    <n v="8"/>
    <x v="0"/>
    <x v="0"/>
    <x v="0"/>
    <x v="22"/>
    <x v="25"/>
    <x v="13"/>
    <n v="20"/>
    <n v="50"/>
    <n v="40"/>
    <n v="70"/>
    <n v="20"/>
    <x v="0"/>
    <n v="0.34615384615384615"/>
    <n v="0.60256410256410253"/>
    <n v="12"/>
  </r>
  <r>
    <n v="475"/>
    <x v="41"/>
    <n v="8"/>
    <x v="172"/>
    <n v="1060"/>
    <n v="81"/>
    <x v="1"/>
    <x v="2"/>
    <n v="21"/>
    <x v="0"/>
    <x v="0"/>
    <x v="1"/>
    <x v="68"/>
    <x v="61"/>
    <x v="5"/>
    <n v="50"/>
    <n v="50"/>
    <n v="30"/>
    <n v="100"/>
    <n v="43"/>
    <x v="0"/>
    <n v="0.25333333333333335"/>
    <n v="0.54"/>
    <n v="22"/>
  </r>
  <r>
    <n v="262"/>
    <x v="10"/>
    <n v="13"/>
    <x v="173"/>
    <n v="454"/>
    <n v="71"/>
    <x v="1"/>
    <x v="0"/>
    <n v="15"/>
    <x v="0"/>
    <x v="1"/>
    <x v="2"/>
    <x v="9"/>
    <x v="10"/>
    <x v="13"/>
    <n v="40"/>
    <n v="50"/>
    <n v="20"/>
    <n v="90"/>
    <n v="38"/>
    <x v="1"/>
    <n v="0.27500000000000002"/>
    <n v="0.59166666666666667"/>
    <n v="23"/>
  </r>
  <r>
    <n v="206"/>
    <x v="10"/>
    <n v="4"/>
    <x v="174"/>
    <n v="454"/>
    <n v="71"/>
    <x v="1"/>
    <x v="3"/>
    <n v="15"/>
    <x v="0"/>
    <x v="1"/>
    <x v="11"/>
    <x v="28"/>
    <x v="10"/>
    <x v="14"/>
    <n v="30"/>
    <n v="50"/>
    <n v="30"/>
    <n v="80"/>
    <n v="37"/>
    <x v="1"/>
    <n v="0.28333333333333333"/>
    <n v="0.59166666666666667"/>
    <n v="22"/>
  </r>
  <r>
    <n v="970"/>
    <x v="2"/>
    <n v="-1"/>
    <x v="175"/>
    <n v="531"/>
    <n v="56"/>
    <x v="0"/>
    <x v="0"/>
    <n v="14"/>
    <x v="1"/>
    <x v="3"/>
    <x v="7"/>
    <x v="26"/>
    <x v="9"/>
    <x v="0"/>
    <n v="40"/>
    <n v="50"/>
    <n v="30"/>
    <n v="90"/>
    <n v="27"/>
    <x v="1"/>
    <n v="0.29292929292929293"/>
    <n v="0.56565656565656564"/>
    <n v="13"/>
  </r>
  <r>
    <n v="614"/>
    <x v="30"/>
    <n v="4"/>
    <x v="176"/>
    <n v="435"/>
    <n v="60"/>
    <x v="0"/>
    <x v="0"/>
    <n v="13"/>
    <x v="1"/>
    <x v="3"/>
    <x v="7"/>
    <x v="10"/>
    <x v="38"/>
    <x v="18"/>
    <n v="40"/>
    <n v="50"/>
    <n v="20"/>
    <n v="90"/>
    <n v="36"/>
    <x v="1"/>
    <n v="0.23762376237623761"/>
    <n v="0.59405940594059403"/>
    <n v="23"/>
  </r>
  <r>
    <n v="339"/>
    <x v="6"/>
    <n v="-10"/>
    <x v="177"/>
    <n v="571"/>
    <n v="52"/>
    <x v="0"/>
    <x v="2"/>
    <n v="42"/>
    <x v="1"/>
    <x v="2"/>
    <x v="8"/>
    <x v="69"/>
    <x v="9"/>
    <x v="15"/>
    <n v="40"/>
    <n v="50"/>
    <n v="-10"/>
    <n v="90"/>
    <n v="72"/>
    <x v="1"/>
    <n v="-0.20202020202020202"/>
    <n v="0.5252525252525253"/>
    <n v="30"/>
  </r>
  <r>
    <n v="773"/>
    <x v="2"/>
    <n v="-1"/>
    <x v="178"/>
    <n v="531"/>
    <n v="56"/>
    <x v="0"/>
    <x v="0"/>
    <n v="14"/>
    <x v="0"/>
    <x v="0"/>
    <x v="0"/>
    <x v="26"/>
    <x v="9"/>
    <x v="16"/>
    <n v="40"/>
    <n v="50"/>
    <n v="30"/>
    <n v="90"/>
    <n v="27"/>
    <x v="0"/>
    <n v="0.29292929292929293"/>
    <n v="0.56565656565656564"/>
    <n v="13"/>
  </r>
  <r>
    <n v="805"/>
    <x v="2"/>
    <n v="-1"/>
    <x v="179"/>
    <n v="531"/>
    <n v="56"/>
    <x v="0"/>
    <x v="3"/>
    <n v="14"/>
    <x v="0"/>
    <x v="0"/>
    <x v="1"/>
    <x v="26"/>
    <x v="9"/>
    <x v="3"/>
    <n v="40"/>
    <n v="50"/>
    <n v="30"/>
    <n v="90"/>
    <n v="27"/>
    <x v="0"/>
    <n v="0.29292929292929293"/>
    <n v="0.56565656565656564"/>
    <n v="13"/>
  </r>
  <r>
    <n v="303"/>
    <x v="20"/>
    <n v="-4"/>
    <x v="180"/>
    <n v="422"/>
    <n v="57"/>
    <x v="0"/>
    <x v="0"/>
    <n v="17"/>
    <x v="0"/>
    <x v="1"/>
    <x v="2"/>
    <x v="70"/>
    <x v="84"/>
    <x v="0"/>
    <n v="30"/>
    <n v="50"/>
    <n v="10"/>
    <n v="80"/>
    <n v="51"/>
    <x v="1"/>
    <n v="5.8252427184466021E-2"/>
    <n v="0.55339805825242716"/>
    <n v="34"/>
  </r>
  <r>
    <n v="303"/>
    <x v="26"/>
    <n v="6"/>
    <x v="181"/>
    <n v="1054"/>
    <n v="63"/>
    <x v="0"/>
    <x v="0"/>
    <n v="16"/>
    <x v="0"/>
    <x v="1"/>
    <x v="11"/>
    <x v="1"/>
    <x v="52"/>
    <x v="0"/>
    <n v="40"/>
    <n v="50"/>
    <n v="20"/>
    <n v="90"/>
    <n v="37"/>
    <x v="1"/>
    <n v="0.22413793103448276"/>
    <n v="0.5431034482758621"/>
    <n v="21"/>
  </r>
  <r>
    <n v="617"/>
    <x v="24"/>
    <n v="-11"/>
    <x v="182"/>
    <n v="870"/>
    <n v="49"/>
    <x v="0"/>
    <x v="2"/>
    <n v="9"/>
    <x v="0"/>
    <x v="1"/>
    <x v="2"/>
    <x v="26"/>
    <x v="40"/>
    <x v="15"/>
    <n v="30"/>
    <n v="50"/>
    <n v="40"/>
    <n v="80"/>
    <n v="20"/>
    <x v="1"/>
    <n v="0.35365853658536583"/>
    <n v="0.59756097560975607"/>
    <n v="11"/>
  </r>
  <r>
    <n v="863"/>
    <x v="13"/>
    <n v="-10"/>
    <x v="183"/>
    <n v="863"/>
    <n v="51"/>
    <x v="0"/>
    <x v="2"/>
    <n v="9"/>
    <x v="0"/>
    <x v="1"/>
    <x v="3"/>
    <x v="27"/>
    <x v="39"/>
    <x v="2"/>
    <n v="30"/>
    <n v="50"/>
    <n v="40"/>
    <n v="80"/>
    <n v="21"/>
    <x v="1"/>
    <n v="0.35294117647058826"/>
    <n v="0.6"/>
    <n v="12"/>
  </r>
  <r>
    <n v="641"/>
    <x v="5"/>
    <n v="-8"/>
    <x v="184"/>
    <n v="344"/>
    <n v="43"/>
    <x v="1"/>
    <x v="0"/>
    <n v="0"/>
    <x v="1"/>
    <x v="2"/>
    <x v="4"/>
    <x v="71"/>
    <x v="5"/>
    <x v="4"/>
    <n v="0"/>
    <n v="50"/>
    <n v="40"/>
    <n v="50"/>
    <n v="11"/>
    <x v="0"/>
    <n v="0.7441860465116279"/>
    <n v="1"/>
    <n v="11"/>
  </r>
  <r>
    <n v="225"/>
    <x v="2"/>
    <n v="7"/>
    <x v="185"/>
    <n v="466"/>
    <n v="63"/>
    <x v="1"/>
    <x v="1"/>
    <n v="13"/>
    <x v="1"/>
    <x v="2"/>
    <x v="4"/>
    <x v="22"/>
    <x v="28"/>
    <x v="10"/>
    <n v="30"/>
    <n v="50"/>
    <n v="20"/>
    <n v="80"/>
    <n v="36"/>
    <x v="0"/>
    <n v="0.25471698113207547"/>
    <n v="0.59433962264150941"/>
    <n v="23"/>
  </r>
  <r>
    <n v="702"/>
    <x v="8"/>
    <n v="-22"/>
    <x v="186"/>
    <n v="1009"/>
    <n v="38"/>
    <x v="1"/>
    <x v="3"/>
    <n v="9"/>
    <x v="1"/>
    <x v="3"/>
    <x v="5"/>
    <x v="72"/>
    <x v="85"/>
    <x v="7"/>
    <n v="30"/>
    <n v="50"/>
    <n v="30"/>
    <n v="80"/>
    <n v="30"/>
    <x v="0"/>
    <n v="0.11594202898550725"/>
    <n v="0.55072463768115942"/>
    <n v="21"/>
  </r>
  <r>
    <n v="515"/>
    <x v="37"/>
    <n v="-23"/>
    <x v="187"/>
    <n v="807"/>
    <n v="35"/>
    <x v="1"/>
    <x v="0"/>
    <n v="6"/>
    <x v="1"/>
    <x v="2"/>
    <x v="8"/>
    <x v="39"/>
    <x v="78"/>
    <x v="4"/>
    <n v="20"/>
    <n v="50"/>
    <n v="40"/>
    <n v="70"/>
    <n v="18"/>
    <x v="1"/>
    <n v="0.29310344827586204"/>
    <n v="0.60344827586206895"/>
    <n v="12"/>
  </r>
  <r>
    <n v="985"/>
    <x v="30"/>
    <n v="11"/>
    <x v="188"/>
    <n v="320"/>
    <n v="66"/>
    <x v="1"/>
    <x v="1"/>
    <n v="12"/>
    <x v="1"/>
    <x v="2"/>
    <x v="8"/>
    <x v="5"/>
    <x v="2"/>
    <x v="10"/>
    <n v="30"/>
    <n v="50"/>
    <n v="20"/>
    <n v="80"/>
    <n v="35"/>
    <x v="1"/>
    <n v="0.28971962616822428"/>
    <n v="0.61682242990654201"/>
    <n v="23"/>
  </r>
  <r>
    <n v="971"/>
    <x v="20"/>
    <n v="-4"/>
    <x v="189"/>
    <n v="422"/>
    <n v="57"/>
    <x v="1"/>
    <x v="3"/>
    <n v="17"/>
    <x v="1"/>
    <x v="2"/>
    <x v="9"/>
    <x v="70"/>
    <x v="84"/>
    <x v="11"/>
    <n v="40"/>
    <n v="50"/>
    <n v="10"/>
    <n v="90"/>
    <n v="51"/>
    <x v="1"/>
    <n v="5.8252427184466021E-2"/>
    <n v="0.55339805825242716"/>
    <n v="34"/>
  </r>
  <r>
    <n v="262"/>
    <x v="2"/>
    <n v="8"/>
    <x v="190"/>
    <n v="466"/>
    <n v="63"/>
    <x v="1"/>
    <x v="0"/>
    <n v="13"/>
    <x v="0"/>
    <x v="1"/>
    <x v="2"/>
    <x v="2"/>
    <x v="28"/>
    <x v="13"/>
    <n v="30"/>
    <n v="50"/>
    <n v="20"/>
    <n v="80"/>
    <n v="35"/>
    <x v="1"/>
    <n v="0.26415094339622641"/>
    <n v="0.59433962264150941"/>
    <n v="22"/>
  </r>
  <r>
    <n v="959"/>
    <x v="24"/>
    <n v="-12"/>
    <x v="191"/>
    <n v="818"/>
    <n v="49"/>
    <x v="1"/>
    <x v="2"/>
    <n v="9"/>
    <x v="0"/>
    <x v="1"/>
    <x v="3"/>
    <x v="2"/>
    <x v="40"/>
    <x v="5"/>
    <n v="30"/>
    <n v="50"/>
    <n v="40"/>
    <n v="80"/>
    <n v="21"/>
    <x v="1"/>
    <n v="0.34146341463414637"/>
    <n v="0.59756097560975607"/>
    <n v="12"/>
  </r>
  <r>
    <n v="435"/>
    <x v="10"/>
    <n v="-4"/>
    <x v="192"/>
    <n v="335"/>
    <n v="69"/>
    <x v="1"/>
    <x v="3"/>
    <n v="44"/>
    <x v="0"/>
    <x v="1"/>
    <x v="2"/>
    <x v="64"/>
    <x v="15"/>
    <x v="8"/>
    <n v="30"/>
    <n v="50"/>
    <n v="0"/>
    <n v="80"/>
    <n v="73"/>
    <x v="1"/>
    <n v="-3.3898305084745763E-2"/>
    <n v="0.5847457627118644"/>
    <n v="29"/>
  </r>
  <r>
    <n v="360"/>
    <x v="21"/>
    <n v="7"/>
    <x v="193"/>
    <n v="627"/>
    <n v="76"/>
    <x v="1"/>
    <x v="3"/>
    <n v="49"/>
    <x v="0"/>
    <x v="1"/>
    <x v="3"/>
    <x v="37"/>
    <x v="41"/>
    <x v="14"/>
    <n v="40"/>
    <n v="50"/>
    <n v="-10"/>
    <n v="90"/>
    <n v="79"/>
    <x v="1"/>
    <n v="-2.2900763358778626E-2"/>
    <n v="0.58015267175572516"/>
    <n v="30"/>
  </r>
  <r>
    <n v="303"/>
    <x v="31"/>
    <n v="-10"/>
    <x v="194"/>
    <n v="541"/>
    <n v="51"/>
    <x v="0"/>
    <x v="0"/>
    <n v="12"/>
    <x v="1"/>
    <x v="3"/>
    <x v="7"/>
    <x v="54"/>
    <x v="62"/>
    <x v="0"/>
    <n v="30"/>
    <n v="50"/>
    <n v="50"/>
    <n v="80"/>
    <n v="24"/>
    <x v="1"/>
    <n v="0.41666666666666669"/>
    <n v="0.59375"/>
    <n v="12"/>
  </r>
  <r>
    <n v="904"/>
    <x v="29"/>
    <n v="31"/>
    <x v="195"/>
    <n v="1055"/>
    <n v="94"/>
    <x v="0"/>
    <x v="2"/>
    <n v="24"/>
    <x v="0"/>
    <x v="0"/>
    <x v="1"/>
    <x v="53"/>
    <x v="86"/>
    <x v="2"/>
    <n v="40"/>
    <n v="50"/>
    <n v="40"/>
    <n v="90"/>
    <n v="46"/>
    <x v="0"/>
    <n v="0.38378378378378381"/>
    <n v="0.56756756756756754"/>
    <n v="22"/>
  </r>
  <r>
    <n v="720"/>
    <x v="14"/>
    <n v="-11"/>
    <x v="196"/>
    <n v="404"/>
    <n v="66"/>
    <x v="0"/>
    <x v="0"/>
    <n v="20"/>
    <x v="0"/>
    <x v="1"/>
    <x v="2"/>
    <x v="60"/>
    <x v="51"/>
    <x v="0"/>
    <n v="30"/>
    <n v="50"/>
    <n v="30"/>
    <n v="80"/>
    <n v="53"/>
    <x v="1"/>
    <n v="0.1484375"/>
    <n v="0.578125"/>
    <n v="33"/>
  </r>
  <r>
    <n v="970"/>
    <x v="14"/>
    <n v="0"/>
    <x v="197"/>
    <n v="1037"/>
    <n v="64"/>
    <x v="0"/>
    <x v="0"/>
    <n v="16"/>
    <x v="0"/>
    <x v="1"/>
    <x v="11"/>
    <x v="54"/>
    <x v="53"/>
    <x v="0"/>
    <n v="30"/>
    <n v="50"/>
    <n v="40"/>
    <n v="80"/>
    <n v="37"/>
    <x v="1"/>
    <n v="0.31746031746031744"/>
    <n v="0.5714285714285714"/>
    <n v="21"/>
  </r>
  <r>
    <n v="978"/>
    <x v="7"/>
    <n v="-20"/>
    <x v="198"/>
    <n v="859"/>
    <n v="39"/>
    <x v="0"/>
    <x v="2"/>
    <n v="7"/>
    <x v="0"/>
    <x v="1"/>
    <x v="2"/>
    <x v="27"/>
    <x v="49"/>
    <x v="15"/>
    <n v="20"/>
    <n v="50"/>
    <n v="50"/>
    <n v="70"/>
    <n v="19"/>
    <x v="1"/>
    <n v="0.42857142857142855"/>
    <n v="0.61428571428571432"/>
    <n v="12"/>
  </r>
  <r>
    <n v="626"/>
    <x v="35"/>
    <n v="67"/>
    <x v="199"/>
    <n v="580"/>
    <n v="111"/>
    <x v="0"/>
    <x v="3"/>
    <n v="21"/>
    <x v="0"/>
    <x v="1"/>
    <x v="11"/>
    <x v="73"/>
    <x v="87"/>
    <x v="3"/>
    <n v="30"/>
    <n v="50"/>
    <n v="50"/>
    <n v="80"/>
    <n v="32"/>
    <x v="1"/>
    <n v="0.5879396984924623"/>
    <n v="0.61809045226130654"/>
    <n v="11"/>
  </r>
  <r>
    <n v="262"/>
    <x v="36"/>
    <n v="-35"/>
    <x v="200"/>
    <n v="573"/>
    <n v="29"/>
    <x v="1"/>
    <x v="0"/>
    <n v="7"/>
    <x v="1"/>
    <x v="2"/>
    <x v="4"/>
    <x v="25"/>
    <x v="88"/>
    <x v="13"/>
    <n v="20"/>
    <n v="50"/>
    <n v="50"/>
    <n v="70"/>
    <n v="19"/>
    <x v="0"/>
    <n v="0.27777777777777779"/>
    <n v="0.59259259259259256"/>
    <n v="12"/>
  </r>
  <r>
    <n v="641"/>
    <x v="37"/>
    <n v="-23"/>
    <x v="201"/>
    <n v="800"/>
    <n v="35"/>
    <x v="1"/>
    <x v="0"/>
    <n v="6"/>
    <x v="1"/>
    <x v="2"/>
    <x v="8"/>
    <x v="22"/>
    <x v="89"/>
    <x v="4"/>
    <n v="20"/>
    <n v="50"/>
    <n v="50"/>
    <n v="70"/>
    <n v="17"/>
    <x v="1"/>
    <n v="0.43548387096774194"/>
    <n v="0.62903225806451613"/>
    <n v="11"/>
  </r>
  <r>
    <n v="203"/>
    <x v="38"/>
    <n v="20"/>
    <x v="202"/>
    <n v="593"/>
    <n v="98"/>
    <x v="1"/>
    <x v="2"/>
    <n v="30"/>
    <x v="0"/>
    <x v="0"/>
    <x v="0"/>
    <x v="35"/>
    <x v="90"/>
    <x v="5"/>
    <n v="40"/>
    <n v="50"/>
    <n v="30"/>
    <n v="90"/>
    <n v="64"/>
    <x v="0"/>
    <n v="0.26455026455026454"/>
    <n v="0.58201058201058198"/>
    <n v="34"/>
  </r>
  <r>
    <n v="203"/>
    <x v="28"/>
    <n v="2"/>
    <x v="203"/>
    <n v="1053"/>
    <n v="77"/>
    <x v="1"/>
    <x v="2"/>
    <n v="20"/>
    <x v="0"/>
    <x v="0"/>
    <x v="1"/>
    <x v="33"/>
    <x v="91"/>
    <x v="5"/>
    <n v="30"/>
    <n v="50"/>
    <n v="50"/>
    <n v="80"/>
    <n v="42"/>
    <x v="0"/>
    <n v="0.3443708609271523"/>
    <n v="0.56953642384105962"/>
    <n v="22"/>
  </r>
  <r>
    <n v="262"/>
    <x v="20"/>
    <n v="5"/>
    <x v="204"/>
    <n v="449"/>
    <n v="67"/>
    <x v="1"/>
    <x v="0"/>
    <n v="14"/>
    <x v="0"/>
    <x v="1"/>
    <x v="2"/>
    <x v="16"/>
    <x v="10"/>
    <x v="13"/>
    <n v="20"/>
    <n v="50"/>
    <n v="40"/>
    <n v="70"/>
    <n v="37"/>
    <x v="1"/>
    <n v="0.375"/>
    <n v="0.6166666666666667"/>
    <n v="23"/>
  </r>
  <r>
    <n v="262"/>
    <x v="12"/>
    <n v="0"/>
    <x v="205"/>
    <n v="606"/>
    <n v="84"/>
    <x v="1"/>
    <x v="0"/>
    <n v="54"/>
    <x v="0"/>
    <x v="1"/>
    <x v="11"/>
    <x v="66"/>
    <x v="43"/>
    <x v="13"/>
    <n v="40"/>
    <n v="50"/>
    <n v="0"/>
    <n v="90"/>
    <n v="84"/>
    <x v="1"/>
    <n v="0"/>
    <n v="0.60784313725490191"/>
    <n v="30"/>
  </r>
  <r>
    <n v="425"/>
    <x v="12"/>
    <n v="45"/>
    <x v="206"/>
    <n v="329"/>
    <n v="99"/>
    <x v="1"/>
    <x v="3"/>
    <n v="18"/>
    <x v="0"/>
    <x v="1"/>
    <x v="2"/>
    <x v="74"/>
    <x v="92"/>
    <x v="14"/>
    <n v="20"/>
    <n v="50"/>
    <n v="40"/>
    <n v="70"/>
    <n v="42"/>
    <x v="1"/>
    <n v="0.50295857988165682"/>
    <n v="0.6449704142011834"/>
    <n v="24"/>
  </r>
  <r>
    <n v="312"/>
    <x v="9"/>
    <n v="10"/>
    <x v="207"/>
    <n v="536"/>
    <n v="52"/>
    <x v="0"/>
    <x v="0"/>
    <n v="13"/>
    <x v="0"/>
    <x v="0"/>
    <x v="0"/>
    <x v="54"/>
    <x v="55"/>
    <x v="16"/>
    <n v="30"/>
    <n v="50"/>
    <n v="30"/>
    <n v="80"/>
    <n v="25"/>
    <x v="0"/>
    <n v="0.40816326530612246"/>
    <n v="0.59183673469387754"/>
    <n v="12"/>
  </r>
  <r>
    <n v="419"/>
    <x v="23"/>
    <n v="5"/>
    <x v="208"/>
    <n v="862"/>
    <n v="52"/>
    <x v="0"/>
    <x v="0"/>
    <n v="10"/>
    <x v="0"/>
    <x v="0"/>
    <x v="0"/>
    <x v="16"/>
    <x v="3"/>
    <x v="18"/>
    <n v="30"/>
    <n v="50"/>
    <n v="40"/>
    <n v="80"/>
    <n v="22"/>
    <x v="0"/>
    <n v="0.47872340425531917"/>
    <n v="0.61702127659574468"/>
    <n v="12"/>
  </r>
  <r>
    <n v="857"/>
    <x v="21"/>
    <n v="2"/>
    <x v="209"/>
    <n v="410"/>
    <n v="69"/>
    <x v="0"/>
    <x v="2"/>
    <n v="20"/>
    <x v="0"/>
    <x v="0"/>
    <x v="0"/>
    <x v="57"/>
    <x v="57"/>
    <x v="15"/>
    <n v="40"/>
    <n v="50"/>
    <n v="20"/>
    <n v="90"/>
    <n v="54"/>
    <x v="0"/>
    <n v="0.16666666666666666"/>
    <n v="0.58333333333333337"/>
    <n v="34"/>
  </r>
  <r>
    <n v="323"/>
    <x v="9"/>
    <n v="10"/>
    <x v="210"/>
    <n v="536"/>
    <n v="52"/>
    <x v="0"/>
    <x v="3"/>
    <n v="13"/>
    <x v="0"/>
    <x v="0"/>
    <x v="1"/>
    <x v="54"/>
    <x v="55"/>
    <x v="3"/>
    <n v="30"/>
    <n v="50"/>
    <n v="30"/>
    <n v="80"/>
    <n v="25"/>
    <x v="0"/>
    <n v="0.40816326530612246"/>
    <n v="0.59183673469387754"/>
    <n v="12"/>
  </r>
  <r>
    <n v="352"/>
    <x v="39"/>
    <n v="-6"/>
    <x v="211"/>
    <n v="875"/>
    <n v="42"/>
    <x v="0"/>
    <x v="2"/>
    <n v="7"/>
    <x v="0"/>
    <x v="1"/>
    <x v="2"/>
    <x v="28"/>
    <x v="93"/>
    <x v="2"/>
    <n v="20"/>
    <n v="50"/>
    <n v="40"/>
    <n v="70"/>
    <n v="19"/>
    <x v="1"/>
    <n v="0.45333333333333331"/>
    <n v="0.62666666666666671"/>
    <n v="12"/>
  </r>
  <r>
    <n v="904"/>
    <x v="8"/>
    <n v="2"/>
    <x v="212"/>
    <n v="856"/>
    <n v="47"/>
    <x v="0"/>
    <x v="2"/>
    <n v="8"/>
    <x v="0"/>
    <x v="1"/>
    <x v="3"/>
    <x v="41"/>
    <x v="59"/>
    <x v="2"/>
    <n v="30"/>
    <n v="50"/>
    <n v="40"/>
    <n v="80"/>
    <n v="19"/>
    <x v="1"/>
    <n v="0.50602409638554213"/>
    <n v="0.62650602409638556"/>
    <n v="11"/>
  </r>
  <r>
    <n v="978"/>
    <x v="40"/>
    <n v="3"/>
    <x v="213"/>
    <n v="482"/>
    <n v="48"/>
    <x v="0"/>
    <x v="2"/>
    <n v="8"/>
    <x v="0"/>
    <x v="1"/>
    <x v="3"/>
    <x v="58"/>
    <x v="39"/>
    <x v="15"/>
    <n v="30"/>
    <n v="50"/>
    <n v="40"/>
    <n v="80"/>
    <n v="19"/>
    <x v="1"/>
    <n v="0.50588235294117645"/>
    <n v="0.62352941176470589"/>
    <n v="11"/>
  </r>
  <r>
    <n v="760"/>
    <x v="18"/>
    <n v="30"/>
    <x v="214"/>
    <n v="589"/>
    <n v="73"/>
    <x v="0"/>
    <x v="3"/>
    <n v="14"/>
    <x v="0"/>
    <x v="1"/>
    <x v="11"/>
    <x v="50"/>
    <x v="41"/>
    <x v="3"/>
    <n v="30"/>
    <n v="50"/>
    <n v="40"/>
    <n v="80"/>
    <n v="26"/>
    <x v="1"/>
    <n v="0.53435114503816794"/>
    <n v="0.61832061068702293"/>
    <n v="12"/>
  </r>
  <r>
    <n v="515"/>
    <x v="5"/>
    <n v="6"/>
    <x v="215"/>
    <n v="387"/>
    <n v="43"/>
    <x v="1"/>
    <x v="0"/>
    <n v="0"/>
    <x v="1"/>
    <x v="2"/>
    <x v="4"/>
    <x v="43"/>
    <x v="48"/>
    <x v="4"/>
    <n v="0"/>
    <n v="50"/>
    <n v="40"/>
    <n v="50"/>
    <n v="12"/>
    <x v="0"/>
    <n v="1"/>
    <n v="1"/>
    <n v="12"/>
  </r>
  <r>
    <n v="505"/>
    <x v="16"/>
    <n v="-22"/>
    <x v="216"/>
    <n v="1804"/>
    <n v="40"/>
    <x v="1"/>
    <x v="1"/>
    <n v="25"/>
    <x v="1"/>
    <x v="3"/>
    <x v="5"/>
    <x v="55"/>
    <x v="45"/>
    <x v="17"/>
    <n v="90"/>
    <n v="50"/>
    <n v="10"/>
    <n v="140"/>
    <n v="48"/>
    <x v="0"/>
    <n v="-9.2307692307692313E-2"/>
    <n v="0.36923076923076925"/>
    <n v="23"/>
  </r>
  <r>
    <n v="515"/>
    <x v="36"/>
    <n v="-16"/>
    <x v="217"/>
    <n v="802"/>
    <n v="34"/>
    <x v="1"/>
    <x v="0"/>
    <n v="6"/>
    <x v="1"/>
    <x v="2"/>
    <x v="8"/>
    <x v="10"/>
    <x v="94"/>
    <x v="4"/>
    <n v="20"/>
    <n v="50"/>
    <n v="40"/>
    <n v="70"/>
    <n v="18"/>
    <x v="1"/>
    <n v="0.4"/>
    <n v="0.6333333333333333"/>
    <n v="12"/>
  </r>
  <r>
    <n v="505"/>
    <x v="25"/>
    <n v="-10"/>
    <x v="218"/>
    <n v="325"/>
    <n v="62"/>
    <x v="1"/>
    <x v="1"/>
    <n v="40"/>
    <x v="1"/>
    <x v="2"/>
    <x v="8"/>
    <x v="46"/>
    <x v="27"/>
    <x v="17"/>
    <n v="30"/>
    <n v="50"/>
    <n v="0"/>
    <n v="80"/>
    <n v="69"/>
    <x v="1"/>
    <n v="-8.8495575221238937E-2"/>
    <n v="0.61061946902654862"/>
    <n v="29"/>
  </r>
  <r>
    <n v="775"/>
    <x v="24"/>
    <n v="-16"/>
    <x v="219"/>
    <n v="243"/>
    <n v="41"/>
    <x v="1"/>
    <x v="3"/>
    <n v="12"/>
    <x v="1"/>
    <x v="3"/>
    <x v="7"/>
    <x v="15"/>
    <x v="95"/>
    <x v="7"/>
    <n v="30"/>
    <n v="50"/>
    <n v="10"/>
    <n v="80"/>
    <n v="45"/>
    <x v="1"/>
    <n v="-7.5949367088607597E-2"/>
    <n v="0.58227848101265822"/>
    <n v="33"/>
  </r>
  <r>
    <n v="314"/>
    <x v="25"/>
    <n v="-12"/>
    <x v="220"/>
    <n v="325"/>
    <n v="62"/>
    <x v="1"/>
    <x v="0"/>
    <n v="40"/>
    <x v="0"/>
    <x v="0"/>
    <x v="10"/>
    <x v="55"/>
    <x v="27"/>
    <x v="12"/>
    <n v="40"/>
    <n v="50"/>
    <n v="0"/>
    <n v="90"/>
    <n v="70"/>
    <x v="0"/>
    <n v="-0.10619469026548672"/>
    <n v="0.61061946902654862"/>
    <n v="30"/>
  </r>
  <r>
    <n v="715"/>
    <x v="8"/>
    <n v="0"/>
    <x v="221"/>
    <n v="856"/>
    <n v="47"/>
    <x v="1"/>
    <x v="0"/>
    <n v="8"/>
    <x v="0"/>
    <x v="0"/>
    <x v="0"/>
    <x v="54"/>
    <x v="59"/>
    <x v="13"/>
    <n v="20"/>
    <n v="50"/>
    <n v="40"/>
    <n v="70"/>
    <n v="20"/>
    <x v="0"/>
    <n v="0.48192771084337349"/>
    <n v="0.62650602409638556"/>
    <n v="12"/>
  </r>
  <r>
    <n v="959"/>
    <x v="41"/>
    <n v="26"/>
    <x v="222"/>
    <n v="1060"/>
    <n v="81"/>
    <x v="1"/>
    <x v="2"/>
    <n v="21"/>
    <x v="0"/>
    <x v="0"/>
    <x v="1"/>
    <x v="4"/>
    <x v="42"/>
    <x v="5"/>
    <n v="50"/>
    <n v="50"/>
    <n v="30"/>
    <n v="100"/>
    <n v="43"/>
    <x v="0"/>
    <n v="0.35"/>
    <n v="0.56874999999999998"/>
    <n v="22"/>
  </r>
  <r>
    <n v="715"/>
    <x v="10"/>
    <n v="29"/>
    <x v="223"/>
    <n v="454"/>
    <n v="71"/>
    <x v="1"/>
    <x v="0"/>
    <n v="15"/>
    <x v="0"/>
    <x v="1"/>
    <x v="2"/>
    <x v="31"/>
    <x v="51"/>
    <x v="13"/>
    <n v="40"/>
    <n v="50"/>
    <n v="20"/>
    <n v="90"/>
    <n v="38"/>
    <x v="1"/>
    <n v="0.3828125"/>
    <n v="0.6171875"/>
    <n v="23"/>
  </r>
  <r>
    <n v="206"/>
    <x v="10"/>
    <n v="20"/>
    <x v="224"/>
    <n v="454"/>
    <n v="71"/>
    <x v="1"/>
    <x v="3"/>
    <n v="15"/>
    <x v="0"/>
    <x v="1"/>
    <x v="11"/>
    <x v="35"/>
    <x v="51"/>
    <x v="14"/>
    <n v="30"/>
    <n v="50"/>
    <n v="30"/>
    <n v="80"/>
    <n v="37"/>
    <x v="1"/>
    <n v="0.390625"/>
    <n v="0.6171875"/>
    <n v="22"/>
  </r>
  <r>
    <n v="970"/>
    <x v="2"/>
    <n v="13"/>
    <x v="225"/>
    <n v="531"/>
    <n v="56"/>
    <x v="0"/>
    <x v="0"/>
    <n v="14"/>
    <x v="1"/>
    <x v="3"/>
    <x v="7"/>
    <x v="58"/>
    <x v="28"/>
    <x v="0"/>
    <n v="40"/>
    <n v="50"/>
    <n v="30"/>
    <n v="90"/>
    <n v="27"/>
    <x v="1"/>
    <n v="0.40566037735849059"/>
    <n v="0.59433962264150941"/>
    <n v="13"/>
  </r>
  <r>
    <n v="330"/>
    <x v="30"/>
    <n v="16"/>
    <x v="226"/>
    <n v="435"/>
    <n v="60"/>
    <x v="0"/>
    <x v="0"/>
    <n v="13"/>
    <x v="1"/>
    <x v="3"/>
    <x v="7"/>
    <x v="18"/>
    <x v="68"/>
    <x v="18"/>
    <n v="40"/>
    <n v="50"/>
    <n v="20"/>
    <n v="90"/>
    <n v="36"/>
    <x v="1"/>
    <n v="0.33333333333333331"/>
    <n v="0.62037037037037035"/>
    <n v="23"/>
  </r>
  <r>
    <n v="978"/>
    <x v="6"/>
    <n v="-20"/>
    <x v="227"/>
    <n v="571"/>
    <n v="52"/>
    <x v="0"/>
    <x v="2"/>
    <n v="42"/>
    <x v="1"/>
    <x v="2"/>
    <x v="8"/>
    <x v="75"/>
    <x v="28"/>
    <x v="15"/>
    <n v="40"/>
    <n v="50"/>
    <n v="-10"/>
    <n v="90"/>
    <n v="72"/>
    <x v="1"/>
    <n v="-0.28301886792452829"/>
    <n v="0.55660377358490565"/>
    <n v="30"/>
  </r>
  <r>
    <n v="312"/>
    <x v="2"/>
    <n v="13"/>
    <x v="228"/>
    <n v="531"/>
    <n v="56"/>
    <x v="0"/>
    <x v="0"/>
    <n v="14"/>
    <x v="0"/>
    <x v="0"/>
    <x v="0"/>
    <x v="58"/>
    <x v="28"/>
    <x v="16"/>
    <n v="40"/>
    <n v="50"/>
    <n v="30"/>
    <n v="90"/>
    <n v="27"/>
    <x v="0"/>
    <n v="0.40566037735849059"/>
    <n v="0.59433962264150941"/>
    <n v="13"/>
  </r>
  <r>
    <n v="323"/>
    <x v="2"/>
    <n v="13"/>
    <x v="229"/>
    <n v="531"/>
    <n v="56"/>
    <x v="0"/>
    <x v="3"/>
    <n v="14"/>
    <x v="0"/>
    <x v="0"/>
    <x v="1"/>
    <x v="58"/>
    <x v="28"/>
    <x v="3"/>
    <n v="40"/>
    <n v="50"/>
    <n v="30"/>
    <n v="90"/>
    <n v="27"/>
    <x v="0"/>
    <n v="0.40566037735849059"/>
    <n v="0.59433962264150941"/>
    <n v="13"/>
  </r>
  <r>
    <n v="303"/>
    <x v="20"/>
    <n v="-1"/>
    <x v="230"/>
    <n v="422"/>
    <n v="57"/>
    <x v="0"/>
    <x v="0"/>
    <n v="17"/>
    <x v="0"/>
    <x v="1"/>
    <x v="2"/>
    <x v="76"/>
    <x v="96"/>
    <x v="0"/>
    <n v="30"/>
    <n v="50"/>
    <n v="10"/>
    <n v="80"/>
    <n v="51"/>
    <x v="1"/>
    <n v="8.1818181818181818E-2"/>
    <n v="0.58181818181818179"/>
    <n v="34"/>
  </r>
  <r>
    <n v="970"/>
    <x v="26"/>
    <n v="19"/>
    <x v="231"/>
    <n v="1054"/>
    <n v="63"/>
    <x v="0"/>
    <x v="0"/>
    <n v="16"/>
    <x v="0"/>
    <x v="1"/>
    <x v="11"/>
    <x v="40"/>
    <x v="21"/>
    <x v="0"/>
    <n v="40"/>
    <n v="50"/>
    <n v="20"/>
    <n v="90"/>
    <n v="37"/>
    <x v="1"/>
    <n v="0.31451612903225806"/>
    <n v="0.57258064516129037"/>
    <n v="21"/>
  </r>
  <r>
    <n v="978"/>
    <x v="24"/>
    <n v="3"/>
    <x v="232"/>
    <n v="870"/>
    <n v="49"/>
    <x v="0"/>
    <x v="2"/>
    <n v="9"/>
    <x v="0"/>
    <x v="1"/>
    <x v="2"/>
    <x v="58"/>
    <x v="70"/>
    <x v="15"/>
    <n v="30"/>
    <n v="50"/>
    <n v="40"/>
    <n v="80"/>
    <n v="20"/>
    <x v="1"/>
    <n v="0.4942528735632184"/>
    <n v="0.62068965517241381"/>
    <n v="11"/>
  </r>
  <r>
    <n v="321"/>
    <x v="13"/>
    <n v="5"/>
    <x v="233"/>
    <n v="863"/>
    <n v="51"/>
    <x v="0"/>
    <x v="2"/>
    <n v="9"/>
    <x v="0"/>
    <x v="1"/>
    <x v="3"/>
    <x v="16"/>
    <x v="69"/>
    <x v="2"/>
    <n v="30"/>
    <n v="50"/>
    <n v="40"/>
    <n v="80"/>
    <n v="21"/>
    <x v="1"/>
    <n v="0.49450549450549453"/>
    <n v="0.62637362637362637"/>
    <n v="12"/>
  </r>
  <r>
    <n v="563"/>
    <x v="5"/>
    <n v="7"/>
    <x v="234"/>
    <n v="344"/>
    <n v="43"/>
    <x v="1"/>
    <x v="0"/>
    <n v="0"/>
    <x v="1"/>
    <x v="2"/>
    <x v="4"/>
    <x v="17"/>
    <x v="48"/>
    <x v="4"/>
    <n v="0"/>
    <n v="50"/>
    <n v="40"/>
    <n v="50"/>
    <n v="11"/>
    <x v="0"/>
    <n v="1.0217391304347827"/>
    <n v="1"/>
    <n v="11"/>
  </r>
  <r>
    <n v="318"/>
    <x v="2"/>
    <n v="20"/>
    <x v="235"/>
    <n v="466"/>
    <n v="63"/>
    <x v="1"/>
    <x v="1"/>
    <n v="13"/>
    <x v="1"/>
    <x v="2"/>
    <x v="4"/>
    <x v="54"/>
    <x v="27"/>
    <x v="10"/>
    <n v="30"/>
    <n v="50"/>
    <n v="20"/>
    <n v="80"/>
    <n v="36"/>
    <x v="0"/>
    <n v="0.35398230088495575"/>
    <n v="0.61946902654867253"/>
    <n v="23"/>
  </r>
  <r>
    <n v="775"/>
    <x v="8"/>
    <n v="-18"/>
    <x v="236"/>
    <n v="1009"/>
    <n v="38"/>
    <x v="1"/>
    <x v="3"/>
    <n v="9"/>
    <x v="1"/>
    <x v="3"/>
    <x v="5"/>
    <x v="14"/>
    <x v="83"/>
    <x v="7"/>
    <n v="30"/>
    <n v="50"/>
    <n v="30"/>
    <n v="80"/>
    <n v="30"/>
    <x v="0"/>
    <n v="0.16216216216216217"/>
    <n v="0.58108108108108103"/>
    <n v="21"/>
  </r>
  <r>
    <n v="515"/>
    <x v="37"/>
    <n v="-15"/>
    <x v="237"/>
    <n v="807"/>
    <n v="35"/>
    <x v="1"/>
    <x v="0"/>
    <n v="6"/>
    <x v="1"/>
    <x v="2"/>
    <x v="8"/>
    <x v="65"/>
    <x v="89"/>
    <x v="4"/>
    <n v="20"/>
    <n v="50"/>
    <n v="40"/>
    <n v="70"/>
    <n v="18"/>
    <x v="1"/>
    <n v="0.40322580645161288"/>
    <n v="0.62903225806451613"/>
    <n v="12"/>
  </r>
  <r>
    <n v="225"/>
    <x v="30"/>
    <n v="26"/>
    <x v="238"/>
    <n v="320"/>
    <n v="66"/>
    <x v="1"/>
    <x v="1"/>
    <n v="12"/>
    <x v="1"/>
    <x v="2"/>
    <x v="8"/>
    <x v="43"/>
    <x v="11"/>
    <x v="10"/>
    <n v="30"/>
    <n v="50"/>
    <n v="20"/>
    <n v="80"/>
    <n v="35"/>
    <x v="1"/>
    <n v="0.40350877192982454"/>
    <n v="0.64035087719298245"/>
    <n v="23"/>
  </r>
  <r>
    <n v="971"/>
    <x v="20"/>
    <n v="-1"/>
    <x v="239"/>
    <n v="422"/>
    <n v="57"/>
    <x v="1"/>
    <x v="3"/>
    <n v="17"/>
    <x v="1"/>
    <x v="2"/>
    <x v="9"/>
    <x v="76"/>
    <x v="96"/>
    <x v="11"/>
    <n v="40"/>
    <n v="50"/>
    <n v="10"/>
    <n v="90"/>
    <n v="51"/>
    <x v="1"/>
    <n v="8.1818181818181818E-2"/>
    <n v="0.58181818181818179"/>
    <n v="34"/>
  </r>
  <r>
    <n v="262"/>
    <x v="2"/>
    <n v="22"/>
    <x v="240"/>
    <n v="466"/>
    <n v="63"/>
    <x v="1"/>
    <x v="0"/>
    <n v="13"/>
    <x v="0"/>
    <x v="1"/>
    <x v="2"/>
    <x v="41"/>
    <x v="27"/>
    <x v="13"/>
    <n v="30"/>
    <n v="50"/>
    <n v="20"/>
    <n v="80"/>
    <n v="35"/>
    <x v="1"/>
    <n v="0.37168141592920356"/>
    <n v="0.61946902654867253"/>
    <n v="22"/>
  </r>
  <r>
    <n v="959"/>
    <x v="24"/>
    <n v="2"/>
    <x v="241"/>
    <n v="818"/>
    <n v="49"/>
    <x v="1"/>
    <x v="2"/>
    <n v="9"/>
    <x v="0"/>
    <x v="1"/>
    <x v="3"/>
    <x v="41"/>
    <x v="70"/>
    <x v="5"/>
    <n v="30"/>
    <n v="50"/>
    <n v="40"/>
    <n v="80"/>
    <n v="21"/>
    <x v="1"/>
    <n v="0.48275862068965519"/>
    <n v="0.62068965517241381"/>
    <n v="12"/>
  </r>
  <r>
    <n v="435"/>
    <x v="10"/>
    <n v="-6"/>
    <x v="242"/>
    <n v="335"/>
    <n v="69"/>
    <x v="1"/>
    <x v="3"/>
    <n v="44"/>
    <x v="0"/>
    <x v="1"/>
    <x v="2"/>
    <x v="15"/>
    <x v="53"/>
    <x v="8"/>
    <n v="30"/>
    <n v="50"/>
    <n v="0"/>
    <n v="80"/>
    <n v="73"/>
    <x v="1"/>
    <n v="-4.7619047619047616E-2"/>
    <n v="0.61111111111111116"/>
    <n v="29"/>
  </r>
  <r>
    <n v="509"/>
    <x v="21"/>
    <n v="6"/>
    <x v="243"/>
    <n v="627"/>
    <n v="76"/>
    <x v="1"/>
    <x v="3"/>
    <n v="49"/>
    <x v="0"/>
    <x v="1"/>
    <x v="3"/>
    <x v="64"/>
    <x v="71"/>
    <x v="14"/>
    <n v="40"/>
    <n v="50"/>
    <n v="-10"/>
    <n v="90"/>
    <n v="79"/>
    <x v="1"/>
    <n v="-2.8571428571428571E-2"/>
    <n v="0.6071428571428571"/>
    <n v="30"/>
  </r>
  <r>
    <n v="630"/>
    <x v="31"/>
    <n v="-13"/>
    <x v="244"/>
    <n v="541"/>
    <n v="51"/>
    <x v="0"/>
    <x v="0"/>
    <n v="12"/>
    <x v="0"/>
    <x v="0"/>
    <x v="0"/>
    <x v="22"/>
    <x v="31"/>
    <x v="16"/>
    <n v="20"/>
    <n v="40"/>
    <n v="40"/>
    <n v="60"/>
    <n v="24"/>
    <x v="0"/>
    <n v="0.3"/>
    <n v="0.56666666666666665"/>
    <n v="12"/>
  </r>
  <r>
    <n v="209"/>
    <x v="31"/>
    <n v="-14"/>
    <x v="245"/>
    <n v="541"/>
    <n v="51"/>
    <x v="0"/>
    <x v="3"/>
    <n v="12"/>
    <x v="0"/>
    <x v="0"/>
    <x v="1"/>
    <x v="1"/>
    <x v="31"/>
    <x v="3"/>
    <n v="20"/>
    <n v="40"/>
    <n v="40"/>
    <n v="60"/>
    <n v="25"/>
    <x v="0"/>
    <n v="0.28888888888888886"/>
    <n v="0.56666666666666665"/>
    <n v="13"/>
  </r>
  <r>
    <n v="505"/>
    <x v="42"/>
    <n v="-36"/>
    <x v="246"/>
    <n v="1698"/>
    <n v="23"/>
    <x v="1"/>
    <x v="1"/>
    <n v="26"/>
    <x v="1"/>
    <x v="3"/>
    <x v="5"/>
    <x v="77"/>
    <x v="12"/>
    <x v="17"/>
    <n v="110"/>
    <n v="40"/>
    <n v="10"/>
    <n v="150"/>
    <n v="49"/>
    <x v="0"/>
    <n v="-0.23853211009174313"/>
    <n v="0.21100917431192662"/>
    <n v="23"/>
  </r>
  <r>
    <n v="318"/>
    <x v="20"/>
    <n v="-10"/>
    <x v="247"/>
    <n v="449"/>
    <n v="67"/>
    <x v="1"/>
    <x v="1"/>
    <n v="14"/>
    <x v="1"/>
    <x v="2"/>
    <x v="4"/>
    <x v="27"/>
    <x v="27"/>
    <x v="10"/>
    <n v="20"/>
    <n v="40"/>
    <n v="40"/>
    <n v="60"/>
    <n v="37"/>
    <x v="0"/>
    <n v="0.26548672566371684"/>
    <n v="0.59292035398230092"/>
    <n v="23"/>
  </r>
  <r>
    <n v="515"/>
    <x v="8"/>
    <n v="-23"/>
    <x v="248"/>
    <n v="1000"/>
    <n v="37"/>
    <x v="1"/>
    <x v="0"/>
    <n v="9"/>
    <x v="1"/>
    <x v="3"/>
    <x v="7"/>
    <x v="7"/>
    <x v="8"/>
    <x v="4"/>
    <n v="20"/>
    <n v="40"/>
    <n v="30"/>
    <n v="60"/>
    <n v="30"/>
    <x v="1"/>
    <n v="0.10294117647058823"/>
    <n v="0.54411764705882348"/>
    <n v="21"/>
  </r>
  <r>
    <n v="505"/>
    <x v="11"/>
    <n v="-16"/>
    <x v="249"/>
    <n v="320"/>
    <n v="64"/>
    <x v="1"/>
    <x v="1"/>
    <n v="41"/>
    <x v="1"/>
    <x v="2"/>
    <x v="8"/>
    <x v="15"/>
    <x v="12"/>
    <x v="17"/>
    <n v="20"/>
    <n v="40"/>
    <n v="10"/>
    <n v="60"/>
    <n v="70"/>
    <x v="1"/>
    <n v="-5.5045871559633031E-2"/>
    <n v="0.58715596330275233"/>
    <n v="29"/>
  </r>
  <r>
    <n v="801"/>
    <x v="40"/>
    <n v="-12"/>
    <x v="250"/>
    <n v="833"/>
    <n v="47"/>
    <x v="1"/>
    <x v="3"/>
    <n v="8"/>
    <x v="1"/>
    <x v="2"/>
    <x v="9"/>
    <x v="2"/>
    <x v="95"/>
    <x v="8"/>
    <n v="20"/>
    <n v="40"/>
    <n v="40"/>
    <n v="60"/>
    <n v="19"/>
    <x v="1"/>
    <n v="0.35443037974683544"/>
    <n v="0.59493670886075944"/>
    <n v="11"/>
  </r>
  <r>
    <n v="505"/>
    <x v="8"/>
    <n v="-24"/>
    <x v="251"/>
    <n v="1000"/>
    <n v="37"/>
    <x v="1"/>
    <x v="1"/>
    <n v="9"/>
    <x v="0"/>
    <x v="0"/>
    <x v="0"/>
    <x v="70"/>
    <x v="8"/>
    <x v="17"/>
    <n v="10"/>
    <n v="40"/>
    <n v="30"/>
    <n v="50"/>
    <n v="31"/>
    <x v="0"/>
    <n v="8.8235294117647065E-2"/>
    <n v="0.54411764705882348"/>
    <n v="22"/>
  </r>
  <r>
    <n v="636"/>
    <x v="31"/>
    <n v="-17"/>
    <x v="252"/>
    <n v="244"/>
    <n v="53"/>
    <x v="1"/>
    <x v="0"/>
    <n v="12"/>
    <x v="0"/>
    <x v="1"/>
    <x v="2"/>
    <x v="32"/>
    <x v="19"/>
    <x v="12"/>
    <n v="20"/>
    <n v="40"/>
    <n v="30"/>
    <n v="60"/>
    <n v="40"/>
    <x v="1"/>
    <n v="0.14130434782608695"/>
    <n v="0.57608695652173914"/>
    <n v="28"/>
  </r>
  <r>
    <n v="959"/>
    <x v="43"/>
    <n v="-22"/>
    <x v="253"/>
    <n v="806"/>
    <n v="36"/>
    <x v="1"/>
    <x v="2"/>
    <n v="6"/>
    <x v="0"/>
    <x v="1"/>
    <x v="3"/>
    <x v="47"/>
    <x v="94"/>
    <x v="5"/>
    <n v="20"/>
    <n v="40"/>
    <n v="40"/>
    <n v="60"/>
    <n v="18"/>
    <x v="1"/>
    <n v="0.3"/>
    <n v="0.6"/>
    <n v="12"/>
  </r>
  <r>
    <n v="603"/>
    <x v="5"/>
    <n v="-8"/>
    <x v="254"/>
    <n v="430"/>
    <n v="43"/>
    <x v="1"/>
    <x v="2"/>
    <n v="0"/>
    <x v="0"/>
    <x v="1"/>
    <x v="3"/>
    <x v="71"/>
    <x v="5"/>
    <x v="9"/>
    <n v="0"/>
    <n v="40"/>
    <n v="40"/>
    <n v="40"/>
    <n v="11"/>
    <x v="1"/>
    <n v="0.7441860465116279"/>
    <n v="1"/>
    <n v="11"/>
  </r>
  <r>
    <n v="801"/>
    <x v="11"/>
    <n v="-26"/>
    <x v="255"/>
    <n v="320"/>
    <n v="64"/>
    <x v="1"/>
    <x v="3"/>
    <n v="41"/>
    <x v="0"/>
    <x v="1"/>
    <x v="2"/>
    <x v="15"/>
    <x v="12"/>
    <x v="8"/>
    <n v="10"/>
    <n v="40"/>
    <n v="20"/>
    <n v="50"/>
    <n v="70"/>
    <x v="1"/>
    <n v="-5.5045871559633031E-2"/>
    <n v="0.58715596330275233"/>
    <n v="29"/>
  </r>
  <r>
    <n v="206"/>
    <x v="12"/>
    <n v="-10"/>
    <x v="256"/>
    <n v="606"/>
    <n v="84"/>
    <x v="1"/>
    <x v="3"/>
    <n v="54"/>
    <x v="0"/>
    <x v="1"/>
    <x v="3"/>
    <x v="66"/>
    <x v="13"/>
    <x v="14"/>
    <n v="20"/>
    <n v="40"/>
    <n v="10"/>
    <n v="60"/>
    <n v="84"/>
    <x v="1"/>
    <n v="0"/>
    <n v="0.58333333333333337"/>
    <n v="30"/>
  </r>
  <r>
    <n v="937"/>
    <x v="40"/>
    <n v="-1"/>
    <x v="257"/>
    <n v="482"/>
    <n v="48"/>
    <x v="0"/>
    <x v="0"/>
    <n v="8"/>
    <x v="0"/>
    <x v="0"/>
    <x v="10"/>
    <x v="26"/>
    <x v="81"/>
    <x v="18"/>
    <n v="30"/>
    <n v="40"/>
    <n v="30"/>
    <n v="70"/>
    <n v="19"/>
    <x v="0"/>
    <n v="0.36249999999999999"/>
    <n v="0.6"/>
    <n v="11"/>
  </r>
  <r>
    <n v="407"/>
    <x v="14"/>
    <n v="3"/>
    <x v="258"/>
    <n v="391"/>
    <n v="67"/>
    <x v="0"/>
    <x v="2"/>
    <n v="20"/>
    <x v="0"/>
    <x v="0"/>
    <x v="0"/>
    <x v="32"/>
    <x v="26"/>
    <x v="2"/>
    <n v="40"/>
    <n v="40"/>
    <n v="10"/>
    <n v="80"/>
    <n v="54"/>
    <x v="0"/>
    <n v="0.10743801652892562"/>
    <n v="0.55371900826446285"/>
    <n v="34"/>
  </r>
  <r>
    <n v="715"/>
    <x v="36"/>
    <n v="-19"/>
    <x v="259"/>
    <n v="570"/>
    <n v="30"/>
    <x v="1"/>
    <x v="0"/>
    <n v="7"/>
    <x v="1"/>
    <x v="2"/>
    <x v="4"/>
    <x v="78"/>
    <x v="97"/>
    <x v="13"/>
    <n v="20"/>
    <n v="40"/>
    <n v="30"/>
    <n v="60"/>
    <n v="19"/>
    <x v="0"/>
    <n v="0.21153846153846154"/>
    <n v="0.57692307692307687"/>
    <n v="12"/>
  </r>
  <r>
    <n v="505"/>
    <x v="44"/>
    <n v="-12"/>
    <x v="260"/>
    <n v="248"/>
    <n v="47"/>
    <x v="1"/>
    <x v="1"/>
    <n v="11"/>
    <x v="1"/>
    <x v="2"/>
    <x v="4"/>
    <x v="72"/>
    <x v="40"/>
    <x v="17"/>
    <n v="20"/>
    <n v="40"/>
    <n v="20"/>
    <n v="60"/>
    <n v="39"/>
    <x v="0"/>
    <n v="9.7560975609756101E-2"/>
    <n v="0.57317073170731703"/>
    <n v="28"/>
  </r>
  <r>
    <n v="775"/>
    <x v="45"/>
    <n v="-15"/>
    <x v="261"/>
    <n v="1003"/>
    <n v="35"/>
    <x v="1"/>
    <x v="3"/>
    <n v="8"/>
    <x v="1"/>
    <x v="3"/>
    <x v="5"/>
    <x v="79"/>
    <x v="98"/>
    <x v="7"/>
    <n v="30"/>
    <n v="40"/>
    <n v="20"/>
    <n v="70"/>
    <n v="30"/>
    <x v="0"/>
    <n v="7.8125E-2"/>
    <n v="0.546875"/>
    <n v="22"/>
  </r>
  <r>
    <n v="563"/>
    <x v="45"/>
    <n v="-15"/>
    <x v="262"/>
    <n v="1003"/>
    <n v="35"/>
    <x v="1"/>
    <x v="0"/>
    <n v="8"/>
    <x v="1"/>
    <x v="3"/>
    <x v="7"/>
    <x v="79"/>
    <x v="98"/>
    <x v="4"/>
    <n v="20"/>
    <n v="40"/>
    <n v="20"/>
    <n v="60"/>
    <n v="30"/>
    <x v="1"/>
    <n v="7.8125E-2"/>
    <n v="0.546875"/>
    <n v="22"/>
  </r>
  <r>
    <n v="603"/>
    <x v="13"/>
    <n v="-3"/>
    <x v="263"/>
    <n v="211"/>
    <n v="42"/>
    <x v="1"/>
    <x v="2"/>
    <n v="12"/>
    <x v="1"/>
    <x v="2"/>
    <x v="12"/>
    <x v="37"/>
    <x v="99"/>
    <x v="9"/>
    <n v="30"/>
    <n v="40"/>
    <n v="0"/>
    <n v="70"/>
    <n v="45"/>
    <x v="1"/>
    <n v="-3.9473684210526314E-2"/>
    <n v="0.55263157894736847"/>
    <n v="33"/>
  </r>
  <r>
    <n v="918"/>
    <x v="40"/>
    <n v="-1"/>
    <x v="264"/>
    <n v="482"/>
    <n v="48"/>
    <x v="1"/>
    <x v="1"/>
    <n v="8"/>
    <x v="1"/>
    <x v="2"/>
    <x v="8"/>
    <x v="26"/>
    <x v="81"/>
    <x v="6"/>
    <n v="20"/>
    <n v="40"/>
    <n v="30"/>
    <n v="60"/>
    <n v="19"/>
    <x v="1"/>
    <n v="0.36249999999999999"/>
    <n v="0.6"/>
    <n v="11"/>
  </r>
  <r>
    <n v="775"/>
    <x v="5"/>
    <n v="1"/>
    <x v="265"/>
    <n v="387"/>
    <n v="43"/>
    <x v="1"/>
    <x v="3"/>
    <n v="0"/>
    <x v="1"/>
    <x v="2"/>
    <x v="9"/>
    <x v="5"/>
    <x v="5"/>
    <x v="7"/>
    <n v="0"/>
    <n v="40"/>
    <n v="30"/>
    <n v="40"/>
    <n v="12"/>
    <x v="1"/>
    <n v="0.72093023255813948"/>
    <n v="1"/>
    <n v="12"/>
  </r>
  <r>
    <n v="435"/>
    <x v="24"/>
    <n v="-3"/>
    <x v="266"/>
    <n v="836"/>
    <n v="48"/>
    <x v="1"/>
    <x v="3"/>
    <n v="9"/>
    <x v="1"/>
    <x v="2"/>
    <x v="9"/>
    <x v="22"/>
    <x v="24"/>
    <x v="8"/>
    <n v="30"/>
    <n v="40"/>
    <n v="30"/>
    <n v="70"/>
    <n v="21"/>
    <x v="1"/>
    <n v="0.33333333333333331"/>
    <n v="0.59259259259259256"/>
    <n v="12"/>
  </r>
  <r>
    <n v="573"/>
    <x v="16"/>
    <n v="-9"/>
    <x v="267"/>
    <n v="1804"/>
    <n v="40"/>
    <x v="1"/>
    <x v="0"/>
    <n v="25"/>
    <x v="0"/>
    <x v="0"/>
    <x v="0"/>
    <x v="48"/>
    <x v="0"/>
    <x v="12"/>
    <n v="70"/>
    <n v="40"/>
    <n v="0"/>
    <n v="110"/>
    <n v="49"/>
    <x v="0"/>
    <n v="-7.3770491803278687E-2"/>
    <n v="0.32786885245901637"/>
    <n v="24"/>
  </r>
  <r>
    <n v="801"/>
    <x v="16"/>
    <n v="-8"/>
    <x v="268"/>
    <n v="1804"/>
    <n v="40"/>
    <x v="1"/>
    <x v="3"/>
    <n v="25"/>
    <x v="0"/>
    <x v="0"/>
    <x v="1"/>
    <x v="23"/>
    <x v="0"/>
    <x v="8"/>
    <n v="70"/>
    <n v="40"/>
    <n v="0"/>
    <n v="110"/>
    <n v="48"/>
    <x v="0"/>
    <n v="-6.5573770491803282E-2"/>
    <n v="0.32786885245901637"/>
    <n v="23"/>
  </r>
  <r>
    <n v="417"/>
    <x v="44"/>
    <n v="-1"/>
    <x v="269"/>
    <n v="248"/>
    <n v="47"/>
    <x v="1"/>
    <x v="0"/>
    <n v="11"/>
    <x v="0"/>
    <x v="1"/>
    <x v="2"/>
    <x v="76"/>
    <x v="40"/>
    <x v="12"/>
    <n v="20"/>
    <n v="40"/>
    <n v="10"/>
    <n v="60"/>
    <n v="38"/>
    <x v="1"/>
    <n v="0.10975609756097561"/>
    <n v="0.57317073170731703"/>
    <n v="27"/>
  </r>
  <r>
    <n v="636"/>
    <x v="13"/>
    <n v="-3"/>
    <x v="270"/>
    <n v="211"/>
    <n v="42"/>
    <x v="1"/>
    <x v="0"/>
    <n v="12"/>
    <x v="0"/>
    <x v="1"/>
    <x v="11"/>
    <x v="37"/>
    <x v="99"/>
    <x v="12"/>
    <n v="20"/>
    <n v="40"/>
    <n v="0"/>
    <n v="60"/>
    <n v="45"/>
    <x v="1"/>
    <n v="-3.9473684210526314E-2"/>
    <n v="0.55263157894736847"/>
    <n v="33"/>
  </r>
  <r>
    <n v="314"/>
    <x v="24"/>
    <n v="-4"/>
    <x v="271"/>
    <n v="243"/>
    <n v="41"/>
    <x v="1"/>
    <x v="0"/>
    <n v="12"/>
    <x v="0"/>
    <x v="1"/>
    <x v="3"/>
    <x v="64"/>
    <x v="83"/>
    <x v="12"/>
    <n v="20"/>
    <n v="40"/>
    <n v="0"/>
    <n v="60"/>
    <n v="45"/>
    <x v="1"/>
    <n v="-5.4054054054054057E-2"/>
    <n v="0.55405405405405406"/>
    <n v="33"/>
  </r>
  <r>
    <n v="603"/>
    <x v="5"/>
    <n v="2"/>
    <x v="272"/>
    <n v="387"/>
    <n v="43"/>
    <x v="1"/>
    <x v="2"/>
    <n v="0"/>
    <x v="0"/>
    <x v="1"/>
    <x v="3"/>
    <x v="71"/>
    <x v="5"/>
    <x v="9"/>
    <n v="0"/>
    <n v="40"/>
    <n v="30"/>
    <n v="40"/>
    <n v="11"/>
    <x v="1"/>
    <n v="0.7441860465116279"/>
    <n v="1"/>
    <n v="11"/>
  </r>
  <r>
    <n v="435"/>
    <x v="25"/>
    <n v="3"/>
    <x v="273"/>
    <n v="325"/>
    <n v="62"/>
    <x v="1"/>
    <x v="3"/>
    <n v="40"/>
    <x v="0"/>
    <x v="1"/>
    <x v="2"/>
    <x v="11"/>
    <x v="28"/>
    <x v="8"/>
    <n v="30"/>
    <n v="40"/>
    <n v="-10"/>
    <n v="70"/>
    <n v="69"/>
    <x v="1"/>
    <n v="-6.6037735849056603E-2"/>
    <n v="0.58490566037735847"/>
    <n v="29"/>
  </r>
  <r>
    <n v="937"/>
    <x v="45"/>
    <n v="-5"/>
    <x v="274"/>
    <n v="490"/>
    <n v="44"/>
    <x v="0"/>
    <x v="0"/>
    <n v="8"/>
    <x v="0"/>
    <x v="0"/>
    <x v="10"/>
    <x v="65"/>
    <x v="100"/>
    <x v="18"/>
    <n v="20"/>
    <n v="40"/>
    <n v="30"/>
    <n v="60"/>
    <n v="19"/>
    <x v="0"/>
    <n v="0.34246575342465752"/>
    <n v="0.60273972602739723"/>
    <n v="11"/>
  </r>
  <r>
    <n v="330"/>
    <x v="24"/>
    <n v="-1"/>
    <x v="275"/>
    <n v="870"/>
    <n v="49"/>
    <x v="0"/>
    <x v="0"/>
    <n v="9"/>
    <x v="0"/>
    <x v="0"/>
    <x v="0"/>
    <x v="26"/>
    <x v="40"/>
    <x v="18"/>
    <n v="30"/>
    <n v="40"/>
    <n v="30"/>
    <n v="70"/>
    <n v="20"/>
    <x v="0"/>
    <n v="0.35365853658536583"/>
    <n v="0.59756097560975607"/>
    <n v="11"/>
  </r>
  <r>
    <n v="508"/>
    <x v="20"/>
    <n v="-3"/>
    <x v="276"/>
    <n v="422"/>
    <n v="57"/>
    <x v="0"/>
    <x v="2"/>
    <n v="17"/>
    <x v="0"/>
    <x v="0"/>
    <x v="0"/>
    <x v="7"/>
    <x v="84"/>
    <x v="15"/>
    <n v="30"/>
    <n v="40"/>
    <n v="10"/>
    <n v="70"/>
    <n v="50"/>
    <x v="0"/>
    <n v="6.7961165048543687E-2"/>
    <n v="0.55339805825242716"/>
    <n v="33"/>
  </r>
  <r>
    <n v="813"/>
    <x v="46"/>
    <n v="-4"/>
    <x v="277"/>
    <n v="882"/>
    <n v="45"/>
    <x v="0"/>
    <x v="2"/>
    <n v="8"/>
    <x v="0"/>
    <x v="1"/>
    <x v="2"/>
    <x v="1"/>
    <x v="93"/>
    <x v="2"/>
    <n v="30"/>
    <n v="40"/>
    <n v="30"/>
    <n v="70"/>
    <n v="19"/>
    <x v="1"/>
    <n v="0.34666666666666668"/>
    <n v="0.6"/>
    <n v="11"/>
  </r>
  <r>
    <n v="857"/>
    <x v="45"/>
    <n v="-5"/>
    <x v="278"/>
    <n v="490"/>
    <n v="44"/>
    <x v="0"/>
    <x v="2"/>
    <n v="8"/>
    <x v="0"/>
    <x v="1"/>
    <x v="3"/>
    <x v="65"/>
    <x v="100"/>
    <x v="15"/>
    <n v="30"/>
    <n v="40"/>
    <n v="30"/>
    <n v="70"/>
    <n v="19"/>
    <x v="1"/>
    <n v="0.34246575342465752"/>
    <n v="0.60273972602739723"/>
    <n v="11"/>
  </r>
  <r>
    <n v="262"/>
    <x v="43"/>
    <n v="-17"/>
    <x v="279"/>
    <n v="567"/>
    <n v="32"/>
    <x v="1"/>
    <x v="0"/>
    <n v="7"/>
    <x v="1"/>
    <x v="2"/>
    <x v="4"/>
    <x v="32"/>
    <x v="82"/>
    <x v="13"/>
    <n v="30"/>
    <n v="40"/>
    <n v="30"/>
    <n v="70"/>
    <n v="19"/>
    <x v="0"/>
    <n v="0.23214285714285715"/>
    <n v="0.5714285714285714"/>
    <n v="12"/>
  </r>
  <r>
    <n v="702"/>
    <x v="5"/>
    <n v="1"/>
    <x v="280"/>
    <n v="344"/>
    <n v="43"/>
    <x v="1"/>
    <x v="3"/>
    <n v="0"/>
    <x v="1"/>
    <x v="2"/>
    <x v="9"/>
    <x v="5"/>
    <x v="5"/>
    <x v="7"/>
    <n v="0"/>
    <n v="40"/>
    <n v="30"/>
    <n v="40"/>
    <n v="12"/>
    <x v="1"/>
    <n v="0.72093023255813948"/>
    <n v="1"/>
    <n v="12"/>
  </r>
  <r>
    <n v="435"/>
    <x v="8"/>
    <n v="-4"/>
    <x v="281"/>
    <n v="844"/>
    <n v="46"/>
    <x v="1"/>
    <x v="3"/>
    <n v="8"/>
    <x v="1"/>
    <x v="2"/>
    <x v="9"/>
    <x v="1"/>
    <x v="14"/>
    <x v="8"/>
    <n v="30"/>
    <n v="40"/>
    <n v="30"/>
    <n v="70"/>
    <n v="20"/>
    <x v="1"/>
    <n v="0.33766233766233766"/>
    <n v="0.59740259740259738"/>
    <n v="12"/>
  </r>
  <r>
    <n v="715"/>
    <x v="13"/>
    <n v="0"/>
    <x v="282"/>
    <n v="863"/>
    <n v="51"/>
    <x v="1"/>
    <x v="0"/>
    <n v="9"/>
    <x v="0"/>
    <x v="0"/>
    <x v="0"/>
    <x v="27"/>
    <x v="39"/>
    <x v="13"/>
    <n v="30"/>
    <n v="40"/>
    <n v="30"/>
    <n v="70"/>
    <n v="21"/>
    <x v="0"/>
    <n v="0.35294117647058826"/>
    <n v="0.6"/>
    <n v="12"/>
  </r>
  <r>
    <n v="603"/>
    <x v="31"/>
    <n v="-8"/>
    <x v="283"/>
    <n v="250"/>
    <n v="49"/>
    <x v="1"/>
    <x v="2"/>
    <n v="14"/>
    <x v="0"/>
    <x v="0"/>
    <x v="0"/>
    <x v="80"/>
    <x v="23"/>
    <x v="9"/>
    <n v="20"/>
    <n v="40"/>
    <n v="10"/>
    <n v="60"/>
    <n v="47"/>
    <x v="0"/>
    <n v="2.2727272727272728E-2"/>
    <n v="0.55681818181818177"/>
    <n v="33"/>
  </r>
  <r>
    <n v="505"/>
    <x v="8"/>
    <n v="-13"/>
    <x v="284"/>
    <n v="1009"/>
    <n v="38"/>
    <x v="1"/>
    <x v="1"/>
    <n v="9"/>
    <x v="0"/>
    <x v="0"/>
    <x v="0"/>
    <x v="7"/>
    <x v="85"/>
    <x v="17"/>
    <n v="20"/>
    <n v="40"/>
    <n v="20"/>
    <n v="60"/>
    <n v="31"/>
    <x v="0"/>
    <n v="0.10144927536231885"/>
    <n v="0.55072463768115942"/>
    <n v="22"/>
  </r>
  <r>
    <n v="573"/>
    <x v="3"/>
    <n v="1"/>
    <x v="285"/>
    <n v="256"/>
    <n v="51"/>
    <x v="1"/>
    <x v="0"/>
    <n v="12"/>
    <x v="0"/>
    <x v="1"/>
    <x v="2"/>
    <x v="78"/>
    <x v="101"/>
    <x v="12"/>
    <n v="30"/>
    <n v="40"/>
    <n v="10"/>
    <n v="70"/>
    <n v="40"/>
    <x v="1"/>
    <n v="0.12359550561797752"/>
    <n v="0.5730337078651685"/>
    <n v="28"/>
  </r>
  <r>
    <n v="636"/>
    <x v="31"/>
    <n v="2"/>
    <x v="286"/>
    <n v="250"/>
    <n v="49"/>
    <x v="1"/>
    <x v="0"/>
    <n v="14"/>
    <x v="0"/>
    <x v="1"/>
    <x v="3"/>
    <x v="80"/>
    <x v="23"/>
    <x v="12"/>
    <n v="30"/>
    <n v="40"/>
    <n v="0"/>
    <n v="70"/>
    <n v="47"/>
    <x v="1"/>
    <n v="2.2727272727272728E-2"/>
    <n v="0.55681818181818177"/>
    <n v="33"/>
  </r>
  <r>
    <n v="603"/>
    <x v="5"/>
    <n v="2"/>
    <x v="287"/>
    <n v="344"/>
    <n v="43"/>
    <x v="1"/>
    <x v="2"/>
    <n v="0"/>
    <x v="0"/>
    <x v="1"/>
    <x v="3"/>
    <x v="71"/>
    <x v="5"/>
    <x v="9"/>
    <n v="0"/>
    <n v="40"/>
    <n v="30"/>
    <n v="40"/>
    <n v="11"/>
    <x v="1"/>
    <n v="0.7441860465116279"/>
    <n v="1"/>
    <n v="11"/>
  </r>
  <r>
    <n v="509"/>
    <x v="30"/>
    <n v="10"/>
    <x v="288"/>
    <n v="320"/>
    <n v="66"/>
    <x v="1"/>
    <x v="3"/>
    <n v="12"/>
    <x v="0"/>
    <x v="1"/>
    <x v="2"/>
    <x v="27"/>
    <x v="2"/>
    <x v="14"/>
    <n v="30"/>
    <n v="40"/>
    <n v="20"/>
    <n v="70"/>
    <n v="36"/>
    <x v="1"/>
    <n v="0.28037383177570091"/>
    <n v="0.61682242990654201"/>
    <n v="24"/>
  </r>
  <r>
    <n v="801"/>
    <x v="3"/>
    <n v="2"/>
    <x v="289"/>
    <n v="256"/>
    <n v="51"/>
    <x v="1"/>
    <x v="3"/>
    <n v="12"/>
    <x v="0"/>
    <x v="1"/>
    <x v="11"/>
    <x v="14"/>
    <x v="101"/>
    <x v="8"/>
    <n v="20"/>
    <n v="40"/>
    <n v="10"/>
    <n v="60"/>
    <n v="39"/>
    <x v="1"/>
    <n v="0.1348314606741573"/>
    <n v="0.5730337078651685"/>
    <n v="27"/>
  </r>
  <r>
    <n v="509"/>
    <x v="2"/>
    <n v="8"/>
    <x v="290"/>
    <n v="466"/>
    <n v="63"/>
    <x v="1"/>
    <x v="3"/>
    <n v="13"/>
    <x v="0"/>
    <x v="1"/>
    <x v="11"/>
    <x v="2"/>
    <x v="28"/>
    <x v="14"/>
    <n v="30"/>
    <n v="40"/>
    <n v="20"/>
    <n v="70"/>
    <n v="35"/>
    <x v="1"/>
    <n v="0.26415094339622641"/>
    <n v="0.59433962264150941"/>
    <n v="22"/>
  </r>
  <r>
    <n v="312"/>
    <x v="31"/>
    <n v="0"/>
    <x v="291"/>
    <n v="541"/>
    <n v="51"/>
    <x v="0"/>
    <x v="0"/>
    <n v="12"/>
    <x v="0"/>
    <x v="0"/>
    <x v="0"/>
    <x v="54"/>
    <x v="62"/>
    <x v="16"/>
    <n v="20"/>
    <n v="40"/>
    <n v="40"/>
    <n v="60"/>
    <n v="24"/>
    <x v="0"/>
    <n v="0.41666666666666669"/>
    <n v="0.59375"/>
    <n v="12"/>
  </r>
  <r>
    <n v="530"/>
    <x v="31"/>
    <n v="-1"/>
    <x v="292"/>
    <n v="541"/>
    <n v="51"/>
    <x v="0"/>
    <x v="3"/>
    <n v="12"/>
    <x v="0"/>
    <x v="0"/>
    <x v="1"/>
    <x v="40"/>
    <x v="62"/>
    <x v="3"/>
    <n v="20"/>
    <n v="40"/>
    <n v="40"/>
    <n v="60"/>
    <n v="25"/>
    <x v="0"/>
    <n v="0.40625"/>
    <n v="0.59375"/>
    <n v="13"/>
  </r>
  <r>
    <n v="505"/>
    <x v="42"/>
    <n v="-49"/>
    <x v="293"/>
    <n v="1698"/>
    <n v="23"/>
    <x v="1"/>
    <x v="1"/>
    <n v="26"/>
    <x v="1"/>
    <x v="3"/>
    <x v="5"/>
    <x v="81"/>
    <x v="52"/>
    <x v="17"/>
    <n v="110"/>
    <n v="40"/>
    <n v="10"/>
    <n v="150"/>
    <n v="49"/>
    <x v="0"/>
    <n v="-0.33620689655172414"/>
    <n v="0.25862068965517243"/>
    <n v="23"/>
  </r>
  <r>
    <n v="318"/>
    <x v="20"/>
    <n v="5"/>
    <x v="294"/>
    <n v="449"/>
    <n v="67"/>
    <x v="1"/>
    <x v="1"/>
    <n v="14"/>
    <x v="1"/>
    <x v="2"/>
    <x v="4"/>
    <x v="16"/>
    <x v="10"/>
    <x v="10"/>
    <n v="20"/>
    <n v="40"/>
    <n v="40"/>
    <n v="60"/>
    <n v="37"/>
    <x v="0"/>
    <n v="0.375"/>
    <n v="0.6166666666666667"/>
    <n v="23"/>
  </r>
  <r>
    <n v="515"/>
    <x v="8"/>
    <n v="-20"/>
    <x v="295"/>
    <n v="1000"/>
    <n v="37"/>
    <x v="1"/>
    <x v="0"/>
    <n v="9"/>
    <x v="1"/>
    <x v="3"/>
    <x v="7"/>
    <x v="44"/>
    <x v="50"/>
    <x v="4"/>
    <n v="20"/>
    <n v="40"/>
    <n v="30"/>
    <n v="60"/>
    <n v="30"/>
    <x v="1"/>
    <n v="0.1388888888888889"/>
    <n v="0.56944444444444442"/>
    <n v="21"/>
  </r>
  <r>
    <n v="505"/>
    <x v="11"/>
    <n v="-19"/>
    <x v="296"/>
    <n v="320"/>
    <n v="64"/>
    <x v="1"/>
    <x v="1"/>
    <n v="41"/>
    <x v="1"/>
    <x v="2"/>
    <x v="8"/>
    <x v="48"/>
    <x v="52"/>
    <x v="17"/>
    <n v="20"/>
    <n v="40"/>
    <n v="10"/>
    <n v="60"/>
    <n v="70"/>
    <x v="1"/>
    <n v="-7.7586206896551727E-2"/>
    <n v="0.61206896551724133"/>
    <n v="29"/>
  </r>
  <r>
    <n v="435"/>
    <x v="40"/>
    <n v="2"/>
    <x v="297"/>
    <n v="833"/>
    <n v="47"/>
    <x v="1"/>
    <x v="3"/>
    <n v="8"/>
    <x v="1"/>
    <x v="2"/>
    <x v="9"/>
    <x v="41"/>
    <x v="102"/>
    <x v="8"/>
    <n v="20"/>
    <n v="40"/>
    <n v="40"/>
    <n v="60"/>
    <n v="19"/>
    <x v="1"/>
    <n v="0.5"/>
    <n v="0.61904761904761907"/>
    <n v="11"/>
  </r>
  <r>
    <n v="505"/>
    <x v="8"/>
    <n v="-21"/>
    <x v="298"/>
    <n v="1000"/>
    <n v="37"/>
    <x v="1"/>
    <x v="1"/>
    <n v="9"/>
    <x v="0"/>
    <x v="0"/>
    <x v="0"/>
    <x v="76"/>
    <x v="50"/>
    <x v="17"/>
    <n v="10"/>
    <n v="40"/>
    <n v="30"/>
    <n v="50"/>
    <n v="31"/>
    <x v="0"/>
    <n v="0.125"/>
    <n v="0.56944444444444442"/>
    <n v="22"/>
  </r>
  <r>
    <n v="314"/>
    <x v="31"/>
    <n v="-11"/>
    <x v="299"/>
    <n v="244"/>
    <n v="53"/>
    <x v="1"/>
    <x v="0"/>
    <n v="12"/>
    <x v="0"/>
    <x v="1"/>
    <x v="2"/>
    <x v="60"/>
    <x v="55"/>
    <x v="12"/>
    <n v="20"/>
    <n v="40"/>
    <n v="30"/>
    <n v="60"/>
    <n v="40"/>
    <x v="1"/>
    <n v="0.19387755102040816"/>
    <n v="0.60204081632653061"/>
    <n v="28"/>
  </r>
  <r>
    <n v="203"/>
    <x v="43"/>
    <n v="-13"/>
    <x v="300"/>
    <n v="806"/>
    <n v="36"/>
    <x v="1"/>
    <x v="2"/>
    <n v="6"/>
    <x v="0"/>
    <x v="1"/>
    <x v="3"/>
    <x v="22"/>
    <x v="98"/>
    <x v="5"/>
    <n v="20"/>
    <n v="40"/>
    <n v="40"/>
    <n v="60"/>
    <n v="18"/>
    <x v="1"/>
    <n v="0.421875"/>
    <n v="0.625"/>
    <n v="12"/>
  </r>
  <r>
    <n v="603"/>
    <x v="5"/>
    <n v="7"/>
    <x v="301"/>
    <n v="430"/>
    <n v="43"/>
    <x v="1"/>
    <x v="2"/>
    <n v="0"/>
    <x v="0"/>
    <x v="1"/>
    <x v="3"/>
    <x v="17"/>
    <x v="48"/>
    <x v="9"/>
    <n v="0"/>
    <n v="40"/>
    <n v="40"/>
    <n v="40"/>
    <n v="11"/>
    <x v="1"/>
    <n v="1.0217391304347827"/>
    <n v="1"/>
    <n v="11"/>
  </r>
  <r>
    <n v="435"/>
    <x v="11"/>
    <n v="-29"/>
    <x v="302"/>
    <n v="320"/>
    <n v="64"/>
    <x v="1"/>
    <x v="3"/>
    <n v="41"/>
    <x v="0"/>
    <x v="1"/>
    <x v="2"/>
    <x v="48"/>
    <x v="52"/>
    <x v="8"/>
    <n v="10"/>
    <n v="40"/>
    <n v="20"/>
    <n v="50"/>
    <n v="70"/>
    <x v="1"/>
    <n v="-7.7586206896551727E-2"/>
    <n v="0.61206896551724133"/>
    <n v="29"/>
  </r>
  <r>
    <n v="206"/>
    <x v="12"/>
    <n v="-10"/>
    <x v="303"/>
    <n v="606"/>
    <n v="84"/>
    <x v="1"/>
    <x v="3"/>
    <n v="54"/>
    <x v="0"/>
    <x v="1"/>
    <x v="3"/>
    <x v="66"/>
    <x v="43"/>
    <x v="14"/>
    <n v="20"/>
    <n v="40"/>
    <n v="10"/>
    <n v="60"/>
    <n v="84"/>
    <x v="1"/>
    <n v="0"/>
    <n v="0.60784313725490191"/>
    <n v="30"/>
  </r>
  <r>
    <n v="440"/>
    <x v="40"/>
    <n v="13"/>
    <x v="304"/>
    <n v="482"/>
    <n v="48"/>
    <x v="0"/>
    <x v="0"/>
    <n v="8"/>
    <x v="0"/>
    <x v="0"/>
    <x v="10"/>
    <x v="58"/>
    <x v="39"/>
    <x v="18"/>
    <n v="30"/>
    <n v="40"/>
    <n v="30"/>
    <n v="70"/>
    <n v="19"/>
    <x v="0"/>
    <n v="0.50588235294117645"/>
    <n v="0.62352941176470589"/>
    <n v="11"/>
  </r>
  <r>
    <n v="561"/>
    <x v="14"/>
    <n v="9"/>
    <x v="305"/>
    <n v="391"/>
    <n v="67"/>
    <x v="0"/>
    <x v="2"/>
    <n v="20"/>
    <x v="0"/>
    <x v="0"/>
    <x v="0"/>
    <x v="60"/>
    <x v="60"/>
    <x v="2"/>
    <n v="40"/>
    <n v="40"/>
    <n v="10"/>
    <n v="80"/>
    <n v="54"/>
    <x v="0"/>
    <n v="0.14728682170542637"/>
    <n v="0.58139534883720934"/>
    <n v="34"/>
  </r>
  <r>
    <n v="920"/>
    <x v="36"/>
    <n v="-14"/>
    <x v="306"/>
    <n v="570"/>
    <n v="30"/>
    <x v="1"/>
    <x v="0"/>
    <n v="7"/>
    <x v="1"/>
    <x v="2"/>
    <x v="4"/>
    <x v="38"/>
    <x v="103"/>
    <x v="13"/>
    <n v="20"/>
    <n v="40"/>
    <n v="30"/>
    <n v="60"/>
    <n v="19"/>
    <x v="0"/>
    <n v="0.29090909090909089"/>
    <n v="0.6"/>
    <n v="12"/>
  </r>
  <r>
    <n v="505"/>
    <x v="44"/>
    <n v="-8"/>
    <x v="307"/>
    <n v="248"/>
    <n v="47"/>
    <x v="1"/>
    <x v="1"/>
    <n v="11"/>
    <x v="1"/>
    <x v="2"/>
    <x v="4"/>
    <x v="14"/>
    <x v="70"/>
    <x v="17"/>
    <n v="20"/>
    <n v="40"/>
    <n v="20"/>
    <n v="60"/>
    <n v="39"/>
    <x v="0"/>
    <n v="0.13793103448275862"/>
    <n v="0.5977011494252874"/>
    <n v="28"/>
  </r>
  <r>
    <n v="702"/>
    <x v="45"/>
    <n v="-13"/>
    <x v="308"/>
    <n v="1003"/>
    <n v="35"/>
    <x v="1"/>
    <x v="3"/>
    <n v="8"/>
    <x v="1"/>
    <x v="3"/>
    <x v="5"/>
    <x v="7"/>
    <x v="8"/>
    <x v="7"/>
    <n v="30"/>
    <n v="40"/>
    <n v="20"/>
    <n v="70"/>
    <n v="30"/>
    <x v="0"/>
    <n v="0.10294117647058823"/>
    <n v="0.57352941176470584"/>
    <n v="22"/>
  </r>
  <r>
    <n v="515"/>
    <x v="45"/>
    <n v="-13"/>
    <x v="309"/>
    <n v="1003"/>
    <n v="35"/>
    <x v="1"/>
    <x v="0"/>
    <n v="8"/>
    <x v="1"/>
    <x v="3"/>
    <x v="7"/>
    <x v="7"/>
    <x v="8"/>
    <x v="4"/>
    <n v="20"/>
    <n v="40"/>
    <n v="20"/>
    <n v="60"/>
    <n v="30"/>
    <x v="1"/>
    <n v="0.10294117647058823"/>
    <n v="0.57352941176470584"/>
    <n v="22"/>
  </r>
  <r>
    <n v="603"/>
    <x v="13"/>
    <n v="-4"/>
    <x v="310"/>
    <n v="211"/>
    <n v="42"/>
    <x v="1"/>
    <x v="2"/>
    <n v="12"/>
    <x v="1"/>
    <x v="2"/>
    <x v="12"/>
    <x v="64"/>
    <x v="24"/>
    <x v="9"/>
    <n v="30"/>
    <n v="40"/>
    <n v="0"/>
    <n v="70"/>
    <n v="45"/>
    <x v="1"/>
    <n v="-4.9382716049382713E-2"/>
    <n v="0.58024691358024694"/>
    <n v="33"/>
  </r>
  <r>
    <n v="580"/>
    <x v="40"/>
    <n v="13"/>
    <x v="311"/>
    <n v="482"/>
    <n v="48"/>
    <x v="1"/>
    <x v="1"/>
    <n v="8"/>
    <x v="1"/>
    <x v="2"/>
    <x v="8"/>
    <x v="58"/>
    <x v="39"/>
    <x v="6"/>
    <n v="20"/>
    <n v="40"/>
    <n v="30"/>
    <n v="60"/>
    <n v="19"/>
    <x v="1"/>
    <n v="0.50588235294117645"/>
    <n v="0.62352941176470589"/>
    <n v="11"/>
  </r>
  <r>
    <n v="775"/>
    <x v="5"/>
    <n v="16"/>
    <x v="312"/>
    <n v="387"/>
    <n v="43"/>
    <x v="1"/>
    <x v="3"/>
    <n v="0"/>
    <x v="1"/>
    <x v="2"/>
    <x v="9"/>
    <x v="43"/>
    <x v="48"/>
    <x v="7"/>
    <n v="0"/>
    <n v="40"/>
    <n v="30"/>
    <n v="40"/>
    <n v="12"/>
    <x v="1"/>
    <n v="1"/>
    <n v="1"/>
    <n v="12"/>
  </r>
  <r>
    <n v="435"/>
    <x v="24"/>
    <n v="10"/>
    <x v="313"/>
    <n v="836"/>
    <n v="48"/>
    <x v="1"/>
    <x v="3"/>
    <n v="9"/>
    <x v="1"/>
    <x v="2"/>
    <x v="9"/>
    <x v="54"/>
    <x v="58"/>
    <x v="8"/>
    <n v="30"/>
    <n v="40"/>
    <n v="30"/>
    <n v="70"/>
    <n v="21"/>
    <x v="1"/>
    <n v="0.46511627906976744"/>
    <n v="0.61627906976744184"/>
    <n v="12"/>
  </r>
  <r>
    <n v="314"/>
    <x v="16"/>
    <n v="-13"/>
    <x v="314"/>
    <n v="1804"/>
    <n v="40"/>
    <x v="1"/>
    <x v="0"/>
    <n v="25"/>
    <x v="0"/>
    <x v="0"/>
    <x v="0"/>
    <x v="82"/>
    <x v="45"/>
    <x v="12"/>
    <n v="70"/>
    <n v="40"/>
    <n v="0"/>
    <n v="110"/>
    <n v="49"/>
    <x v="0"/>
    <n v="-0.1"/>
    <n v="0.36923076923076925"/>
    <n v="24"/>
  </r>
  <r>
    <n v="435"/>
    <x v="16"/>
    <n v="-12"/>
    <x v="315"/>
    <n v="1804"/>
    <n v="40"/>
    <x v="1"/>
    <x v="3"/>
    <n v="25"/>
    <x v="0"/>
    <x v="0"/>
    <x v="1"/>
    <x v="55"/>
    <x v="45"/>
    <x v="8"/>
    <n v="70"/>
    <n v="40"/>
    <n v="0"/>
    <n v="110"/>
    <n v="48"/>
    <x v="0"/>
    <n v="-9.2307692307692313E-2"/>
    <n v="0.36923076923076925"/>
    <n v="23"/>
  </r>
  <r>
    <n v="636"/>
    <x v="44"/>
    <n v="3"/>
    <x v="316"/>
    <n v="248"/>
    <n v="47"/>
    <x v="1"/>
    <x v="0"/>
    <n v="11"/>
    <x v="0"/>
    <x v="1"/>
    <x v="2"/>
    <x v="32"/>
    <x v="70"/>
    <x v="12"/>
    <n v="20"/>
    <n v="40"/>
    <n v="10"/>
    <n v="60"/>
    <n v="38"/>
    <x v="1"/>
    <n v="0.14942528735632185"/>
    <n v="0.5977011494252874"/>
    <n v="27"/>
  </r>
  <r>
    <n v="573"/>
    <x v="13"/>
    <n v="-4"/>
    <x v="317"/>
    <n v="211"/>
    <n v="42"/>
    <x v="1"/>
    <x v="0"/>
    <n v="12"/>
    <x v="0"/>
    <x v="1"/>
    <x v="11"/>
    <x v="64"/>
    <x v="24"/>
    <x v="12"/>
    <n v="20"/>
    <n v="40"/>
    <n v="0"/>
    <n v="60"/>
    <n v="45"/>
    <x v="1"/>
    <n v="-4.9382716049382713E-2"/>
    <n v="0.58024691358024694"/>
    <n v="33"/>
  </r>
  <r>
    <n v="314"/>
    <x v="24"/>
    <n v="-6"/>
    <x v="318"/>
    <n v="243"/>
    <n v="41"/>
    <x v="1"/>
    <x v="0"/>
    <n v="12"/>
    <x v="0"/>
    <x v="1"/>
    <x v="3"/>
    <x v="15"/>
    <x v="95"/>
    <x v="12"/>
    <n v="20"/>
    <n v="40"/>
    <n v="0"/>
    <n v="60"/>
    <n v="45"/>
    <x v="1"/>
    <n v="-7.5949367088607597E-2"/>
    <n v="0.58227848101265822"/>
    <n v="33"/>
  </r>
  <r>
    <n v="603"/>
    <x v="5"/>
    <n v="17"/>
    <x v="319"/>
    <n v="387"/>
    <n v="43"/>
    <x v="1"/>
    <x v="2"/>
    <n v="0"/>
    <x v="0"/>
    <x v="1"/>
    <x v="3"/>
    <x v="17"/>
    <x v="48"/>
    <x v="9"/>
    <n v="0"/>
    <n v="40"/>
    <n v="30"/>
    <n v="40"/>
    <n v="11"/>
    <x v="1"/>
    <n v="1.0217391304347827"/>
    <n v="1"/>
    <n v="11"/>
  </r>
  <r>
    <n v="435"/>
    <x v="25"/>
    <n v="0"/>
    <x v="320"/>
    <n v="325"/>
    <n v="62"/>
    <x v="1"/>
    <x v="3"/>
    <n v="40"/>
    <x v="0"/>
    <x v="1"/>
    <x v="2"/>
    <x v="46"/>
    <x v="27"/>
    <x v="8"/>
    <n v="30"/>
    <n v="40"/>
    <n v="-10"/>
    <n v="70"/>
    <n v="69"/>
    <x v="1"/>
    <n v="-8.8495575221238937E-2"/>
    <n v="0.61061946902654862"/>
    <n v="29"/>
  </r>
  <r>
    <n v="614"/>
    <x v="45"/>
    <n v="7"/>
    <x v="321"/>
    <n v="490"/>
    <n v="44"/>
    <x v="0"/>
    <x v="0"/>
    <n v="8"/>
    <x v="0"/>
    <x v="0"/>
    <x v="10"/>
    <x v="8"/>
    <x v="25"/>
    <x v="18"/>
    <n v="20"/>
    <n v="40"/>
    <n v="30"/>
    <n v="60"/>
    <n v="19"/>
    <x v="0"/>
    <n v="0.47435897435897434"/>
    <n v="0.62820512820512819"/>
    <n v="11"/>
  </r>
  <r>
    <n v="440"/>
    <x v="24"/>
    <n v="13"/>
    <x v="322"/>
    <n v="870"/>
    <n v="49"/>
    <x v="0"/>
    <x v="0"/>
    <n v="9"/>
    <x v="0"/>
    <x v="0"/>
    <x v="0"/>
    <x v="58"/>
    <x v="70"/>
    <x v="18"/>
    <n v="30"/>
    <n v="40"/>
    <n v="30"/>
    <n v="70"/>
    <n v="20"/>
    <x v="0"/>
    <n v="0.4942528735632184"/>
    <n v="0.62068965517241381"/>
    <n v="11"/>
  </r>
  <r>
    <n v="774"/>
    <x v="20"/>
    <n v="0"/>
    <x v="323"/>
    <n v="422"/>
    <n v="57"/>
    <x v="0"/>
    <x v="2"/>
    <n v="17"/>
    <x v="0"/>
    <x v="0"/>
    <x v="0"/>
    <x v="44"/>
    <x v="96"/>
    <x v="15"/>
    <n v="30"/>
    <n v="40"/>
    <n v="10"/>
    <n v="70"/>
    <n v="50"/>
    <x v="0"/>
    <n v="9.0909090909090912E-2"/>
    <n v="0.58181818181818179"/>
    <n v="33"/>
  </r>
  <r>
    <n v="321"/>
    <x v="46"/>
    <n v="9"/>
    <x v="324"/>
    <n v="882"/>
    <n v="45"/>
    <x v="0"/>
    <x v="2"/>
    <n v="8"/>
    <x v="0"/>
    <x v="1"/>
    <x v="2"/>
    <x v="40"/>
    <x v="81"/>
    <x v="2"/>
    <n v="30"/>
    <n v="40"/>
    <n v="30"/>
    <n v="70"/>
    <n v="19"/>
    <x v="1"/>
    <n v="0.48749999999999999"/>
    <n v="0.625"/>
    <n v="11"/>
  </r>
  <r>
    <n v="774"/>
    <x v="45"/>
    <n v="7"/>
    <x v="325"/>
    <n v="490"/>
    <n v="44"/>
    <x v="0"/>
    <x v="2"/>
    <n v="8"/>
    <x v="0"/>
    <x v="1"/>
    <x v="3"/>
    <x v="8"/>
    <x v="25"/>
    <x v="15"/>
    <n v="30"/>
    <n v="40"/>
    <n v="30"/>
    <n v="70"/>
    <n v="19"/>
    <x v="1"/>
    <n v="0.47435897435897434"/>
    <n v="0.62820512820512819"/>
    <n v="11"/>
  </r>
  <r>
    <n v="608"/>
    <x v="43"/>
    <n v="-11"/>
    <x v="326"/>
    <n v="567"/>
    <n v="32"/>
    <x v="1"/>
    <x v="0"/>
    <n v="7"/>
    <x v="1"/>
    <x v="2"/>
    <x v="4"/>
    <x v="60"/>
    <x v="94"/>
    <x v="13"/>
    <n v="30"/>
    <n v="40"/>
    <n v="30"/>
    <n v="70"/>
    <n v="19"/>
    <x v="0"/>
    <n v="0.31666666666666665"/>
    <n v="0.6"/>
    <n v="12"/>
  </r>
  <r>
    <n v="775"/>
    <x v="5"/>
    <n v="16"/>
    <x v="327"/>
    <n v="344"/>
    <n v="43"/>
    <x v="1"/>
    <x v="3"/>
    <n v="0"/>
    <x v="1"/>
    <x v="2"/>
    <x v="9"/>
    <x v="43"/>
    <x v="48"/>
    <x v="7"/>
    <n v="0"/>
    <n v="40"/>
    <n v="30"/>
    <n v="40"/>
    <n v="12"/>
    <x v="1"/>
    <n v="1"/>
    <n v="1"/>
    <n v="12"/>
  </r>
  <r>
    <n v="435"/>
    <x v="8"/>
    <n v="9"/>
    <x v="328"/>
    <n v="844"/>
    <n v="46"/>
    <x v="1"/>
    <x v="3"/>
    <n v="8"/>
    <x v="1"/>
    <x v="2"/>
    <x v="9"/>
    <x v="40"/>
    <x v="40"/>
    <x v="8"/>
    <n v="30"/>
    <n v="40"/>
    <n v="30"/>
    <n v="70"/>
    <n v="20"/>
    <x v="1"/>
    <n v="0.47560975609756095"/>
    <n v="0.62195121951219512"/>
    <n v="12"/>
  </r>
  <r>
    <n v="715"/>
    <x v="13"/>
    <n v="15"/>
    <x v="329"/>
    <n v="863"/>
    <n v="51"/>
    <x v="1"/>
    <x v="0"/>
    <n v="9"/>
    <x v="0"/>
    <x v="0"/>
    <x v="0"/>
    <x v="16"/>
    <x v="69"/>
    <x v="13"/>
    <n v="30"/>
    <n v="40"/>
    <n v="30"/>
    <n v="70"/>
    <n v="21"/>
    <x v="0"/>
    <n v="0.49450549450549453"/>
    <n v="0.62637362637362637"/>
    <n v="12"/>
  </r>
  <r>
    <n v="603"/>
    <x v="31"/>
    <n v="-7"/>
    <x v="330"/>
    <n v="250"/>
    <n v="49"/>
    <x v="1"/>
    <x v="2"/>
    <n v="14"/>
    <x v="0"/>
    <x v="0"/>
    <x v="0"/>
    <x v="83"/>
    <x v="3"/>
    <x v="9"/>
    <n v="20"/>
    <n v="40"/>
    <n v="10"/>
    <n v="60"/>
    <n v="47"/>
    <x v="0"/>
    <n v="3.1914893617021274E-2"/>
    <n v="0.58510638297872342"/>
    <n v="33"/>
  </r>
  <r>
    <n v="505"/>
    <x v="8"/>
    <n v="-10"/>
    <x v="331"/>
    <n v="1009"/>
    <n v="38"/>
    <x v="1"/>
    <x v="1"/>
    <n v="9"/>
    <x v="0"/>
    <x v="0"/>
    <x v="0"/>
    <x v="44"/>
    <x v="83"/>
    <x v="17"/>
    <n v="20"/>
    <n v="40"/>
    <n v="20"/>
    <n v="60"/>
    <n v="31"/>
    <x v="0"/>
    <n v="0.13513513513513514"/>
    <n v="0.58108108108108103"/>
    <n v="22"/>
  </r>
  <r>
    <n v="314"/>
    <x v="3"/>
    <n v="6"/>
    <x v="332"/>
    <n v="256"/>
    <n v="51"/>
    <x v="1"/>
    <x v="0"/>
    <n v="12"/>
    <x v="0"/>
    <x v="1"/>
    <x v="2"/>
    <x v="38"/>
    <x v="104"/>
    <x v="12"/>
    <n v="30"/>
    <n v="40"/>
    <n v="10"/>
    <n v="70"/>
    <n v="40"/>
    <x v="1"/>
    <n v="0.16842105263157894"/>
    <n v="0.6"/>
    <n v="28"/>
  </r>
  <r>
    <n v="660"/>
    <x v="31"/>
    <n v="3"/>
    <x v="333"/>
    <n v="250"/>
    <n v="49"/>
    <x v="1"/>
    <x v="0"/>
    <n v="14"/>
    <x v="0"/>
    <x v="1"/>
    <x v="3"/>
    <x v="83"/>
    <x v="3"/>
    <x v="12"/>
    <n v="30"/>
    <n v="40"/>
    <n v="0"/>
    <n v="70"/>
    <n v="47"/>
    <x v="1"/>
    <n v="3.1914893617021274E-2"/>
    <n v="0.58510638297872342"/>
    <n v="33"/>
  </r>
  <r>
    <n v="603"/>
    <x v="5"/>
    <n v="17"/>
    <x v="334"/>
    <n v="344"/>
    <n v="43"/>
    <x v="1"/>
    <x v="2"/>
    <n v="0"/>
    <x v="0"/>
    <x v="1"/>
    <x v="3"/>
    <x v="17"/>
    <x v="48"/>
    <x v="9"/>
    <n v="0"/>
    <n v="40"/>
    <n v="30"/>
    <n v="40"/>
    <n v="11"/>
    <x v="1"/>
    <n v="1.0217391304347827"/>
    <n v="1"/>
    <n v="11"/>
  </r>
  <r>
    <n v="253"/>
    <x v="30"/>
    <n v="25"/>
    <x v="335"/>
    <n v="320"/>
    <n v="66"/>
    <x v="1"/>
    <x v="3"/>
    <n v="12"/>
    <x v="0"/>
    <x v="1"/>
    <x v="2"/>
    <x v="16"/>
    <x v="11"/>
    <x v="14"/>
    <n v="30"/>
    <n v="40"/>
    <n v="20"/>
    <n v="70"/>
    <n v="36"/>
    <x v="1"/>
    <n v="0.39473684210526316"/>
    <n v="0.64035087719298245"/>
    <n v="24"/>
  </r>
  <r>
    <n v="435"/>
    <x v="3"/>
    <n v="8"/>
    <x v="336"/>
    <n v="256"/>
    <n v="51"/>
    <x v="1"/>
    <x v="3"/>
    <n v="12"/>
    <x v="0"/>
    <x v="1"/>
    <x v="11"/>
    <x v="47"/>
    <x v="104"/>
    <x v="8"/>
    <n v="20"/>
    <n v="40"/>
    <n v="10"/>
    <n v="60"/>
    <n v="39"/>
    <x v="1"/>
    <n v="0.18947368421052632"/>
    <n v="0.6"/>
    <n v="27"/>
  </r>
  <r>
    <n v="253"/>
    <x v="2"/>
    <n v="22"/>
    <x v="337"/>
    <n v="466"/>
    <n v="63"/>
    <x v="1"/>
    <x v="3"/>
    <n v="13"/>
    <x v="0"/>
    <x v="1"/>
    <x v="11"/>
    <x v="41"/>
    <x v="27"/>
    <x v="14"/>
    <n v="30"/>
    <n v="40"/>
    <n v="20"/>
    <n v="70"/>
    <n v="35"/>
    <x v="1"/>
    <n v="0.37168141592920356"/>
    <n v="0.61946902654867253"/>
    <n v="22"/>
  </r>
  <r>
    <n v="216"/>
    <x v="0"/>
    <n v="-35"/>
    <x v="338"/>
    <n v="503"/>
    <n v="71"/>
    <x v="0"/>
    <x v="0"/>
    <n v="46"/>
    <x v="1"/>
    <x v="3"/>
    <x v="5"/>
    <x v="0"/>
    <x v="0"/>
    <x v="18"/>
    <n v="40"/>
    <n v="70"/>
    <n v="30"/>
    <n v="110"/>
    <n v="76"/>
    <x v="0"/>
    <n v="-4.0983606557377046E-2"/>
    <n v="0.58196721311475408"/>
    <n v="30"/>
  </r>
  <r>
    <n v="440"/>
    <x v="1"/>
    <n v="-34"/>
    <x v="339"/>
    <n v="405"/>
    <n v="71"/>
    <x v="0"/>
    <x v="0"/>
    <n v="17"/>
    <x v="1"/>
    <x v="3"/>
    <x v="6"/>
    <x v="1"/>
    <x v="1"/>
    <x v="18"/>
    <n v="40"/>
    <n v="70"/>
    <n v="60"/>
    <n v="110"/>
    <n v="45"/>
    <x v="1"/>
    <n v="0.21138211382113822"/>
    <n v="0.57723577235772361"/>
    <n v="28"/>
  </r>
  <r>
    <n v="937"/>
    <x v="2"/>
    <n v="-32"/>
    <x v="340"/>
    <n v="419"/>
    <n v="64"/>
    <x v="0"/>
    <x v="0"/>
    <n v="13"/>
    <x v="1"/>
    <x v="3"/>
    <x v="7"/>
    <x v="2"/>
    <x v="2"/>
    <x v="18"/>
    <n v="30"/>
    <n v="70"/>
    <n v="60"/>
    <n v="100"/>
    <n v="36"/>
    <x v="1"/>
    <n v="0.26168224299065418"/>
    <n v="0.59813084112149528"/>
    <n v="23"/>
  </r>
  <r>
    <n v="774"/>
    <x v="0"/>
    <n v="-41"/>
    <x v="341"/>
    <n v="542"/>
    <n v="65"/>
    <x v="0"/>
    <x v="2"/>
    <n v="46"/>
    <x v="1"/>
    <x v="2"/>
    <x v="8"/>
    <x v="84"/>
    <x v="52"/>
    <x v="15"/>
    <n v="30"/>
    <n v="70"/>
    <n v="30"/>
    <n v="100"/>
    <n v="76"/>
    <x v="1"/>
    <n v="-9.4827586206896547E-2"/>
    <n v="0.56034482758620685"/>
    <n v="30"/>
  </r>
  <r>
    <n v="832"/>
    <x v="4"/>
    <n v="5"/>
    <x v="342"/>
    <n v="-868"/>
    <n v="110"/>
    <x v="0"/>
    <x v="1"/>
    <n v="23"/>
    <x v="1"/>
    <x v="2"/>
    <x v="9"/>
    <x v="45"/>
    <x v="4"/>
    <x v="1"/>
    <n v="40"/>
    <n v="70"/>
    <n v="50"/>
    <n v="110"/>
    <n v="55"/>
    <x v="1"/>
    <n v="0.30219780219780218"/>
    <n v="0.60439560439560436"/>
    <n v="32"/>
  </r>
  <r>
    <n v="863"/>
    <x v="15"/>
    <n v="-14"/>
    <x v="343"/>
    <n v="851"/>
    <n v="70"/>
    <x v="0"/>
    <x v="2"/>
    <n v="13"/>
    <x v="0"/>
    <x v="1"/>
    <x v="3"/>
    <x v="43"/>
    <x v="15"/>
    <x v="2"/>
    <n v="50"/>
    <n v="70"/>
    <n v="60"/>
    <n v="120"/>
    <n v="24"/>
    <x v="1"/>
    <n v="0.38983050847457629"/>
    <n v="0.59322033898305082"/>
    <n v="11"/>
  </r>
  <r>
    <n v="985"/>
    <x v="12"/>
    <n v="-12"/>
    <x v="344"/>
    <n v="329"/>
    <n v="99"/>
    <x v="1"/>
    <x v="1"/>
    <n v="18"/>
    <x v="1"/>
    <x v="2"/>
    <x v="8"/>
    <x v="85"/>
    <x v="80"/>
    <x v="10"/>
    <n v="30"/>
    <n v="70"/>
    <n v="70"/>
    <n v="100"/>
    <n v="41"/>
    <x v="1"/>
    <n v="0.36477987421383645"/>
    <n v="0.62264150943396224"/>
    <n v="23"/>
  </r>
  <r>
    <n v="971"/>
    <x v="1"/>
    <n v="-33"/>
    <x v="345"/>
    <n v="405"/>
    <n v="71"/>
    <x v="1"/>
    <x v="3"/>
    <n v="17"/>
    <x v="1"/>
    <x v="2"/>
    <x v="8"/>
    <x v="22"/>
    <x v="1"/>
    <x v="11"/>
    <n v="30"/>
    <n v="70"/>
    <n v="60"/>
    <n v="100"/>
    <n v="44"/>
    <x v="1"/>
    <n v="0.21951219512195122"/>
    <n v="0.57723577235772361"/>
    <n v="27"/>
  </r>
  <r>
    <n v="253"/>
    <x v="47"/>
    <n v="-34"/>
    <x v="346"/>
    <n v="385"/>
    <n v="70"/>
    <x v="1"/>
    <x v="3"/>
    <n v="21"/>
    <x v="1"/>
    <x v="2"/>
    <x v="8"/>
    <x v="38"/>
    <x v="53"/>
    <x v="14"/>
    <n v="40"/>
    <n v="70"/>
    <n v="50"/>
    <n v="110"/>
    <n v="54"/>
    <x v="1"/>
    <n v="0.12698412698412698"/>
    <n v="0.55555555555555558"/>
    <n v="33"/>
  </r>
  <r>
    <n v="405"/>
    <x v="47"/>
    <n v="-34"/>
    <x v="347"/>
    <n v="385"/>
    <n v="70"/>
    <x v="1"/>
    <x v="1"/>
    <n v="21"/>
    <x v="0"/>
    <x v="0"/>
    <x v="10"/>
    <x v="38"/>
    <x v="53"/>
    <x v="6"/>
    <n v="40"/>
    <n v="70"/>
    <n v="50"/>
    <n v="110"/>
    <n v="54"/>
    <x v="0"/>
    <n v="0.12698412698412698"/>
    <n v="0.55555555555555558"/>
    <n v="33"/>
  </r>
  <r>
    <n v="435"/>
    <x v="11"/>
    <n v="-37"/>
    <x v="348"/>
    <n v="447"/>
    <n v="69"/>
    <x v="1"/>
    <x v="3"/>
    <n v="14"/>
    <x v="0"/>
    <x v="0"/>
    <x v="0"/>
    <x v="34"/>
    <x v="11"/>
    <x v="8"/>
    <n v="20"/>
    <n v="70"/>
    <n v="60"/>
    <n v="90"/>
    <n v="46"/>
    <x v="0"/>
    <n v="0.20175438596491227"/>
    <n v="0.60526315789473684"/>
    <n v="32"/>
  </r>
  <r>
    <n v="567"/>
    <x v="1"/>
    <n v="-13"/>
    <x v="349"/>
    <n v="509"/>
    <n v="73"/>
    <x v="0"/>
    <x v="0"/>
    <n v="47"/>
    <x v="1"/>
    <x v="3"/>
    <x v="5"/>
    <x v="37"/>
    <x v="22"/>
    <x v="18"/>
    <n v="50"/>
    <n v="70"/>
    <n v="10"/>
    <n v="120"/>
    <n v="76"/>
    <x v="0"/>
    <n v="-2.4E-2"/>
    <n v="0.58399999999999996"/>
    <n v="29"/>
  </r>
  <r>
    <n v="614"/>
    <x v="20"/>
    <n v="-8"/>
    <x v="350"/>
    <n v="424"/>
    <n v="68"/>
    <x v="0"/>
    <x v="0"/>
    <n v="14"/>
    <x v="1"/>
    <x v="3"/>
    <x v="7"/>
    <x v="71"/>
    <x v="11"/>
    <x v="18"/>
    <n v="40"/>
    <n v="70"/>
    <n v="40"/>
    <n v="110"/>
    <n v="36"/>
    <x v="1"/>
    <n v="0.2807017543859649"/>
    <n v="0.59649122807017541"/>
    <n v="22"/>
  </r>
  <r>
    <n v="303"/>
    <x v="1"/>
    <n v="-14"/>
    <x v="351"/>
    <n v="509"/>
    <n v="73"/>
    <x v="0"/>
    <x v="0"/>
    <n v="47"/>
    <x v="0"/>
    <x v="0"/>
    <x v="0"/>
    <x v="64"/>
    <x v="22"/>
    <x v="0"/>
    <n v="40"/>
    <n v="70"/>
    <n v="10"/>
    <n v="110"/>
    <n v="77"/>
    <x v="0"/>
    <n v="-3.2000000000000001E-2"/>
    <n v="0.58399999999999996"/>
    <n v="30"/>
  </r>
  <r>
    <n v="720"/>
    <x v="48"/>
    <n v="-8"/>
    <x v="352"/>
    <n v="411"/>
    <n v="79"/>
    <x v="0"/>
    <x v="0"/>
    <n v="19"/>
    <x v="0"/>
    <x v="0"/>
    <x v="1"/>
    <x v="71"/>
    <x v="105"/>
    <x v="0"/>
    <n v="50"/>
    <n v="70"/>
    <n v="40"/>
    <n v="120"/>
    <n v="47"/>
    <x v="0"/>
    <n v="0.2318840579710145"/>
    <n v="0.57246376811594202"/>
    <n v="28"/>
  </r>
  <r>
    <n v="713"/>
    <x v="48"/>
    <n v="-8"/>
    <x v="353"/>
    <n v="411"/>
    <n v="79"/>
    <x v="0"/>
    <x v="1"/>
    <n v="19"/>
    <x v="0"/>
    <x v="0"/>
    <x v="10"/>
    <x v="71"/>
    <x v="105"/>
    <x v="1"/>
    <n v="50"/>
    <n v="70"/>
    <n v="40"/>
    <n v="120"/>
    <n v="47"/>
    <x v="0"/>
    <n v="0.2318840579710145"/>
    <n v="0.57246376811594202"/>
    <n v="28"/>
  </r>
  <r>
    <n v="718"/>
    <x v="18"/>
    <n v="-3"/>
    <x v="354"/>
    <n v="589"/>
    <n v="73"/>
    <x v="0"/>
    <x v="2"/>
    <n v="14"/>
    <x v="0"/>
    <x v="1"/>
    <x v="3"/>
    <x v="17"/>
    <x v="1"/>
    <x v="19"/>
    <n v="50"/>
    <n v="70"/>
    <n v="50"/>
    <n v="120"/>
    <n v="26"/>
    <x v="1"/>
    <n v="0.38211382113821141"/>
    <n v="0.5934959349593496"/>
    <n v="12"/>
  </r>
  <r>
    <n v="860"/>
    <x v="26"/>
    <n v="-14"/>
    <x v="355"/>
    <n v="380"/>
    <n v="71"/>
    <x v="1"/>
    <x v="2"/>
    <n v="17"/>
    <x v="1"/>
    <x v="2"/>
    <x v="4"/>
    <x v="1"/>
    <x v="21"/>
    <x v="5"/>
    <n v="50"/>
    <n v="70"/>
    <n v="40"/>
    <n v="120"/>
    <n v="45"/>
    <x v="0"/>
    <n v="0.20967741935483872"/>
    <n v="0.57258064516129037"/>
    <n v="28"/>
  </r>
  <r>
    <n v="435"/>
    <x v="14"/>
    <n v="2"/>
    <x v="356"/>
    <n v="885"/>
    <n v="78"/>
    <x v="1"/>
    <x v="3"/>
    <n v="15"/>
    <x v="1"/>
    <x v="2"/>
    <x v="4"/>
    <x v="33"/>
    <x v="57"/>
    <x v="8"/>
    <n v="50"/>
    <n v="70"/>
    <n v="50"/>
    <n v="120"/>
    <n v="26"/>
    <x v="0"/>
    <n v="0.39393939393939392"/>
    <n v="0.59090909090909094"/>
    <n v="11"/>
  </r>
  <r>
    <n v="505"/>
    <x v="2"/>
    <n v="-10"/>
    <x v="357"/>
    <n v="452"/>
    <n v="66"/>
    <x v="1"/>
    <x v="1"/>
    <n v="14"/>
    <x v="1"/>
    <x v="3"/>
    <x v="7"/>
    <x v="30"/>
    <x v="12"/>
    <x v="17"/>
    <n v="50"/>
    <n v="70"/>
    <n v="30"/>
    <n v="120"/>
    <n v="46"/>
    <x v="1"/>
    <n v="0.1834862385321101"/>
    <n v="0.60550458715596334"/>
    <n v="32"/>
  </r>
  <r>
    <n v="504"/>
    <x v="27"/>
    <n v="-9"/>
    <x v="358"/>
    <n v="-906"/>
    <n v="86"/>
    <x v="1"/>
    <x v="1"/>
    <n v="55"/>
    <x v="1"/>
    <x v="2"/>
    <x v="9"/>
    <x v="12"/>
    <x v="32"/>
    <x v="10"/>
    <n v="40"/>
    <n v="70"/>
    <n v="10"/>
    <n v="110"/>
    <n v="85"/>
    <x v="1"/>
    <n v="6.8027210884353739E-3"/>
    <n v="0.58503401360544216"/>
    <n v="30"/>
  </r>
  <r>
    <n v="541"/>
    <x v="21"/>
    <n v="-14"/>
    <x v="359"/>
    <n v="410"/>
    <n v="69"/>
    <x v="1"/>
    <x v="3"/>
    <n v="20"/>
    <x v="1"/>
    <x v="2"/>
    <x v="9"/>
    <x v="38"/>
    <x v="21"/>
    <x v="11"/>
    <n v="50"/>
    <n v="70"/>
    <n v="30"/>
    <n v="120"/>
    <n v="53"/>
    <x v="1"/>
    <n v="0.12903225806451613"/>
    <n v="0.55645161290322576"/>
    <n v="33"/>
  </r>
  <r>
    <n v="860"/>
    <x v="16"/>
    <n v="8"/>
    <x v="360"/>
    <n v="601"/>
    <n v="102"/>
    <x v="1"/>
    <x v="2"/>
    <n v="31"/>
    <x v="0"/>
    <x v="0"/>
    <x v="0"/>
    <x v="68"/>
    <x v="106"/>
    <x v="5"/>
    <n v="60"/>
    <n v="70"/>
    <n v="30"/>
    <n v="130"/>
    <n v="64"/>
    <x v="0"/>
    <n v="0.20652173913043478"/>
    <n v="0.55434782608695654"/>
    <n v="33"/>
  </r>
  <r>
    <n v="715"/>
    <x v="27"/>
    <n v="2"/>
    <x v="361"/>
    <n v="613"/>
    <n v="86"/>
    <x v="1"/>
    <x v="0"/>
    <n v="55"/>
    <x v="0"/>
    <x v="1"/>
    <x v="11"/>
    <x v="80"/>
    <x v="32"/>
    <x v="13"/>
    <n v="50"/>
    <n v="70"/>
    <n v="0"/>
    <n v="120"/>
    <n v="84"/>
    <x v="1"/>
    <n v="1.3605442176870748E-2"/>
    <n v="0.58503401360544216"/>
    <n v="29"/>
  </r>
  <r>
    <n v="425"/>
    <x v="26"/>
    <n v="-1"/>
    <x v="362"/>
    <n v="321"/>
    <n v="88"/>
    <x v="1"/>
    <x v="3"/>
    <n v="16"/>
    <x v="0"/>
    <x v="1"/>
    <x v="2"/>
    <x v="31"/>
    <x v="29"/>
    <x v="14"/>
    <n v="30"/>
    <n v="70"/>
    <n v="50"/>
    <n v="100"/>
    <n v="39"/>
    <x v="1"/>
    <n v="0.3475177304964539"/>
    <n v="0.62411347517730498"/>
    <n v="23"/>
  </r>
  <r>
    <n v="419"/>
    <x v="6"/>
    <n v="-16"/>
    <x v="363"/>
    <n v="521"/>
    <n v="65"/>
    <x v="0"/>
    <x v="0"/>
    <n v="42"/>
    <x v="1"/>
    <x v="3"/>
    <x v="5"/>
    <x v="15"/>
    <x v="34"/>
    <x v="18"/>
    <n v="40"/>
    <n v="70"/>
    <n v="10"/>
    <n v="110"/>
    <n v="71"/>
    <x v="0"/>
    <n v="-5.3571428571428568E-2"/>
    <n v="0.5803571428571429"/>
    <n v="29"/>
  </r>
  <r>
    <n v="513"/>
    <x v="14"/>
    <n v="-11"/>
    <x v="364"/>
    <n v="424"/>
    <n v="73"/>
    <x v="0"/>
    <x v="0"/>
    <n v="17"/>
    <x v="1"/>
    <x v="3"/>
    <x v="6"/>
    <x v="26"/>
    <x v="35"/>
    <x v="18"/>
    <n v="50"/>
    <n v="70"/>
    <n v="40"/>
    <n v="120"/>
    <n v="44"/>
    <x v="1"/>
    <n v="0.2283464566929134"/>
    <n v="0.57480314960629919"/>
    <n v="27"/>
  </r>
  <r>
    <n v="512"/>
    <x v="49"/>
    <n v="17"/>
    <x v="365"/>
    <n v="-1239"/>
    <n v="101"/>
    <x v="0"/>
    <x v="1"/>
    <n v="22"/>
    <x v="1"/>
    <x v="2"/>
    <x v="9"/>
    <x v="17"/>
    <x v="107"/>
    <x v="1"/>
    <n v="50"/>
    <n v="70"/>
    <n v="30"/>
    <n v="120"/>
    <n v="54"/>
    <x v="1"/>
    <n v="0.27976190476190477"/>
    <n v="0.60119047619047616"/>
    <n v="32"/>
  </r>
  <r>
    <n v="309"/>
    <x v="14"/>
    <n v="3"/>
    <x v="366"/>
    <n v="601"/>
    <n v="79"/>
    <x v="0"/>
    <x v="0"/>
    <n v="15"/>
    <x v="0"/>
    <x v="1"/>
    <x v="2"/>
    <x v="36"/>
    <x v="33"/>
    <x v="16"/>
    <n v="40"/>
    <n v="70"/>
    <n v="50"/>
    <n v="110"/>
    <n v="26"/>
    <x v="1"/>
    <n v="0.39849624060150374"/>
    <n v="0.59398496240601506"/>
    <n v="11"/>
  </r>
  <r>
    <n v="816"/>
    <x v="34"/>
    <n v="-4"/>
    <x v="367"/>
    <n v="1075"/>
    <n v="76"/>
    <x v="1"/>
    <x v="0"/>
    <n v="19"/>
    <x v="1"/>
    <x v="3"/>
    <x v="5"/>
    <x v="18"/>
    <x v="44"/>
    <x v="12"/>
    <n v="60"/>
    <n v="70"/>
    <n v="40"/>
    <n v="130"/>
    <n v="40"/>
    <x v="0"/>
    <n v="0.25899280575539568"/>
    <n v="0.5467625899280576"/>
    <n v="21"/>
  </r>
  <r>
    <n v="959"/>
    <x v="10"/>
    <n v="-19"/>
    <x v="368"/>
    <n v="392"/>
    <n v="65"/>
    <x v="1"/>
    <x v="2"/>
    <n v="16"/>
    <x v="1"/>
    <x v="2"/>
    <x v="4"/>
    <x v="6"/>
    <x v="11"/>
    <x v="5"/>
    <n v="40"/>
    <n v="70"/>
    <n v="40"/>
    <n v="110"/>
    <n v="44"/>
    <x v="0"/>
    <n v="0.18421052631578946"/>
    <n v="0.57017543859649122"/>
    <n v="28"/>
  </r>
  <r>
    <n v="435"/>
    <x v="18"/>
    <n v="-3"/>
    <x v="369"/>
    <n v="898"/>
    <n v="73"/>
    <x v="1"/>
    <x v="3"/>
    <n v="14"/>
    <x v="1"/>
    <x v="2"/>
    <x v="4"/>
    <x v="17"/>
    <x v="1"/>
    <x v="8"/>
    <n v="40"/>
    <n v="70"/>
    <n v="50"/>
    <n v="110"/>
    <n v="26"/>
    <x v="0"/>
    <n v="0.38211382113821141"/>
    <n v="0.5934959349593496"/>
    <n v="12"/>
  </r>
  <r>
    <n v="603"/>
    <x v="1"/>
    <n v="-13"/>
    <x v="370"/>
    <n v="327"/>
    <n v="75"/>
    <x v="1"/>
    <x v="2"/>
    <n v="16"/>
    <x v="1"/>
    <x v="3"/>
    <x v="6"/>
    <x v="8"/>
    <x v="35"/>
    <x v="9"/>
    <n v="40"/>
    <n v="70"/>
    <n v="50"/>
    <n v="110"/>
    <n v="38"/>
    <x v="1"/>
    <n v="0.29133858267716534"/>
    <n v="0.59055118110236215"/>
    <n v="22"/>
  </r>
  <r>
    <n v="475"/>
    <x v="21"/>
    <n v="-12"/>
    <x v="371"/>
    <n v="627"/>
    <n v="76"/>
    <x v="1"/>
    <x v="2"/>
    <n v="49"/>
    <x v="1"/>
    <x v="2"/>
    <x v="8"/>
    <x v="13"/>
    <x v="41"/>
    <x v="5"/>
    <n v="50"/>
    <n v="70"/>
    <n v="10"/>
    <n v="120"/>
    <n v="78"/>
    <x v="1"/>
    <n v="-1.5267175572519083E-2"/>
    <n v="0.58015267175572516"/>
    <n v="29"/>
  </r>
  <r>
    <n v="603"/>
    <x v="10"/>
    <n v="-14"/>
    <x v="372"/>
    <n v="335"/>
    <n v="69"/>
    <x v="1"/>
    <x v="2"/>
    <n v="44"/>
    <x v="1"/>
    <x v="2"/>
    <x v="8"/>
    <x v="64"/>
    <x v="15"/>
    <x v="9"/>
    <n v="40"/>
    <n v="70"/>
    <n v="10"/>
    <n v="110"/>
    <n v="73"/>
    <x v="1"/>
    <n v="-3.3898305084745763E-2"/>
    <n v="0.5847457627118644"/>
    <n v="29"/>
  </r>
  <r>
    <n v="503"/>
    <x v="30"/>
    <n v="-19"/>
    <x v="373"/>
    <n v="482"/>
    <n v="57"/>
    <x v="1"/>
    <x v="3"/>
    <n v="13"/>
    <x v="1"/>
    <x v="3"/>
    <x v="7"/>
    <x v="12"/>
    <x v="55"/>
    <x v="11"/>
    <n v="40"/>
    <n v="70"/>
    <n v="20"/>
    <n v="110"/>
    <n v="56"/>
    <x v="1"/>
    <n v="1.020408163265306E-2"/>
    <n v="0.58163265306122447"/>
    <n v="43"/>
  </r>
  <r>
    <n v="503"/>
    <x v="14"/>
    <n v="-12"/>
    <x v="374"/>
    <n v="424"/>
    <n v="73"/>
    <x v="1"/>
    <x v="3"/>
    <n v="17"/>
    <x v="1"/>
    <x v="2"/>
    <x v="8"/>
    <x v="2"/>
    <x v="35"/>
    <x v="11"/>
    <n v="50"/>
    <n v="70"/>
    <n v="40"/>
    <n v="120"/>
    <n v="45"/>
    <x v="1"/>
    <n v="0.22047244094488189"/>
    <n v="0.57480314960629919"/>
    <n v="28"/>
  </r>
  <r>
    <n v="405"/>
    <x v="28"/>
    <n v="2"/>
    <x v="375"/>
    <n v="403"/>
    <n v="80"/>
    <x v="1"/>
    <x v="1"/>
    <n v="24"/>
    <x v="0"/>
    <x v="0"/>
    <x v="10"/>
    <x v="57"/>
    <x v="36"/>
    <x v="6"/>
    <n v="60"/>
    <n v="70"/>
    <n v="20"/>
    <n v="130"/>
    <n v="58"/>
    <x v="0"/>
    <n v="0.15172413793103448"/>
    <n v="0.55172413793103448"/>
    <n v="34"/>
  </r>
  <r>
    <n v="435"/>
    <x v="1"/>
    <n v="-4"/>
    <x v="376"/>
    <n v="327"/>
    <n v="75"/>
    <x v="1"/>
    <x v="3"/>
    <n v="16"/>
    <x v="0"/>
    <x v="0"/>
    <x v="10"/>
    <x v="18"/>
    <x v="35"/>
    <x v="8"/>
    <n v="40"/>
    <n v="70"/>
    <n v="40"/>
    <n v="110"/>
    <n v="39"/>
    <x v="0"/>
    <n v="0.28346456692913385"/>
    <n v="0.59055118110236215"/>
    <n v="23"/>
  </r>
  <r>
    <n v="801"/>
    <x v="15"/>
    <n v="-12"/>
    <x v="377"/>
    <n v="462"/>
    <n v="74"/>
    <x v="1"/>
    <x v="3"/>
    <n v="15"/>
    <x v="0"/>
    <x v="0"/>
    <x v="0"/>
    <x v="2"/>
    <x v="0"/>
    <x v="8"/>
    <n v="40"/>
    <n v="70"/>
    <n v="40"/>
    <n v="110"/>
    <n v="46"/>
    <x v="0"/>
    <n v="0.22950819672131148"/>
    <n v="0.60655737704918034"/>
    <n v="31"/>
  </r>
  <r>
    <n v="425"/>
    <x v="10"/>
    <n v="-4"/>
    <x v="378"/>
    <n v="845"/>
    <n v="71"/>
    <x v="1"/>
    <x v="3"/>
    <n v="13"/>
    <x v="0"/>
    <x v="0"/>
    <x v="0"/>
    <x v="43"/>
    <x v="10"/>
    <x v="14"/>
    <n v="40"/>
    <n v="70"/>
    <n v="50"/>
    <n v="110"/>
    <n v="25"/>
    <x v="0"/>
    <n v="0.38333333333333336"/>
    <n v="0.59166666666666667"/>
    <n v="12"/>
  </r>
  <r>
    <n v="860"/>
    <x v="18"/>
    <n v="-3"/>
    <x v="379"/>
    <n v="898"/>
    <n v="73"/>
    <x v="1"/>
    <x v="2"/>
    <n v="14"/>
    <x v="0"/>
    <x v="1"/>
    <x v="2"/>
    <x v="17"/>
    <x v="1"/>
    <x v="5"/>
    <n v="50"/>
    <n v="70"/>
    <n v="50"/>
    <n v="120"/>
    <n v="26"/>
    <x v="1"/>
    <n v="0.38211382113821141"/>
    <n v="0.5934959349593496"/>
    <n v="12"/>
  </r>
  <r>
    <n v="234"/>
    <x v="0"/>
    <n v="-37"/>
    <x v="380"/>
    <n v="503"/>
    <n v="71"/>
    <x v="0"/>
    <x v="0"/>
    <n v="46"/>
    <x v="1"/>
    <x v="3"/>
    <x v="5"/>
    <x v="11"/>
    <x v="45"/>
    <x v="18"/>
    <n v="40"/>
    <n v="70"/>
    <n v="30"/>
    <n v="110"/>
    <n v="76"/>
    <x v="0"/>
    <n v="-5.3846153846153849E-2"/>
    <n v="0.60769230769230764"/>
    <n v="30"/>
  </r>
  <r>
    <n v="614"/>
    <x v="1"/>
    <n v="-21"/>
    <x v="381"/>
    <n v="405"/>
    <n v="71"/>
    <x v="0"/>
    <x v="0"/>
    <n v="17"/>
    <x v="1"/>
    <x v="3"/>
    <x v="6"/>
    <x v="40"/>
    <x v="41"/>
    <x v="18"/>
    <n v="40"/>
    <n v="70"/>
    <n v="60"/>
    <n v="110"/>
    <n v="45"/>
    <x v="1"/>
    <n v="0.29770992366412213"/>
    <n v="0.60305343511450382"/>
    <n v="28"/>
  </r>
  <r>
    <n v="937"/>
    <x v="2"/>
    <n v="-18"/>
    <x v="382"/>
    <n v="419"/>
    <n v="64"/>
    <x v="0"/>
    <x v="0"/>
    <n v="13"/>
    <x v="1"/>
    <x v="3"/>
    <x v="7"/>
    <x v="41"/>
    <x v="11"/>
    <x v="18"/>
    <n v="30"/>
    <n v="70"/>
    <n v="60"/>
    <n v="100"/>
    <n v="36"/>
    <x v="1"/>
    <n v="0.36842105263157893"/>
    <n v="0.6228070175438597"/>
    <n v="23"/>
  </r>
  <r>
    <n v="774"/>
    <x v="0"/>
    <n v="-46"/>
    <x v="383"/>
    <n v="542"/>
    <n v="65"/>
    <x v="0"/>
    <x v="2"/>
    <n v="46"/>
    <x v="1"/>
    <x v="2"/>
    <x v="8"/>
    <x v="86"/>
    <x v="21"/>
    <x v="15"/>
    <n v="30"/>
    <n v="70"/>
    <n v="30"/>
    <n v="100"/>
    <n v="76"/>
    <x v="1"/>
    <n v="-0.12903225806451613"/>
    <n v="0.58870967741935487"/>
    <n v="30"/>
  </r>
  <r>
    <n v="682"/>
    <x v="4"/>
    <n v="32"/>
    <x v="384"/>
    <n v="-868"/>
    <n v="110"/>
    <x v="0"/>
    <x v="1"/>
    <n v="23"/>
    <x v="1"/>
    <x v="2"/>
    <x v="9"/>
    <x v="87"/>
    <x v="47"/>
    <x v="1"/>
    <n v="40"/>
    <n v="70"/>
    <n v="50"/>
    <n v="110"/>
    <n v="55"/>
    <x v="1"/>
    <n v="0.42268041237113402"/>
    <n v="0.62886597938144329"/>
    <n v="32"/>
  </r>
  <r>
    <n v="772"/>
    <x v="15"/>
    <n v="8"/>
    <x v="385"/>
    <n v="851"/>
    <n v="70"/>
    <x v="0"/>
    <x v="2"/>
    <n v="13"/>
    <x v="0"/>
    <x v="1"/>
    <x v="3"/>
    <x v="88"/>
    <x v="53"/>
    <x v="2"/>
    <n v="50"/>
    <n v="70"/>
    <n v="60"/>
    <n v="120"/>
    <n v="24"/>
    <x v="1"/>
    <n v="0.53968253968253965"/>
    <n v="0.61904761904761907"/>
    <n v="11"/>
  </r>
  <r>
    <n v="225"/>
    <x v="12"/>
    <n v="16"/>
    <x v="386"/>
    <n v="329"/>
    <n v="99"/>
    <x v="1"/>
    <x v="1"/>
    <n v="18"/>
    <x v="1"/>
    <x v="2"/>
    <x v="8"/>
    <x v="89"/>
    <x v="92"/>
    <x v="10"/>
    <n v="30"/>
    <n v="70"/>
    <n v="70"/>
    <n v="100"/>
    <n v="41"/>
    <x v="1"/>
    <n v="0.50887573964497046"/>
    <n v="0.6449704142011834"/>
    <n v="23"/>
  </r>
  <r>
    <n v="541"/>
    <x v="1"/>
    <n v="-20"/>
    <x v="387"/>
    <n v="405"/>
    <n v="71"/>
    <x v="1"/>
    <x v="3"/>
    <n v="17"/>
    <x v="1"/>
    <x v="2"/>
    <x v="8"/>
    <x v="54"/>
    <x v="41"/>
    <x v="11"/>
    <n v="30"/>
    <n v="70"/>
    <n v="60"/>
    <n v="100"/>
    <n v="44"/>
    <x v="1"/>
    <n v="0.30534351145038169"/>
    <n v="0.60305343511450382"/>
    <n v="27"/>
  </r>
  <r>
    <n v="425"/>
    <x v="47"/>
    <n v="-26"/>
    <x v="388"/>
    <n v="385"/>
    <n v="70"/>
    <x v="1"/>
    <x v="3"/>
    <n v="21"/>
    <x v="1"/>
    <x v="2"/>
    <x v="8"/>
    <x v="10"/>
    <x v="108"/>
    <x v="14"/>
    <n v="40"/>
    <n v="70"/>
    <n v="50"/>
    <n v="110"/>
    <n v="54"/>
    <x v="1"/>
    <n v="0.17910447761194029"/>
    <n v="0.58208955223880599"/>
    <n v="33"/>
  </r>
  <r>
    <n v="580"/>
    <x v="47"/>
    <n v="-26"/>
    <x v="389"/>
    <n v="385"/>
    <n v="70"/>
    <x v="1"/>
    <x v="1"/>
    <n v="21"/>
    <x v="0"/>
    <x v="0"/>
    <x v="10"/>
    <x v="10"/>
    <x v="108"/>
    <x v="6"/>
    <n v="40"/>
    <n v="70"/>
    <n v="50"/>
    <n v="110"/>
    <n v="54"/>
    <x v="0"/>
    <n v="0.17910447761194029"/>
    <n v="0.58208955223880599"/>
    <n v="33"/>
  </r>
  <r>
    <n v="435"/>
    <x v="11"/>
    <n v="-26"/>
    <x v="390"/>
    <n v="447"/>
    <n v="69"/>
    <x v="1"/>
    <x v="3"/>
    <n v="14"/>
    <x v="0"/>
    <x v="0"/>
    <x v="0"/>
    <x v="28"/>
    <x v="26"/>
    <x v="8"/>
    <n v="20"/>
    <n v="70"/>
    <n v="60"/>
    <n v="90"/>
    <n v="46"/>
    <x v="0"/>
    <n v="0.28099173553719009"/>
    <n v="0.62809917355371903"/>
    <n v="32"/>
  </r>
  <r>
    <n v="614"/>
    <x v="1"/>
    <n v="-14"/>
    <x v="391"/>
    <n v="509"/>
    <n v="73"/>
    <x v="0"/>
    <x v="0"/>
    <n v="47"/>
    <x v="1"/>
    <x v="3"/>
    <x v="5"/>
    <x v="64"/>
    <x v="33"/>
    <x v="18"/>
    <n v="50"/>
    <n v="70"/>
    <n v="10"/>
    <n v="120"/>
    <n v="76"/>
    <x v="0"/>
    <n v="-3.007518796992481E-2"/>
    <n v="0.60902255639097747"/>
    <n v="29"/>
  </r>
  <r>
    <n v="234"/>
    <x v="20"/>
    <n v="7"/>
    <x v="392"/>
    <n v="424"/>
    <n v="68"/>
    <x v="0"/>
    <x v="0"/>
    <n v="14"/>
    <x v="1"/>
    <x v="3"/>
    <x v="7"/>
    <x v="17"/>
    <x v="26"/>
    <x v="18"/>
    <n v="40"/>
    <n v="70"/>
    <n v="40"/>
    <n v="110"/>
    <n v="36"/>
    <x v="1"/>
    <n v="0.38842975206611569"/>
    <n v="0.6198347107438017"/>
    <n v="22"/>
  </r>
  <r>
    <n v="970"/>
    <x v="1"/>
    <n v="-16"/>
    <x v="393"/>
    <n v="509"/>
    <n v="73"/>
    <x v="0"/>
    <x v="0"/>
    <n v="47"/>
    <x v="0"/>
    <x v="0"/>
    <x v="0"/>
    <x v="15"/>
    <x v="33"/>
    <x v="0"/>
    <n v="40"/>
    <n v="70"/>
    <n v="10"/>
    <n v="110"/>
    <n v="77"/>
    <x v="0"/>
    <n v="-4.5112781954887216E-2"/>
    <n v="0.60902255639097747"/>
    <n v="30"/>
  </r>
  <r>
    <n v="970"/>
    <x v="48"/>
    <n v="7"/>
    <x v="394"/>
    <n v="411"/>
    <n v="79"/>
    <x v="0"/>
    <x v="0"/>
    <n v="19"/>
    <x v="0"/>
    <x v="0"/>
    <x v="1"/>
    <x v="17"/>
    <x v="32"/>
    <x v="0"/>
    <n v="50"/>
    <n v="70"/>
    <n v="40"/>
    <n v="120"/>
    <n v="47"/>
    <x v="0"/>
    <n v="0.31972789115646261"/>
    <n v="0.59863945578231292"/>
    <n v="28"/>
  </r>
  <r>
    <n v="936"/>
    <x v="48"/>
    <n v="7"/>
    <x v="395"/>
    <n v="411"/>
    <n v="79"/>
    <x v="0"/>
    <x v="1"/>
    <n v="19"/>
    <x v="0"/>
    <x v="0"/>
    <x v="10"/>
    <x v="17"/>
    <x v="32"/>
    <x v="1"/>
    <n v="50"/>
    <n v="70"/>
    <n v="40"/>
    <n v="120"/>
    <n v="47"/>
    <x v="0"/>
    <n v="0.31972789115646261"/>
    <n v="0.59863945578231292"/>
    <n v="28"/>
  </r>
  <r>
    <n v="914"/>
    <x v="18"/>
    <n v="20"/>
    <x v="396"/>
    <n v="589"/>
    <n v="73"/>
    <x v="0"/>
    <x v="2"/>
    <n v="14"/>
    <x v="0"/>
    <x v="1"/>
    <x v="3"/>
    <x v="50"/>
    <x v="41"/>
    <x v="19"/>
    <n v="50"/>
    <n v="70"/>
    <n v="50"/>
    <n v="120"/>
    <n v="26"/>
    <x v="1"/>
    <n v="0.53435114503816794"/>
    <n v="0.61832061068702293"/>
    <n v="12"/>
  </r>
  <r>
    <n v="203"/>
    <x v="26"/>
    <n v="-1"/>
    <x v="397"/>
    <n v="380"/>
    <n v="71"/>
    <x v="1"/>
    <x v="2"/>
    <n v="17"/>
    <x v="1"/>
    <x v="2"/>
    <x v="4"/>
    <x v="40"/>
    <x v="57"/>
    <x v="5"/>
    <n v="50"/>
    <n v="70"/>
    <n v="40"/>
    <n v="120"/>
    <n v="45"/>
    <x v="0"/>
    <n v="0.29545454545454547"/>
    <n v="0.59848484848484851"/>
    <n v="28"/>
  </r>
  <r>
    <n v="435"/>
    <x v="14"/>
    <n v="27"/>
    <x v="398"/>
    <n v="885"/>
    <n v="78"/>
    <x v="1"/>
    <x v="3"/>
    <n v="15"/>
    <x v="1"/>
    <x v="2"/>
    <x v="4"/>
    <x v="61"/>
    <x v="29"/>
    <x v="8"/>
    <n v="50"/>
    <n v="70"/>
    <n v="50"/>
    <n v="120"/>
    <n v="26"/>
    <x v="0"/>
    <n v="0.54609929078014185"/>
    <n v="0.61702127659574468"/>
    <n v="11"/>
  </r>
  <r>
    <n v="505"/>
    <x v="2"/>
    <n v="0"/>
    <x v="399"/>
    <n v="452"/>
    <n v="66"/>
    <x v="1"/>
    <x v="1"/>
    <n v="14"/>
    <x v="1"/>
    <x v="3"/>
    <x v="7"/>
    <x v="27"/>
    <x v="52"/>
    <x v="17"/>
    <n v="50"/>
    <n v="70"/>
    <n v="30"/>
    <n v="120"/>
    <n v="46"/>
    <x v="1"/>
    <n v="0.25862068965517243"/>
    <n v="0.62931034482758619"/>
    <n v="32"/>
  </r>
  <r>
    <n v="318"/>
    <x v="27"/>
    <n v="-9"/>
    <x v="400"/>
    <n v="-906"/>
    <n v="86"/>
    <x v="1"/>
    <x v="1"/>
    <n v="55"/>
    <x v="1"/>
    <x v="2"/>
    <x v="9"/>
    <x v="12"/>
    <x v="63"/>
    <x v="10"/>
    <n v="40"/>
    <n v="70"/>
    <n v="10"/>
    <n v="110"/>
    <n v="85"/>
    <x v="1"/>
    <n v="6.369426751592357E-3"/>
    <n v="0.61146496815286622"/>
    <n v="30"/>
  </r>
  <r>
    <n v="503"/>
    <x v="21"/>
    <n v="-6"/>
    <x v="401"/>
    <n v="410"/>
    <n v="69"/>
    <x v="1"/>
    <x v="3"/>
    <n v="20"/>
    <x v="1"/>
    <x v="2"/>
    <x v="9"/>
    <x v="10"/>
    <x v="57"/>
    <x v="11"/>
    <n v="50"/>
    <n v="70"/>
    <n v="30"/>
    <n v="120"/>
    <n v="53"/>
    <x v="1"/>
    <n v="0.18181818181818182"/>
    <n v="0.58333333333333337"/>
    <n v="33"/>
  </r>
  <r>
    <n v="475"/>
    <x v="16"/>
    <n v="26"/>
    <x v="402"/>
    <n v="601"/>
    <n v="102"/>
    <x v="1"/>
    <x v="2"/>
    <n v="31"/>
    <x v="0"/>
    <x v="0"/>
    <x v="0"/>
    <x v="4"/>
    <x v="109"/>
    <x v="5"/>
    <n v="60"/>
    <n v="70"/>
    <n v="30"/>
    <n v="130"/>
    <n v="64"/>
    <x v="0"/>
    <n v="0.2857142857142857"/>
    <n v="0.58163265306122447"/>
    <n v="33"/>
  </r>
  <r>
    <n v="715"/>
    <x v="27"/>
    <n v="3"/>
    <x v="403"/>
    <n v="613"/>
    <n v="86"/>
    <x v="1"/>
    <x v="0"/>
    <n v="55"/>
    <x v="0"/>
    <x v="1"/>
    <x v="11"/>
    <x v="83"/>
    <x v="63"/>
    <x v="13"/>
    <n v="50"/>
    <n v="70"/>
    <n v="0"/>
    <n v="120"/>
    <n v="84"/>
    <x v="1"/>
    <n v="1.9108280254777069E-2"/>
    <n v="0.61146496815286622"/>
    <n v="29"/>
  </r>
  <r>
    <n v="509"/>
    <x v="26"/>
    <n v="23"/>
    <x v="404"/>
    <n v="321"/>
    <n v="88"/>
    <x v="1"/>
    <x v="3"/>
    <n v="16"/>
    <x v="0"/>
    <x v="1"/>
    <x v="2"/>
    <x v="59"/>
    <x v="61"/>
    <x v="14"/>
    <n v="30"/>
    <n v="70"/>
    <n v="50"/>
    <n v="100"/>
    <n v="39"/>
    <x v="1"/>
    <n v="0.48666666666666669"/>
    <n v="0.64666666666666661"/>
    <n v="23"/>
  </r>
  <r>
    <n v="513"/>
    <x v="6"/>
    <n v="-19"/>
    <x v="405"/>
    <n v="521"/>
    <n v="65"/>
    <x v="0"/>
    <x v="0"/>
    <n v="42"/>
    <x v="1"/>
    <x v="3"/>
    <x v="5"/>
    <x v="48"/>
    <x v="16"/>
    <x v="18"/>
    <n v="40"/>
    <n v="70"/>
    <n v="10"/>
    <n v="110"/>
    <n v="71"/>
    <x v="0"/>
    <n v="-7.5630252100840331E-2"/>
    <n v="0.60504201680672265"/>
    <n v="29"/>
  </r>
  <r>
    <n v="234"/>
    <x v="14"/>
    <n v="3"/>
    <x v="406"/>
    <n v="424"/>
    <n v="73"/>
    <x v="0"/>
    <x v="0"/>
    <n v="17"/>
    <x v="1"/>
    <x v="3"/>
    <x v="6"/>
    <x v="58"/>
    <x v="65"/>
    <x v="18"/>
    <n v="50"/>
    <n v="70"/>
    <n v="40"/>
    <n v="120"/>
    <n v="44"/>
    <x v="1"/>
    <n v="0.31851851851851853"/>
    <n v="0.6"/>
    <n v="27"/>
  </r>
  <r>
    <n v="361"/>
    <x v="49"/>
    <n v="40"/>
    <x v="407"/>
    <n v="-1239"/>
    <n v="101"/>
    <x v="0"/>
    <x v="1"/>
    <n v="22"/>
    <x v="1"/>
    <x v="2"/>
    <x v="9"/>
    <x v="50"/>
    <x v="110"/>
    <x v="1"/>
    <n v="50"/>
    <n v="70"/>
    <n v="30"/>
    <n v="120"/>
    <n v="54"/>
    <x v="1"/>
    <n v="0.39106145251396646"/>
    <n v="0.62569832402234637"/>
    <n v="32"/>
  </r>
  <r>
    <n v="630"/>
    <x v="14"/>
    <n v="29"/>
    <x v="408"/>
    <n v="601"/>
    <n v="79"/>
    <x v="0"/>
    <x v="0"/>
    <n v="15"/>
    <x v="0"/>
    <x v="1"/>
    <x v="2"/>
    <x v="63"/>
    <x v="64"/>
    <x v="16"/>
    <n v="40"/>
    <n v="70"/>
    <n v="50"/>
    <n v="110"/>
    <n v="26"/>
    <x v="1"/>
    <n v="0.55633802816901412"/>
    <n v="0.61971830985915488"/>
    <n v="11"/>
  </r>
  <r>
    <n v="636"/>
    <x v="34"/>
    <n v="13"/>
    <x v="409"/>
    <n v="1075"/>
    <n v="76"/>
    <x v="1"/>
    <x v="0"/>
    <n v="19"/>
    <x v="1"/>
    <x v="3"/>
    <x v="5"/>
    <x v="36"/>
    <x v="74"/>
    <x v="12"/>
    <n v="60"/>
    <n v="70"/>
    <n v="40"/>
    <n v="130"/>
    <n v="40"/>
    <x v="0"/>
    <n v="0.35810810810810811"/>
    <n v="0.57432432432432434"/>
    <n v="21"/>
  </r>
  <r>
    <n v="203"/>
    <x v="10"/>
    <n v="-9"/>
    <x v="410"/>
    <n v="392"/>
    <n v="65"/>
    <x v="1"/>
    <x v="2"/>
    <n v="16"/>
    <x v="1"/>
    <x v="2"/>
    <x v="4"/>
    <x v="5"/>
    <x v="26"/>
    <x v="5"/>
    <n v="40"/>
    <n v="70"/>
    <n v="40"/>
    <n v="110"/>
    <n v="44"/>
    <x v="0"/>
    <n v="0.256198347107438"/>
    <n v="0.5950413223140496"/>
    <n v="28"/>
  </r>
  <r>
    <n v="435"/>
    <x v="18"/>
    <n v="20"/>
    <x v="411"/>
    <n v="898"/>
    <n v="73"/>
    <x v="1"/>
    <x v="3"/>
    <n v="14"/>
    <x v="1"/>
    <x v="2"/>
    <x v="4"/>
    <x v="50"/>
    <x v="41"/>
    <x v="8"/>
    <n v="40"/>
    <n v="70"/>
    <n v="50"/>
    <n v="110"/>
    <n v="26"/>
    <x v="0"/>
    <n v="0.53435114503816794"/>
    <n v="0.61832061068702293"/>
    <n v="12"/>
  </r>
  <r>
    <n v="603"/>
    <x v="1"/>
    <n v="5"/>
    <x v="412"/>
    <n v="327"/>
    <n v="75"/>
    <x v="1"/>
    <x v="2"/>
    <n v="16"/>
    <x v="1"/>
    <x v="3"/>
    <x v="6"/>
    <x v="45"/>
    <x v="65"/>
    <x v="9"/>
    <n v="40"/>
    <n v="70"/>
    <n v="50"/>
    <n v="110"/>
    <n v="38"/>
    <x v="1"/>
    <n v="0.40740740740740738"/>
    <n v="0.61481481481481481"/>
    <n v="22"/>
  </r>
  <r>
    <n v="203"/>
    <x v="21"/>
    <n v="-13"/>
    <x v="413"/>
    <n v="627"/>
    <n v="76"/>
    <x v="1"/>
    <x v="2"/>
    <n v="49"/>
    <x v="1"/>
    <x v="2"/>
    <x v="8"/>
    <x v="37"/>
    <x v="71"/>
    <x v="5"/>
    <n v="50"/>
    <n v="70"/>
    <n v="10"/>
    <n v="120"/>
    <n v="78"/>
    <x v="1"/>
    <n v="-2.1428571428571429E-2"/>
    <n v="0.6071428571428571"/>
    <n v="29"/>
  </r>
  <r>
    <n v="603"/>
    <x v="10"/>
    <n v="-16"/>
    <x v="414"/>
    <n v="335"/>
    <n v="69"/>
    <x v="1"/>
    <x v="2"/>
    <n v="44"/>
    <x v="1"/>
    <x v="2"/>
    <x v="8"/>
    <x v="15"/>
    <x v="53"/>
    <x v="9"/>
    <n v="40"/>
    <n v="70"/>
    <n v="10"/>
    <n v="110"/>
    <n v="73"/>
    <x v="1"/>
    <n v="-4.7619047619047616E-2"/>
    <n v="0.61111111111111116"/>
    <n v="29"/>
  </r>
  <r>
    <n v="541"/>
    <x v="30"/>
    <n v="-19"/>
    <x v="415"/>
    <n v="482"/>
    <n v="57"/>
    <x v="1"/>
    <x v="3"/>
    <n v="13"/>
    <x v="1"/>
    <x v="3"/>
    <x v="7"/>
    <x v="12"/>
    <x v="111"/>
    <x v="11"/>
    <n v="40"/>
    <n v="70"/>
    <n v="20"/>
    <n v="110"/>
    <n v="56"/>
    <x v="1"/>
    <n v="9.6153846153846159E-3"/>
    <n v="0.60576923076923073"/>
    <n v="43"/>
  </r>
  <r>
    <n v="503"/>
    <x v="14"/>
    <n v="2"/>
    <x v="416"/>
    <n v="424"/>
    <n v="73"/>
    <x v="1"/>
    <x v="3"/>
    <n v="17"/>
    <x v="1"/>
    <x v="2"/>
    <x v="8"/>
    <x v="41"/>
    <x v="65"/>
    <x v="11"/>
    <n v="50"/>
    <n v="70"/>
    <n v="40"/>
    <n v="120"/>
    <n v="45"/>
    <x v="1"/>
    <n v="0.31111111111111112"/>
    <n v="0.6"/>
    <n v="28"/>
  </r>
  <r>
    <n v="405"/>
    <x v="28"/>
    <n v="13"/>
    <x v="417"/>
    <n v="403"/>
    <n v="80"/>
    <x v="1"/>
    <x v="1"/>
    <n v="24"/>
    <x v="0"/>
    <x v="0"/>
    <x v="10"/>
    <x v="9"/>
    <x v="66"/>
    <x v="6"/>
    <n v="60"/>
    <n v="70"/>
    <n v="20"/>
    <n v="130"/>
    <n v="58"/>
    <x v="0"/>
    <n v="0.2129032258064516"/>
    <n v="0.58064516129032262"/>
    <n v="34"/>
  </r>
  <r>
    <n v="435"/>
    <x v="1"/>
    <n v="13"/>
    <x v="418"/>
    <n v="327"/>
    <n v="75"/>
    <x v="1"/>
    <x v="3"/>
    <n v="16"/>
    <x v="0"/>
    <x v="0"/>
    <x v="10"/>
    <x v="36"/>
    <x v="65"/>
    <x v="8"/>
    <n v="40"/>
    <n v="70"/>
    <n v="40"/>
    <n v="110"/>
    <n v="39"/>
    <x v="0"/>
    <n v="0.3925925925925926"/>
    <n v="0.61481481481481481"/>
    <n v="23"/>
  </r>
  <r>
    <n v="435"/>
    <x v="15"/>
    <n v="2"/>
    <x v="419"/>
    <n v="462"/>
    <n v="74"/>
    <x v="1"/>
    <x v="3"/>
    <n v="15"/>
    <x v="0"/>
    <x v="0"/>
    <x v="0"/>
    <x v="41"/>
    <x v="45"/>
    <x v="8"/>
    <n v="40"/>
    <n v="70"/>
    <n v="40"/>
    <n v="110"/>
    <n v="46"/>
    <x v="0"/>
    <n v="0.32307692307692309"/>
    <n v="0.63076923076923075"/>
    <n v="31"/>
  </r>
  <r>
    <n v="425"/>
    <x v="10"/>
    <n v="18"/>
    <x v="420"/>
    <n v="845"/>
    <n v="71"/>
    <x v="1"/>
    <x v="3"/>
    <n v="13"/>
    <x v="0"/>
    <x v="0"/>
    <x v="0"/>
    <x v="88"/>
    <x v="51"/>
    <x v="14"/>
    <n v="40"/>
    <n v="70"/>
    <n v="50"/>
    <n v="110"/>
    <n v="25"/>
    <x v="0"/>
    <n v="0.53125"/>
    <n v="0.6171875"/>
    <n v="12"/>
  </r>
  <r>
    <n v="959"/>
    <x v="18"/>
    <n v="20"/>
    <x v="421"/>
    <n v="898"/>
    <n v="73"/>
    <x v="1"/>
    <x v="2"/>
    <n v="14"/>
    <x v="0"/>
    <x v="1"/>
    <x v="2"/>
    <x v="50"/>
    <x v="41"/>
    <x v="5"/>
    <n v="50"/>
    <n v="70"/>
    <n v="50"/>
    <n v="120"/>
    <n v="26"/>
    <x v="1"/>
    <n v="0.53435114503816794"/>
    <n v="0.61832061068702293"/>
    <n v="12"/>
  </r>
  <r>
    <n v="937"/>
    <x v="50"/>
    <n v="-14"/>
    <x v="422"/>
    <n v="480"/>
    <n v="32"/>
    <x v="0"/>
    <x v="0"/>
    <n v="5"/>
    <x v="0"/>
    <x v="0"/>
    <x v="10"/>
    <x v="38"/>
    <x v="112"/>
    <x v="18"/>
    <n v="0"/>
    <n v="30"/>
    <n v="30"/>
    <n v="30"/>
    <n v="16"/>
    <x v="0"/>
    <n v="0.30188679245283018"/>
    <n v="0.60377358490566035"/>
    <n v="11"/>
  </r>
  <r>
    <n v="513"/>
    <x v="7"/>
    <n v="-10"/>
    <x v="423"/>
    <n v="859"/>
    <n v="39"/>
    <x v="0"/>
    <x v="0"/>
    <n v="7"/>
    <x v="0"/>
    <x v="0"/>
    <x v="0"/>
    <x v="30"/>
    <x v="7"/>
    <x v="18"/>
    <n v="10"/>
    <n v="30"/>
    <n v="30"/>
    <n v="40"/>
    <n v="19"/>
    <x v="0"/>
    <n v="0.30303030303030304"/>
    <n v="0.59090909090909094"/>
    <n v="12"/>
  </r>
  <r>
    <n v="850"/>
    <x v="47"/>
    <n v="-4"/>
    <x v="424"/>
    <n v="385"/>
    <n v="70"/>
    <x v="0"/>
    <x v="2"/>
    <n v="21"/>
    <x v="0"/>
    <x v="0"/>
    <x v="0"/>
    <x v="38"/>
    <x v="53"/>
    <x v="2"/>
    <n v="30"/>
    <n v="30"/>
    <n v="20"/>
    <n v="60"/>
    <n v="54"/>
    <x v="0"/>
    <n v="0.12698412698412698"/>
    <n v="0.55555555555555558"/>
    <n v="33"/>
  </r>
  <r>
    <n v="781"/>
    <x v="14"/>
    <n v="-7"/>
    <x v="425"/>
    <n v="404"/>
    <n v="66"/>
    <x v="0"/>
    <x v="2"/>
    <n v="20"/>
    <x v="0"/>
    <x v="0"/>
    <x v="0"/>
    <x v="32"/>
    <x v="10"/>
    <x v="15"/>
    <n v="30"/>
    <n v="30"/>
    <n v="20"/>
    <n v="60"/>
    <n v="53"/>
    <x v="0"/>
    <n v="0.10833333333333334"/>
    <n v="0.55000000000000004"/>
    <n v="33"/>
  </r>
  <r>
    <n v="413"/>
    <x v="50"/>
    <n v="-15"/>
    <x v="426"/>
    <n v="480"/>
    <n v="32"/>
    <x v="0"/>
    <x v="2"/>
    <n v="5"/>
    <x v="0"/>
    <x v="1"/>
    <x v="3"/>
    <x v="25"/>
    <x v="112"/>
    <x v="15"/>
    <n v="20"/>
    <n v="30"/>
    <n v="30"/>
    <n v="50"/>
    <n v="17"/>
    <x v="1"/>
    <n v="0.28301886792452829"/>
    <n v="0.60377358490566035"/>
    <n v="12"/>
  </r>
  <r>
    <n v="505"/>
    <x v="31"/>
    <n v="-6"/>
    <x v="427"/>
    <n v="244"/>
    <n v="53"/>
    <x v="1"/>
    <x v="1"/>
    <n v="12"/>
    <x v="1"/>
    <x v="2"/>
    <x v="4"/>
    <x v="29"/>
    <x v="19"/>
    <x v="17"/>
    <n v="20"/>
    <n v="30"/>
    <n v="20"/>
    <n v="50"/>
    <n v="39"/>
    <x v="0"/>
    <n v="0.15217391304347827"/>
    <n v="0.57608695652173914"/>
    <n v="27"/>
  </r>
  <r>
    <n v="702"/>
    <x v="37"/>
    <n v="-13"/>
    <x v="428"/>
    <n v="800"/>
    <n v="35"/>
    <x v="1"/>
    <x v="3"/>
    <n v="6"/>
    <x v="1"/>
    <x v="2"/>
    <x v="4"/>
    <x v="39"/>
    <x v="78"/>
    <x v="7"/>
    <n v="10"/>
    <n v="30"/>
    <n v="30"/>
    <n v="40"/>
    <n v="18"/>
    <x v="0"/>
    <n v="0.29310344827586204"/>
    <n v="0.60344827586206895"/>
    <n v="12"/>
  </r>
  <r>
    <n v="563"/>
    <x v="50"/>
    <n v="-15"/>
    <x v="429"/>
    <n v="846"/>
    <n v="31"/>
    <x v="1"/>
    <x v="0"/>
    <n v="5"/>
    <x v="1"/>
    <x v="3"/>
    <x v="6"/>
    <x v="25"/>
    <x v="97"/>
    <x v="4"/>
    <n v="10"/>
    <n v="30"/>
    <n v="30"/>
    <n v="40"/>
    <n v="16"/>
    <x v="1"/>
    <n v="0.28846153846153844"/>
    <n v="0.59615384615384615"/>
    <n v="11"/>
  </r>
  <r>
    <n v="603"/>
    <x v="51"/>
    <n v="-22"/>
    <x v="430"/>
    <n v="209"/>
    <n v="31"/>
    <x v="1"/>
    <x v="2"/>
    <n v="9"/>
    <x v="1"/>
    <x v="2"/>
    <x v="12"/>
    <x v="55"/>
    <x v="82"/>
    <x v="9"/>
    <n v="10"/>
    <n v="30"/>
    <n v="10"/>
    <n v="40"/>
    <n v="43"/>
    <x v="1"/>
    <n v="-0.21428571428571427"/>
    <n v="0.5535714285714286"/>
    <n v="34"/>
  </r>
  <r>
    <n v="405"/>
    <x v="50"/>
    <n v="-15"/>
    <x v="431"/>
    <n v="480"/>
    <n v="32"/>
    <x v="1"/>
    <x v="1"/>
    <n v="5"/>
    <x v="1"/>
    <x v="2"/>
    <x v="8"/>
    <x v="25"/>
    <x v="112"/>
    <x v="6"/>
    <n v="0"/>
    <n v="30"/>
    <n v="30"/>
    <n v="30"/>
    <n v="17"/>
    <x v="1"/>
    <n v="0.28301886792452829"/>
    <n v="0.60377358490566035"/>
    <n v="12"/>
  </r>
  <r>
    <n v="702"/>
    <x v="5"/>
    <n v="2"/>
    <x v="432"/>
    <n v="430"/>
    <n v="43"/>
    <x v="1"/>
    <x v="3"/>
    <n v="0"/>
    <x v="1"/>
    <x v="2"/>
    <x v="9"/>
    <x v="71"/>
    <x v="5"/>
    <x v="7"/>
    <n v="0"/>
    <n v="30"/>
    <n v="30"/>
    <n v="30"/>
    <n v="11"/>
    <x v="1"/>
    <n v="0.7441860465116279"/>
    <n v="1"/>
    <n v="11"/>
  </r>
  <r>
    <n v="603"/>
    <x v="13"/>
    <n v="-23"/>
    <x v="433"/>
    <n v="240"/>
    <n v="43"/>
    <x v="1"/>
    <x v="2"/>
    <n v="12"/>
    <x v="0"/>
    <x v="0"/>
    <x v="0"/>
    <x v="37"/>
    <x v="14"/>
    <x v="9"/>
    <n v="10"/>
    <n v="30"/>
    <n v="20"/>
    <n v="40"/>
    <n v="46"/>
    <x v="0"/>
    <n v="-3.896103896103896E-2"/>
    <n v="0.55844155844155841"/>
    <n v="34"/>
  </r>
  <r>
    <n v="505"/>
    <x v="50"/>
    <n v="-16"/>
    <x v="434"/>
    <n v="846"/>
    <n v="31"/>
    <x v="1"/>
    <x v="1"/>
    <n v="5"/>
    <x v="0"/>
    <x v="0"/>
    <x v="10"/>
    <x v="29"/>
    <x v="97"/>
    <x v="17"/>
    <n v="10"/>
    <n v="30"/>
    <n v="30"/>
    <n v="40"/>
    <n v="17"/>
    <x v="0"/>
    <n v="0.26923076923076922"/>
    <n v="0.59615384615384615"/>
    <n v="12"/>
  </r>
  <r>
    <n v="971"/>
    <x v="51"/>
    <n v="-13"/>
    <x v="435"/>
    <n v="820"/>
    <n v="36"/>
    <x v="1"/>
    <x v="3"/>
    <n v="7"/>
    <x v="0"/>
    <x v="0"/>
    <x v="10"/>
    <x v="39"/>
    <x v="113"/>
    <x v="11"/>
    <n v="10"/>
    <n v="30"/>
    <n v="30"/>
    <n v="40"/>
    <n v="19"/>
    <x v="0"/>
    <n v="0.27868852459016391"/>
    <n v="0.5901639344262295"/>
    <n v="12"/>
  </r>
  <r>
    <n v="314"/>
    <x v="13"/>
    <n v="-13"/>
    <x v="436"/>
    <n v="240"/>
    <n v="43"/>
    <x v="1"/>
    <x v="0"/>
    <n v="12"/>
    <x v="0"/>
    <x v="1"/>
    <x v="3"/>
    <x v="37"/>
    <x v="14"/>
    <x v="12"/>
    <n v="10"/>
    <n v="30"/>
    <n v="10"/>
    <n v="40"/>
    <n v="46"/>
    <x v="1"/>
    <n v="-3.896103896103896E-2"/>
    <n v="0.55844155844155841"/>
    <n v="34"/>
  </r>
  <r>
    <n v="603"/>
    <x v="50"/>
    <n v="-16"/>
    <x v="437"/>
    <n v="846"/>
    <n v="31"/>
    <x v="1"/>
    <x v="2"/>
    <n v="5"/>
    <x v="0"/>
    <x v="1"/>
    <x v="2"/>
    <x v="29"/>
    <x v="97"/>
    <x v="9"/>
    <n v="20"/>
    <n v="30"/>
    <n v="30"/>
    <n v="50"/>
    <n v="17"/>
    <x v="1"/>
    <n v="0.26923076923076922"/>
    <n v="0.59615384615384615"/>
    <n v="12"/>
  </r>
  <r>
    <n v="435"/>
    <x v="31"/>
    <n v="-6"/>
    <x v="438"/>
    <n v="244"/>
    <n v="53"/>
    <x v="1"/>
    <x v="3"/>
    <n v="12"/>
    <x v="0"/>
    <x v="1"/>
    <x v="11"/>
    <x v="29"/>
    <x v="19"/>
    <x v="8"/>
    <n v="10"/>
    <n v="30"/>
    <n v="20"/>
    <n v="40"/>
    <n v="39"/>
    <x v="1"/>
    <n v="0.15217391304347827"/>
    <n v="0.57608695652173914"/>
    <n v="27"/>
  </r>
  <r>
    <n v="360"/>
    <x v="20"/>
    <n v="1"/>
    <x v="439"/>
    <n v="449"/>
    <n v="67"/>
    <x v="1"/>
    <x v="3"/>
    <n v="14"/>
    <x v="0"/>
    <x v="1"/>
    <x v="11"/>
    <x v="5"/>
    <x v="27"/>
    <x v="14"/>
    <n v="20"/>
    <n v="30"/>
    <n v="30"/>
    <n v="50"/>
    <n v="36"/>
    <x v="1"/>
    <n v="0.27433628318584069"/>
    <n v="0.59292035398230092"/>
    <n v="22"/>
  </r>
  <r>
    <n v="775"/>
    <x v="36"/>
    <n v="-3"/>
    <x v="440"/>
    <n v="802"/>
    <n v="34"/>
    <x v="1"/>
    <x v="3"/>
    <n v="6"/>
    <x v="1"/>
    <x v="2"/>
    <x v="4"/>
    <x v="39"/>
    <x v="82"/>
    <x v="7"/>
    <n v="20"/>
    <n v="30"/>
    <n v="20"/>
    <n v="50"/>
    <n v="17"/>
    <x v="0"/>
    <n v="0.30357142857142855"/>
    <n v="0.6071428571428571"/>
    <n v="11"/>
  </r>
  <r>
    <n v="505"/>
    <x v="13"/>
    <n v="6"/>
    <x v="441"/>
    <n v="-522"/>
    <n v="42"/>
    <x v="1"/>
    <x v="1"/>
    <n v="12"/>
    <x v="1"/>
    <x v="2"/>
    <x v="9"/>
    <x v="64"/>
    <x v="99"/>
    <x v="17"/>
    <n v="20"/>
    <n v="30"/>
    <n v="-10"/>
    <n v="50"/>
    <n v="46"/>
    <x v="1"/>
    <n v="-5.2631578947368418E-2"/>
    <n v="0.55263157894736847"/>
    <n v="34"/>
  </r>
  <r>
    <n v="253"/>
    <x v="36"/>
    <n v="-9"/>
    <x v="442"/>
    <n v="570"/>
    <n v="30"/>
    <x v="1"/>
    <x v="3"/>
    <n v="7"/>
    <x v="1"/>
    <x v="2"/>
    <x v="9"/>
    <x v="78"/>
    <x v="97"/>
    <x v="14"/>
    <n v="20"/>
    <n v="30"/>
    <n v="20"/>
    <n v="50"/>
    <n v="19"/>
    <x v="1"/>
    <n v="0.21153846153846154"/>
    <n v="0.57692307692307687"/>
    <n v="12"/>
  </r>
  <r>
    <n v="603"/>
    <x v="24"/>
    <n v="-4"/>
    <x v="443"/>
    <n v="243"/>
    <n v="41"/>
    <x v="1"/>
    <x v="2"/>
    <n v="12"/>
    <x v="0"/>
    <x v="0"/>
    <x v="0"/>
    <x v="64"/>
    <x v="83"/>
    <x v="9"/>
    <n v="20"/>
    <n v="30"/>
    <n v="0"/>
    <n v="50"/>
    <n v="45"/>
    <x v="0"/>
    <n v="-5.4054054054054057E-2"/>
    <n v="0.55405405405405406"/>
    <n v="33"/>
  </r>
  <r>
    <n v="505"/>
    <x v="45"/>
    <n v="-5"/>
    <x v="444"/>
    <n v="1003"/>
    <n v="35"/>
    <x v="1"/>
    <x v="1"/>
    <n v="8"/>
    <x v="0"/>
    <x v="0"/>
    <x v="0"/>
    <x v="79"/>
    <x v="98"/>
    <x v="17"/>
    <n v="20"/>
    <n v="30"/>
    <n v="10"/>
    <n v="50"/>
    <n v="30"/>
    <x v="0"/>
    <n v="7.8125E-2"/>
    <n v="0.546875"/>
    <n v="22"/>
  </r>
  <r>
    <n v="503"/>
    <x v="51"/>
    <n v="-1"/>
    <x v="445"/>
    <n v="823"/>
    <n v="38"/>
    <x v="1"/>
    <x v="3"/>
    <n v="7"/>
    <x v="0"/>
    <x v="0"/>
    <x v="10"/>
    <x v="60"/>
    <x v="114"/>
    <x v="11"/>
    <n v="20"/>
    <n v="30"/>
    <n v="20"/>
    <n v="50"/>
    <n v="19"/>
    <x v="0"/>
    <n v="0.30158730158730157"/>
    <n v="0.60317460317460314"/>
    <n v="12"/>
  </r>
  <r>
    <n v="603"/>
    <x v="52"/>
    <n v="-12"/>
    <x v="446"/>
    <n v="848"/>
    <n v="24"/>
    <x v="1"/>
    <x v="2"/>
    <n v="4"/>
    <x v="0"/>
    <x v="1"/>
    <x v="2"/>
    <x v="72"/>
    <x v="115"/>
    <x v="9"/>
    <n v="10"/>
    <n v="30"/>
    <n v="20"/>
    <n v="40"/>
    <n v="16"/>
    <x v="1"/>
    <n v="0.20512820512820512"/>
    <n v="0.61538461538461542"/>
    <n v="12"/>
  </r>
  <r>
    <n v="541"/>
    <x v="40"/>
    <n v="-2"/>
    <x v="447"/>
    <n v="482"/>
    <n v="48"/>
    <x v="1"/>
    <x v="3"/>
    <n v="8"/>
    <x v="0"/>
    <x v="1"/>
    <x v="2"/>
    <x v="2"/>
    <x v="81"/>
    <x v="11"/>
    <n v="20"/>
    <n v="30"/>
    <n v="30"/>
    <n v="50"/>
    <n v="20"/>
    <x v="1"/>
    <n v="0.35"/>
    <n v="0.6"/>
    <n v="12"/>
  </r>
  <r>
    <n v="435"/>
    <x v="44"/>
    <n v="-1"/>
    <x v="448"/>
    <n v="248"/>
    <n v="47"/>
    <x v="1"/>
    <x v="3"/>
    <n v="11"/>
    <x v="0"/>
    <x v="1"/>
    <x v="11"/>
    <x v="76"/>
    <x v="40"/>
    <x v="8"/>
    <n v="20"/>
    <n v="30"/>
    <n v="10"/>
    <n v="50"/>
    <n v="38"/>
    <x v="1"/>
    <n v="0.10975609756097561"/>
    <n v="0.57317073170731703"/>
    <n v="27"/>
  </r>
  <r>
    <n v="801"/>
    <x v="13"/>
    <n v="-3"/>
    <x v="449"/>
    <n v="211"/>
    <n v="42"/>
    <x v="1"/>
    <x v="3"/>
    <n v="12"/>
    <x v="0"/>
    <x v="1"/>
    <x v="3"/>
    <x v="37"/>
    <x v="99"/>
    <x v="8"/>
    <n v="20"/>
    <n v="30"/>
    <n v="0"/>
    <n v="50"/>
    <n v="45"/>
    <x v="1"/>
    <n v="-3.9473684210526314E-2"/>
    <n v="0.55263157894736847"/>
    <n v="33"/>
  </r>
  <r>
    <n v="772"/>
    <x v="43"/>
    <n v="-8"/>
    <x v="450"/>
    <n v="567"/>
    <n v="32"/>
    <x v="0"/>
    <x v="2"/>
    <n v="7"/>
    <x v="0"/>
    <x v="0"/>
    <x v="10"/>
    <x v="14"/>
    <x v="82"/>
    <x v="2"/>
    <n v="10"/>
    <n v="30"/>
    <n v="20"/>
    <n v="40"/>
    <n v="20"/>
    <x v="0"/>
    <n v="0.21428571428571427"/>
    <n v="0.5714285714285714"/>
    <n v="13"/>
  </r>
  <r>
    <n v="505"/>
    <x v="3"/>
    <n v="12"/>
    <x v="451"/>
    <n v="256"/>
    <n v="51"/>
    <x v="1"/>
    <x v="1"/>
    <n v="12"/>
    <x v="1"/>
    <x v="2"/>
    <x v="4"/>
    <x v="14"/>
    <x v="101"/>
    <x v="17"/>
    <n v="30"/>
    <n v="30"/>
    <n v="0"/>
    <n v="60"/>
    <n v="39"/>
    <x v="0"/>
    <n v="0.1348314606741573"/>
    <n v="0.5730337078651685"/>
    <n v="27"/>
  </r>
  <r>
    <n v="702"/>
    <x v="37"/>
    <n v="-3"/>
    <x v="452"/>
    <n v="807"/>
    <n v="35"/>
    <x v="1"/>
    <x v="3"/>
    <n v="6"/>
    <x v="1"/>
    <x v="2"/>
    <x v="4"/>
    <x v="39"/>
    <x v="78"/>
    <x v="7"/>
    <n v="20"/>
    <n v="30"/>
    <n v="20"/>
    <n v="50"/>
    <n v="18"/>
    <x v="0"/>
    <n v="0.29310344827586204"/>
    <n v="0.60344827586206895"/>
    <n v="12"/>
  </r>
  <r>
    <n v="641"/>
    <x v="53"/>
    <n v="-10"/>
    <x v="453"/>
    <n v="851"/>
    <n v="25"/>
    <x v="1"/>
    <x v="0"/>
    <n v="4"/>
    <x v="1"/>
    <x v="3"/>
    <x v="6"/>
    <x v="44"/>
    <x v="116"/>
    <x v="4"/>
    <n v="10"/>
    <n v="30"/>
    <n v="20"/>
    <n v="40"/>
    <n v="15"/>
    <x v="1"/>
    <n v="0.24390243902439024"/>
    <n v="0.6097560975609756"/>
    <n v="11"/>
  </r>
  <r>
    <n v="563"/>
    <x v="8"/>
    <n v="-2"/>
    <x v="454"/>
    <n v="1009"/>
    <n v="38"/>
    <x v="1"/>
    <x v="0"/>
    <n v="9"/>
    <x v="1"/>
    <x v="3"/>
    <x v="7"/>
    <x v="72"/>
    <x v="85"/>
    <x v="4"/>
    <n v="30"/>
    <n v="30"/>
    <n v="10"/>
    <n v="60"/>
    <n v="30"/>
    <x v="1"/>
    <n v="0.11594202898550725"/>
    <n v="0.55072463768115942"/>
    <n v="21"/>
  </r>
  <r>
    <n v="603"/>
    <x v="54"/>
    <n v="-16"/>
    <x v="455"/>
    <n v="218"/>
    <n v="25"/>
    <x v="1"/>
    <x v="2"/>
    <n v="7"/>
    <x v="1"/>
    <x v="2"/>
    <x v="12"/>
    <x v="86"/>
    <x v="117"/>
    <x v="9"/>
    <n v="10"/>
    <n v="30"/>
    <n v="0"/>
    <n v="40"/>
    <n v="41"/>
    <x v="1"/>
    <n v="-0.35555555555555557"/>
    <n v="0.55555555555555558"/>
    <n v="34"/>
  </r>
  <r>
    <n v="580"/>
    <x v="45"/>
    <n v="4"/>
    <x v="456"/>
    <n v="490"/>
    <n v="44"/>
    <x v="1"/>
    <x v="1"/>
    <n v="8"/>
    <x v="1"/>
    <x v="2"/>
    <x v="8"/>
    <x v="10"/>
    <x v="100"/>
    <x v="6"/>
    <n v="20"/>
    <n v="30"/>
    <n v="20"/>
    <n v="50"/>
    <n v="20"/>
    <x v="1"/>
    <n v="0.32876712328767121"/>
    <n v="0.60273972602739723"/>
    <n v="12"/>
  </r>
  <r>
    <n v="253"/>
    <x v="43"/>
    <n v="-7"/>
    <x v="457"/>
    <n v="567"/>
    <n v="32"/>
    <x v="1"/>
    <x v="3"/>
    <n v="7"/>
    <x v="1"/>
    <x v="2"/>
    <x v="9"/>
    <x v="32"/>
    <x v="82"/>
    <x v="14"/>
    <n v="20"/>
    <n v="30"/>
    <n v="20"/>
    <n v="50"/>
    <n v="19"/>
    <x v="1"/>
    <n v="0.23214285714285715"/>
    <n v="0.5714285714285714"/>
    <n v="12"/>
  </r>
  <r>
    <n v="541"/>
    <x v="43"/>
    <n v="-1"/>
    <x v="458"/>
    <n v="829"/>
    <n v="36"/>
    <x v="1"/>
    <x v="3"/>
    <n v="6"/>
    <x v="0"/>
    <x v="0"/>
    <x v="10"/>
    <x v="60"/>
    <x v="94"/>
    <x v="11"/>
    <n v="20"/>
    <n v="30"/>
    <n v="20"/>
    <n v="50"/>
    <n v="17"/>
    <x v="0"/>
    <n v="0.31666666666666665"/>
    <n v="0.6"/>
    <n v="11"/>
  </r>
  <r>
    <n v="603"/>
    <x v="53"/>
    <n v="-10"/>
    <x v="459"/>
    <n v="851"/>
    <n v="25"/>
    <x v="1"/>
    <x v="2"/>
    <n v="4"/>
    <x v="0"/>
    <x v="1"/>
    <x v="2"/>
    <x v="44"/>
    <x v="116"/>
    <x v="9"/>
    <n v="10"/>
    <n v="30"/>
    <n v="20"/>
    <n v="40"/>
    <n v="15"/>
    <x v="1"/>
    <n v="0.24390243902439024"/>
    <n v="0.6097560975609756"/>
    <n v="11"/>
  </r>
  <r>
    <n v="971"/>
    <x v="45"/>
    <n v="-5"/>
    <x v="460"/>
    <n v="490"/>
    <n v="44"/>
    <x v="1"/>
    <x v="3"/>
    <n v="8"/>
    <x v="0"/>
    <x v="1"/>
    <x v="2"/>
    <x v="65"/>
    <x v="100"/>
    <x v="11"/>
    <n v="20"/>
    <n v="30"/>
    <n v="30"/>
    <n v="50"/>
    <n v="19"/>
    <x v="1"/>
    <n v="0.34246575342465752"/>
    <n v="0.60273972602739723"/>
    <n v="11"/>
  </r>
  <r>
    <n v="937"/>
    <x v="50"/>
    <n v="-6"/>
    <x v="461"/>
    <n v="480"/>
    <n v="32"/>
    <x v="0"/>
    <x v="0"/>
    <n v="5"/>
    <x v="0"/>
    <x v="0"/>
    <x v="10"/>
    <x v="10"/>
    <x v="82"/>
    <x v="18"/>
    <n v="0"/>
    <n v="30"/>
    <n v="30"/>
    <n v="30"/>
    <n v="16"/>
    <x v="0"/>
    <n v="0.42857142857142855"/>
    <n v="0.625"/>
    <n v="11"/>
  </r>
  <r>
    <n v="937"/>
    <x v="7"/>
    <n v="0"/>
    <x v="462"/>
    <n v="859"/>
    <n v="39"/>
    <x v="0"/>
    <x v="0"/>
    <n v="7"/>
    <x v="0"/>
    <x v="0"/>
    <x v="0"/>
    <x v="27"/>
    <x v="49"/>
    <x v="18"/>
    <n v="10"/>
    <n v="30"/>
    <n v="30"/>
    <n v="40"/>
    <n v="19"/>
    <x v="0"/>
    <n v="0.42857142857142855"/>
    <n v="0.61428571428571432"/>
    <n v="12"/>
  </r>
  <r>
    <n v="786"/>
    <x v="47"/>
    <n v="4"/>
    <x v="463"/>
    <n v="385"/>
    <n v="70"/>
    <x v="0"/>
    <x v="2"/>
    <n v="21"/>
    <x v="0"/>
    <x v="0"/>
    <x v="0"/>
    <x v="10"/>
    <x v="108"/>
    <x v="2"/>
    <n v="30"/>
    <n v="30"/>
    <n v="20"/>
    <n v="60"/>
    <n v="54"/>
    <x v="0"/>
    <n v="0.17910447761194029"/>
    <n v="0.58208955223880599"/>
    <n v="33"/>
  </r>
  <r>
    <n v="339"/>
    <x v="14"/>
    <n v="-1"/>
    <x v="464"/>
    <n v="404"/>
    <n v="66"/>
    <x v="0"/>
    <x v="2"/>
    <n v="20"/>
    <x v="0"/>
    <x v="0"/>
    <x v="0"/>
    <x v="60"/>
    <x v="51"/>
    <x v="15"/>
    <n v="30"/>
    <n v="30"/>
    <n v="20"/>
    <n v="60"/>
    <n v="53"/>
    <x v="0"/>
    <n v="0.1484375"/>
    <n v="0.578125"/>
    <n v="33"/>
  </r>
  <r>
    <n v="781"/>
    <x v="50"/>
    <n v="-8"/>
    <x v="465"/>
    <n v="480"/>
    <n v="32"/>
    <x v="0"/>
    <x v="2"/>
    <n v="5"/>
    <x v="0"/>
    <x v="1"/>
    <x v="3"/>
    <x v="57"/>
    <x v="82"/>
    <x v="15"/>
    <n v="20"/>
    <n v="30"/>
    <n v="30"/>
    <n v="50"/>
    <n v="17"/>
    <x v="1"/>
    <n v="0.39285714285714285"/>
    <n v="0.625"/>
    <n v="12"/>
  </r>
  <r>
    <n v="505"/>
    <x v="31"/>
    <n v="1"/>
    <x v="466"/>
    <n v="244"/>
    <n v="53"/>
    <x v="1"/>
    <x v="1"/>
    <n v="12"/>
    <x v="1"/>
    <x v="2"/>
    <x v="4"/>
    <x v="6"/>
    <x v="55"/>
    <x v="17"/>
    <n v="20"/>
    <n v="30"/>
    <n v="20"/>
    <n v="50"/>
    <n v="39"/>
    <x v="0"/>
    <n v="0.21428571428571427"/>
    <n v="0.60204081632653061"/>
    <n v="27"/>
  </r>
  <r>
    <n v="775"/>
    <x v="37"/>
    <n v="-5"/>
    <x v="467"/>
    <n v="800"/>
    <n v="35"/>
    <x v="1"/>
    <x v="3"/>
    <n v="6"/>
    <x v="1"/>
    <x v="2"/>
    <x v="4"/>
    <x v="65"/>
    <x v="89"/>
    <x v="7"/>
    <n v="10"/>
    <n v="30"/>
    <n v="30"/>
    <n v="40"/>
    <n v="18"/>
    <x v="0"/>
    <n v="0.40322580645161288"/>
    <n v="0.62903225806451613"/>
    <n v="12"/>
  </r>
  <r>
    <n v="515"/>
    <x v="50"/>
    <n v="-8"/>
    <x v="468"/>
    <n v="846"/>
    <n v="31"/>
    <x v="1"/>
    <x v="0"/>
    <n v="5"/>
    <x v="1"/>
    <x v="3"/>
    <x v="6"/>
    <x v="57"/>
    <x v="103"/>
    <x v="4"/>
    <n v="10"/>
    <n v="30"/>
    <n v="30"/>
    <n v="40"/>
    <n v="16"/>
    <x v="1"/>
    <n v="0.4"/>
    <n v="0.61818181818181817"/>
    <n v="11"/>
  </r>
  <r>
    <n v="603"/>
    <x v="51"/>
    <n v="-28"/>
    <x v="469"/>
    <n v="209"/>
    <n v="31"/>
    <x v="1"/>
    <x v="2"/>
    <n v="9"/>
    <x v="1"/>
    <x v="2"/>
    <x v="12"/>
    <x v="90"/>
    <x v="94"/>
    <x v="9"/>
    <n v="10"/>
    <n v="30"/>
    <n v="10"/>
    <n v="40"/>
    <n v="43"/>
    <x v="1"/>
    <n v="-0.3"/>
    <n v="0.58333333333333337"/>
    <n v="34"/>
  </r>
  <r>
    <n v="580"/>
    <x v="50"/>
    <n v="-8"/>
    <x v="470"/>
    <n v="480"/>
    <n v="32"/>
    <x v="1"/>
    <x v="1"/>
    <n v="5"/>
    <x v="1"/>
    <x v="2"/>
    <x v="8"/>
    <x v="57"/>
    <x v="82"/>
    <x v="6"/>
    <n v="0"/>
    <n v="30"/>
    <n v="30"/>
    <n v="30"/>
    <n v="17"/>
    <x v="1"/>
    <n v="0.39285714285714285"/>
    <n v="0.625"/>
    <n v="12"/>
  </r>
  <r>
    <n v="702"/>
    <x v="5"/>
    <n v="17"/>
    <x v="471"/>
    <n v="430"/>
    <n v="43"/>
    <x v="1"/>
    <x v="3"/>
    <n v="0"/>
    <x v="1"/>
    <x v="2"/>
    <x v="9"/>
    <x v="17"/>
    <x v="48"/>
    <x v="7"/>
    <n v="0"/>
    <n v="30"/>
    <n v="30"/>
    <n v="30"/>
    <n v="11"/>
    <x v="1"/>
    <n v="1.0217391304347827"/>
    <n v="1"/>
    <n v="11"/>
  </r>
  <r>
    <n v="603"/>
    <x v="13"/>
    <n v="-24"/>
    <x v="472"/>
    <n v="240"/>
    <n v="43"/>
    <x v="1"/>
    <x v="2"/>
    <n v="12"/>
    <x v="0"/>
    <x v="0"/>
    <x v="0"/>
    <x v="64"/>
    <x v="40"/>
    <x v="9"/>
    <n v="10"/>
    <n v="30"/>
    <n v="20"/>
    <n v="40"/>
    <n v="46"/>
    <x v="0"/>
    <n v="-4.878048780487805E-2"/>
    <n v="0.58536585365853655"/>
    <n v="34"/>
  </r>
  <r>
    <n v="505"/>
    <x v="50"/>
    <n v="-9"/>
    <x v="473"/>
    <n v="846"/>
    <n v="31"/>
    <x v="1"/>
    <x v="1"/>
    <n v="5"/>
    <x v="0"/>
    <x v="0"/>
    <x v="10"/>
    <x v="6"/>
    <x v="103"/>
    <x v="17"/>
    <n v="10"/>
    <n v="30"/>
    <n v="30"/>
    <n v="40"/>
    <n v="17"/>
    <x v="0"/>
    <n v="0.38181818181818183"/>
    <n v="0.61818181818181817"/>
    <n v="12"/>
  </r>
  <r>
    <n v="971"/>
    <x v="51"/>
    <n v="-5"/>
    <x v="474"/>
    <n v="820"/>
    <n v="36"/>
    <x v="1"/>
    <x v="3"/>
    <n v="7"/>
    <x v="0"/>
    <x v="0"/>
    <x v="10"/>
    <x v="65"/>
    <x v="118"/>
    <x v="11"/>
    <n v="10"/>
    <n v="30"/>
    <n v="30"/>
    <n v="40"/>
    <n v="19"/>
    <x v="0"/>
    <n v="0.38461538461538464"/>
    <n v="0.61538461538461542"/>
    <n v="12"/>
  </r>
  <r>
    <n v="314"/>
    <x v="13"/>
    <n v="-14"/>
    <x v="475"/>
    <n v="240"/>
    <n v="43"/>
    <x v="1"/>
    <x v="0"/>
    <n v="12"/>
    <x v="0"/>
    <x v="1"/>
    <x v="3"/>
    <x v="64"/>
    <x v="40"/>
    <x v="12"/>
    <n v="10"/>
    <n v="30"/>
    <n v="10"/>
    <n v="40"/>
    <n v="46"/>
    <x v="1"/>
    <n v="-4.878048780487805E-2"/>
    <n v="0.58536585365853655"/>
    <n v="34"/>
  </r>
  <r>
    <n v="603"/>
    <x v="50"/>
    <n v="-9"/>
    <x v="476"/>
    <n v="846"/>
    <n v="31"/>
    <x v="1"/>
    <x v="2"/>
    <n v="5"/>
    <x v="0"/>
    <x v="1"/>
    <x v="2"/>
    <x v="6"/>
    <x v="103"/>
    <x v="9"/>
    <n v="20"/>
    <n v="30"/>
    <n v="30"/>
    <n v="50"/>
    <n v="17"/>
    <x v="1"/>
    <n v="0.38181818181818183"/>
    <n v="0.61818181818181817"/>
    <n v="12"/>
  </r>
  <r>
    <n v="435"/>
    <x v="31"/>
    <n v="1"/>
    <x v="477"/>
    <n v="244"/>
    <n v="53"/>
    <x v="1"/>
    <x v="3"/>
    <n v="12"/>
    <x v="0"/>
    <x v="1"/>
    <x v="11"/>
    <x v="6"/>
    <x v="55"/>
    <x v="8"/>
    <n v="10"/>
    <n v="30"/>
    <n v="20"/>
    <n v="40"/>
    <n v="39"/>
    <x v="1"/>
    <n v="0.21428571428571427"/>
    <n v="0.60204081632653061"/>
    <n v="27"/>
  </r>
  <r>
    <n v="509"/>
    <x v="20"/>
    <n v="16"/>
    <x v="478"/>
    <n v="449"/>
    <n v="67"/>
    <x v="1"/>
    <x v="3"/>
    <n v="14"/>
    <x v="0"/>
    <x v="1"/>
    <x v="11"/>
    <x v="43"/>
    <x v="10"/>
    <x v="14"/>
    <n v="20"/>
    <n v="30"/>
    <n v="30"/>
    <n v="50"/>
    <n v="36"/>
    <x v="1"/>
    <n v="0.38333333333333336"/>
    <n v="0.6166666666666667"/>
    <n v="22"/>
  </r>
  <r>
    <n v="775"/>
    <x v="36"/>
    <n v="5"/>
    <x v="479"/>
    <n v="802"/>
    <n v="34"/>
    <x v="1"/>
    <x v="3"/>
    <n v="6"/>
    <x v="1"/>
    <x v="2"/>
    <x v="4"/>
    <x v="65"/>
    <x v="94"/>
    <x v="7"/>
    <n v="20"/>
    <n v="30"/>
    <n v="20"/>
    <n v="50"/>
    <n v="17"/>
    <x v="0"/>
    <n v="0.41666666666666669"/>
    <n v="0.6333333333333333"/>
    <n v="11"/>
  </r>
  <r>
    <n v="505"/>
    <x v="13"/>
    <n v="4"/>
    <x v="480"/>
    <n v="-522"/>
    <n v="42"/>
    <x v="1"/>
    <x v="1"/>
    <n v="12"/>
    <x v="1"/>
    <x v="2"/>
    <x v="9"/>
    <x v="15"/>
    <x v="24"/>
    <x v="17"/>
    <n v="20"/>
    <n v="30"/>
    <n v="-10"/>
    <n v="50"/>
    <n v="46"/>
    <x v="1"/>
    <n v="-7.407407407407407E-2"/>
    <n v="0.58024691358024694"/>
    <n v="34"/>
  </r>
  <r>
    <n v="425"/>
    <x v="36"/>
    <n v="-4"/>
    <x v="481"/>
    <n v="570"/>
    <n v="30"/>
    <x v="1"/>
    <x v="3"/>
    <n v="7"/>
    <x v="1"/>
    <x v="2"/>
    <x v="9"/>
    <x v="38"/>
    <x v="103"/>
    <x v="14"/>
    <n v="20"/>
    <n v="30"/>
    <n v="20"/>
    <n v="50"/>
    <n v="19"/>
    <x v="1"/>
    <n v="0.29090909090909089"/>
    <n v="0.6"/>
    <n v="12"/>
  </r>
  <r>
    <n v="603"/>
    <x v="24"/>
    <n v="-6"/>
    <x v="482"/>
    <n v="243"/>
    <n v="41"/>
    <x v="1"/>
    <x v="2"/>
    <n v="12"/>
    <x v="0"/>
    <x v="0"/>
    <x v="0"/>
    <x v="15"/>
    <x v="95"/>
    <x v="9"/>
    <n v="20"/>
    <n v="30"/>
    <n v="0"/>
    <n v="50"/>
    <n v="45"/>
    <x v="0"/>
    <n v="-7.5949367088607597E-2"/>
    <n v="0.58227848101265822"/>
    <n v="33"/>
  </r>
  <r>
    <n v="505"/>
    <x v="45"/>
    <n v="-3"/>
    <x v="483"/>
    <n v="1003"/>
    <n v="35"/>
    <x v="1"/>
    <x v="1"/>
    <n v="8"/>
    <x v="0"/>
    <x v="0"/>
    <x v="0"/>
    <x v="7"/>
    <x v="8"/>
    <x v="17"/>
    <n v="20"/>
    <n v="30"/>
    <n v="10"/>
    <n v="50"/>
    <n v="30"/>
    <x v="0"/>
    <n v="0.10294117647058823"/>
    <n v="0.57352941176470584"/>
    <n v="22"/>
  </r>
  <r>
    <n v="541"/>
    <x v="51"/>
    <n v="8"/>
    <x v="484"/>
    <n v="823"/>
    <n v="38"/>
    <x v="1"/>
    <x v="3"/>
    <n v="7"/>
    <x v="0"/>
    <x v="0"/>
    <x v="10"/>
    <x v="2"/>
    <x v="119"/>
    <x v="11"/>
    <n v="20"/>
    <n v="30"/>
    <n v="20"/>
    <n v="50"/>
    <n v="19"/>
    <x v="0"/>
    <n v="0.41791044776119401"/>
    <n v="0.62686567164179108"/>
    <n v="12"/>
  </r>
  <r>
    <n v="603"/>
    <x v="52"/>
    <n v="-8"/>
    <x v="485"/>
    <n v="848"/>
    <n v="24"/>
    <x v="1"/>
    <x v="2"/>
    <n v="4"/>
    <x v="0"/>
    <x v="1"/>
    <x v="2"/>
    <x v="14"/>
    <x v="120"/>
    <x v="9"/>
    <n v="10"/>
    <n v="30"/>
    <n v="20"/>
    <n v="40"/>
    <n v="16"/>
    <x v="1"/>
    <n v="0.2857142857142857"/>
    <n v="0.6428571428571429"/>
    <n v="12"/>
  </r>
  <r>
    <n v="503"/>
    <x v="40"/>
    <n v="12"/>
    <x v="486"/>
    <n v="482"/>
    <n v="48"/>
    <x v="1"/>
    <x v="3"/>
    <n v="8"/>
    <x v="0"/>
    <x v="1"/>
    <x v="2"/>
    <x v="41"/>
    <x v="39"/>
    <x v="11"/>
    <n v="20"/>
    <n v="30"/>
    <n v="30"/>
    <n v="50"/>
    <n v="20"/>
    <x v="1"/>
    <n v="0.49411764705882355"/>
    <n v="0.62352941176470589"/>
    <n v="12"/>
  </r>
  <r>
    <n v="435"/>
    <x v="44"/>
    <n v="3"/>
    <x v="487"/>
    <n v="248"/>
    <n v="47"/>
    <x v="1"/>
    <x v="3"/>
    <n v="11"/>
    <x v="0"/>
    <x v="1"/>
    <x v="11"/>
    <x v="32"/>
    <x v="70"/>
    <x v="8"/>
    <n v="20"/>
    <n v="30"/>
    <n v="10"/>
    <n v="50"/>
    <n v="38"/>
    <x v="1"/>
    <n v="0.14942528735632185"/>
    <n v="0.5977011494252874"/>
    <n v="27"/>
  </r>
  <r>
    <n v="435"/>
    <x v="13"/>
    <n v="-4"/>
    <x v="488"/>
    <n v="211"/>
    <n v="42"/>
    <x v="1"/>
    <x v="3"/>
    <n v="12"/>
    <x v="0"/>
    <x v="1"/>
    <x v="3"/>
    <x v="64"/>
    <x v="24"/>
    <x v="8"/>
    <n v="20"/>
    <n v="30"/>
    <n v="0"/>
    <n v="50"/>
    <n v="45"/>
    <x v="1"/>
    <n v="-4.9382716049382713E-2"/>
    <n v="0.58024691358024694"/>
    <n v="33"/>
  </r>
  <r>
    <n v="904"/>
    <x v="43"/>
    <n v="-2"/>
    <x v="489"/>
    <n v="567"/>
    <n v="32"/>
    <x v="0"/>
    <x v="2"/>
    <n v="7"/>
    <x v="0"/>
    <x v="0"/>
    <x v="10"/>
    <x v="47"/>
    <x v="94"/>
    <x v="2"/>
    <n v="10"/>
    <n v="30"/>
    <n v="20"/>
    <n v="40"/>
    <n v="20"/>
    <x v="0"/>
    <n v="0.3"/>
    <n v="0.6"/>
    <n v="13"/>
  </r>
  <r>
    <n v="505"/>
    <x v="3"/>
    <n v="18"/>
    <x v="490"/>
    <n v="256"/>
    <n v="51"/>
    <x v="1"/>
    <x v="1"/>
    <n v="12"/>
    <x v="1"/>
    <x v="2"/>
    <x v="4"/>
    <x v="47"/>
    <x v="104"/>
    <x v="17"/>
    <n v="30"/>
    <n v="30"/>
    <n v="0"/>
    <n v="60"/>
    <n v="39"/>
    <x v="0"/>
    <n v="0.18947368421052632"/>
    <n v="0.6"/>
    <n v="27"/>
  </r>
  <r>
    <n v="775"/>
    <x v="37"/>
    <n v="5"/>
    <x v="491"/>
    <n v="807"/>
    <n v="35"/>
    <x v="1"/>
    <x v="3"/>
    <n v="6"/>
    <x v="1"/>
    <x v="2"/>
    <x v="4"/>
    <x v="65"/>
    <x v="89"/>
    <x v="7"/>
    <n v="20"/>
    <n v="30"/>
    <n v="20"/>
    <n v="50"/>
    <n v="18"/>
    <x v="0"/>
    <n v="0.40322580645161288"/>
    <n v="0.62903225806451613"/>
    <n v="12"/>
  </r>
  <r>
    <n v="563"/>
    <x v="53"/>
    <n v="-5"/>
    <x v="492"/>
    <n v="851"/>
    <n v="25"/>
    <x v="1"/>
    <x v="0"/>
    <n v="4"/>
    <x v="1"/>
    <x v="3"/>
    <x v="6"/>
    <x v="25"/>
    <x v="121"/>
    <x v="4"/>
    <n v="10"/>
    <n v="30"/>
    <n v="20"/>
    <n v="40"/>
    <n v="15"/>
    <x v="1"/>
    <n v="0.34090909090909088"/>
    <n v="0.63636363636363635"/>
    <n v="11"/>
  </r>
  <r>
    <n v="641"/>
    <x v="8"/>
    <n v="2"/>
    <x v="493"/>
    <n v="1009"/>
    <n v="38"/>
    <x v="1"/>
    <x v="0"/>
    <n v="9"/>
    <x v="1"/>
    <x v="3"/>
    <x v="7"/>
    <x v="14"/>
    <x v="83"/>
    <x v="4"/>
    <n v="30"/>
    <n v="30"/>
    <n v="10"/>
    <n v="60"/>
    <n v="30"/>
    <x v="1"/>
    <n v="0.16216216216216217"/>
    <n v="0.58108108108108103"/>
    <n v="21"/>
  </r>
  <r>
    <n v="603"/>
    <x v="54"/>
    <n v="-24"/>
    <x v="494"/>
    <n v="218"/>
    <n v="25"/>
    <x v="1"/>
    <x v="2"/>
    <n v="7"/>
    <x v="1"/>
    <x v="2"/>
    <x v="12"/>
    <x v="91"/>
    <x v="122"/>
    <x v="9"/>
    <n v="10"/>
    <n v="30"/>
    <n v="0"/>
    <n v="40"/>
    <n v="41"/>
    <x v="1"/>
    <n v="-0.5"/>
    <n v="0.58333333333333337"/>
    <n v="34"/>
  </r>
  <r>
    <n v="580"/>
    <x v="45"/>
    <n v="16"/>
    <x v="495"/>
    <n v="490"/>
    <n v="44"/>
    <x v="1"/>
    <x v="1"/>
    <n v="8"/>
    <x v="1"/>
    <x v="2"/>
    <x v="8"/>
    <x v="18"/>
    <x v="25"/>
    <x v="6"/>
    <n v="20"/>
    <n v="30"/>
    <n v="20"/>
    <n v="50"/>
    <n v="20"/>
    <x v="1"/>
    <n v="0.46153846153846156"/>
    <n v="0.62820512820512819"/>
    <n v="12"/>
  </r>
  <r>
    <n v="206"/>
    <x v="43"/>
    <n v="-1"/>
    <x v="496"/>
    <n v="567"/>
    <n v="32"/>
    <x v="1"/>
    <x v="3"/>
    <n v="7"/>
    <x v="1"/>
    <x v="2"/>
    <x v="9"/>
    <x v="60"/>
    <x v="94"/>
    <x v="14"/>
    <n v="20"/>
    <n v="30"/>
    <n v="20"/>
    <n v="50"/>
    <n v="19"/>
    <x v="1"/>
    <n v="0.31666666666666665"/>
    <n v="0.6"/>
    <n v="12"/>
  </r>
  <r>
    <n v="503"/>
    <x v="43"/>
    <n v="8"/>
    <x v="497"/>
    <n v="829"/>
    <n v="36"/>
    <x v="1"/>
    <x v="3"/>
    <n v="6"/>
    <x v="0"/>
    <x v="0"/>
    <x v="10"/>
    <x v="2"/>
    <x v="98"/>
    <x v="11"/>
    <n v="20"/>
    <n v="30"/>
    <n v="20"/>
    <n v="50"/>
    <n v="17"/>
    <x v="0"/>
    <n v="0.4375"/>
    <n v="0.625"/>
    <n v="11"/>
  </r>
  <r>
    <n v="603"/>
    <x v="53"/>
    <n v="-5"/>
    <x v="498"/>
    <n v="851"/>
    <n v="25"/>
    <x v="1"/>
    <x v="2"/>
    <n v="4"/>
    <x v="0"/>
    <x v="1"/>
    <x v="2"/>
    <x v="25"/>
    <x v="121"/>
    <x v="9"/>
    <n v="10"/>
    <n v="30"/>
    <n v="20"/>
    <n v="40"/>
    <n v="15"/>
    <x v="1"/>
    <n v="0.34090909090909088"/>
    <n v="0.63636363636363635"/>
    <n v="11"/>
  </r>
  <r>
    <n v="541"/>
    <x v="45"/>
    <n v="7"/>
    <x v="499"/>
    <n v="490"/>
    <n v="44"/>
    <x v="1"/>
    <x v="3"/>
    <n v="8"/>
    <x v="0"/>
    <x v="1"/>
    <x v="2"/>
    <x v="8"/>
    <x v="25"/>
    <x v="11"/>
    <n v="20"/>
    <n v="30"/>
    <n v="30"/>
    <n v="50"/>
    <n v="19"/>
    <x v="1"/>
    <n v="0.47435897435897434"/>
    <n v="0.62820512820512819"/>
    <n v="11"/>
  </r>
  <r>
    <n v="915"/>
    <x v="35"/>
    <n v="-2"/>
    <x v="500"/>
    <n v="580"/>
    <n v="111"/>
    <x v="0"/>
    <x v="1"/>
    <n v="21"/>
    <x v="1"/>
    <x v="2"/>
    <x v="4"/>
    <x v="92"/>
    <x v="76"/>
    <x v="1"/>
    <n v="40"/>
    <n v="80"/>
    <n v="80"/>
    <n v="120"/>
    <n v="33"/>
    <x v="0"/>
    <n v="0.41711229946524064"/>
    <n v="0.5935828877005348"/>
    <n v="12"/>
  </r>
  <r>
    <n v="713"/>
    <x v="1"/>
    <n v="-44"/>
    <x v="501"/>
    <n v="405"/>
    <n v="71"/>
    <x v="0"/>
    <x v="1"/>
    <n v="17"/>
    <x v="0"/>
    <x v="0"/>
    <x v="10"/>
    <x v="1"/>
    <x v="1"/>
    <x v="1"/>
    <n v="30"/>
    <n v="80"/>
    <n v="70"/>
    <n v="110"/>
    <n v="45"/>
    <x v="0"/>
    <n v="0.21138211382113822"/>
    <n v="0.57723577235772361"/>
    <n v="28"/>
  </r>
  <r>
    <n v="217"/>
    <x v="35"/>
    <n v="-2"/>
    <x v="502"/>
    <n v="580"/>
    <n v="111"/>
    <x v="0"/>
    <x v="0"/>
    <n v="21"/>
    <x v="0"/>
    <x v="1"/>
    <x v="2"/>
    <x v="92"/>
    <x v="76"/>
    <x v="16"/>
    <n v="50"/>
    <n v="80"/>
    <n v="80"/>
    <n v="130"/>
    <n v="33"/>
    <x v="1"/>
    <n v="0.41711229946524064"/>
    <n v="0.5935828877005348"/>
    <n v="12"/>
  </r>
  <r>
    <n v="847"/>
    <x v="4"/>
    <n v="5"/>
    <x v="503"/>
    <n v="650"/>
    <n v="110"/>
    <x v="0"/>
    <x v="0"/>
    <n v="23"/>
    <x v="0"/>
    <x v="1"/>
    <x v="11"/>
    <x v="45"/>
    <x v="4"/>
    <x v="16"/>
    <n v="50"/>
    <n v="80"/>
    <n v="50"/>
    <n v="130"/>
    <n v="55"/>
    <x v="1"/>
    <n v="0.30219780219780218"/>
    <n v="0.60439560439560436"/>
    <n v="32"/>
  </r>
  <r>
    <n v="660"/>
    <x v="28"/>
    <n v="-35"/>
    <x v="504"/>
    <n v="1053"/>
    <n v="77"/>
    <x v="1"/>
    <x v="0"/>
    <n v="20"/>
    <x v="1"/>
    <x v="3"/>
    <x v="5"/>
    <x v="3"/>
    <x v="64"/>
    <x v="12"/>
    <n v="50"/>
    <n v="80"/>
    <n v="70"/>
    <n v="130"/>
    <n v="42"/>
    <x v="0"/>
    <n v="0.24647887323943662"/>
    <n v="0.54225352112676062"/>
    <n v="22"/>
  </r>
  <r>
    <n v="660"/>
    <x v="40"/>
    <n v="-52"/>
    <x v="505"/>
    <n v="833"/>
    <n v="47"/>
    <x v="1"/>
    <x v="0"/>
    <n v="8"/>
    <x v="1"/>
    <x v="2"/>
    <x v="4"/>
    <x v="2"/>
    <x v="95"/>
    <x v="12"/>
    <n v="30"/>
    <n v="80"/>
    <n v="80"/>
    <n v="110"/>
    <n v="19"/>
    <x v="0"/>
    <n v="0.35443037974683544"/>
    <n v="0.59493670886075944"/>
    <n v="11"/>
  </r>
  <r>
    <n v="405"/>
    <x v="16"/>
    <n v="5"/>
    <x v="506"/>
    <n v="788"/>
    <n v="123"/>
    <x v="1"/>
    <x v="1"/>
    <n v="27"/>
    <x v="1"/>
    <x v="2"/>
    <x v="4"/>
    <x v="56"/>
    <x v="17"/>
    <x v="6"/>
    <n v="50"/>
    <n v="80"/>
    <n v="60"/>
    <n v="130"/>
    <n v="58"/>
    <x v="0"/>
    <n v="0.31707317073170732"/>
    <n v="0.6"/>
    <n v="31"/>
  </r>
  <r>
    <n v="715"/>
    <x v="47"/>
    <n v="-35"/>
    <x v="507"/>
    <n v="385"/>
    <n v="70"/>
    <x v="1"/>
    <x v="0"/>
    <n v="21"/>
    <x v="1"/>
    <x v="3"/>
    <x v="6"/>
    <x v="25"/>
    <x v="53"/>
    <x v="13"/>
    <n v="40"/>
    <n v="80"/>
    <n v="50"/>
    <n v="120"/>
    <n v="55"/>
    <x v="1"/>
    <n v="0.11904761904761904"/>
    <n v="0.55555555555555558"/>
    <n v="34"/>
  </r>
  <r>
    <n v="405"/>
    <x v="17"/>
    <n v="6"/>
    <x v="508"/>
    <n v="-1785"/>
    <n v="127"/>
    <x v="1"/>
    <x v="1"/>
    <n v="28"/>
    <x v="1"/>
    <x v="2"/>
    <x v="9"/>
    <x v="20"/>
    <x v="18"/>
    <x v="6"/>
    <n v="50"/>
    <n v="80"/>
    <n v="70"/>
    <n v="130"/>
    <n v="51"/>
    <x v="1"/>
    <n v="0.34862385321100919"/>
    <n v="0.58256880733944949"/>
    <n v="23"/>
  </r>
  <r>
    <n v="414"/>
    <x v="12"/>
    <n v="-23"/>
    <x v="509"/>
    <n v="329"/>
    <n v="99"/>
    <x v="1"/>
    <x v="0"/>
    <n v="18"/>
    <x v="0"/>
    <x v="0"/>
    <x v="10"/>
    <x v="67"/>
    <x v="80"/>
    <x v="13"/>
    <n v="40"/>
    <n v="80"/>
    <n v="80"/>
    <n v="120"/>
    <n v="42"/>
    <x v="0"/>
    <n v="0.35849056603773582"/>
    <n v="0.62264150943396224"/>
    <n v="24"/>
  </r>
  <r>
    <n v="419"/>
    <x v="21"/>
    <n v="-24"/>
    <x v="510"/>
    <n v="410"/>
    <n v="69"/>
    <x v="0"/>
    <x v="0"/>
    <n v="20"/>
    <x v="1"/>
    <x v="2"/>
    <x v="4"/>
    <x v="38"/>
    <x v="21"/>
    <x v="18"/>
    <n v="70"/>
    <n v="80"/>
    <n v="40"/>
    <n v="150"/>
    <n v="53"/>
    <x v="0"/>
    <n v="0.12903225806451613"/>
    <n v="0.55645161290322576"/>
    <n v="33"/>
  </r>
  <r>
    <n v="330"/>
    <x v="48"/>
    <n v="-17"/>
    <x v="511"/>
    <n v="411"/>
    <n v="79"/>
    <x v="0"/>
    <x v="0"/>
    <n v="19"/>
    <x v="1"/>
    <x v="3"/>
    <x v="6"/>
    <x v="9"/>
    <x v="105"/>
    <x v="18"/>
    <n v="50"/>
    <n v="80"/>
    <n v="50"/>
    <n v="130"/>
    <n v="46"/>
    <x v="1"/>
    <n v="0.2391304347826087"/>
    <n v="0.57246376811594202"/>
    <n v="27"/>
  </r>
  <r>
    <n v="650"/>
    <x v="19"/>
    <n v="19"/>
    <x v="512"/>
    <n v="659"/>
    <n v="114"/>
    <x v="0"/>
    <x v="3"/>
    <n v="24"/>
    <x v="0"/>
    <x v="1"/>
    <x v="3"/>
    <x v="93"/>
    <x v="90"/>
    <x v="3"/>
    <n v="50"/>
    <n v="80"/>
    <n v="40"/>
    <n v="130"/>
    <n v="55"/>
    <x v="1"/>
    <n v="0.31216931216931215"/>
    <n v="0.60317460317460314"/>
    <n v="31"/>
  </r>
  <r>
    <n v="314"/>
    <x v="41"/>
    <n v="-2"/>
    <x v="513"/>
    <n v="1060"/>
    <n v="81"/>
    <x v="1"/>
    <x v="0"/>
    <n v="21"/>
    <x v="1"/>
    <x v="3"/>
    <x v="5"/>
    <x v="68"/>
    <x v="61"/>
    <x v="12"/>
    <n v="60"/>
    <n v="80"/>
    <n v="40"/>
    <n v="140"/>
    <n v="43"/>
    <x v="0"/>
    <n v="0.25333333333333335"/>
    <n v="0.54"/>
    <n v="22"/>
  </r>
  <r>
    <n v="503"/>
    <x v="20"/>
    <n v="-18"/>
    <x v="514"/>
    <n v="424"/>
    <n v="68"/>
    <x v="1"/>
    <x v="3"/>
    <n v="14"/>
    <x v="1"/>
    <x v="3"/>
    <x v="5"/>
    <x v="71"/>
    <x v="11"/>
    <x v="11"/>
    <n v="50"/>
    <n v="80"/>
    <n v="50"/>
    <n v="130"/>
    <n v="36"/>
    <x v="0"/>
    <n v="0.2807017543859649"/>
    <n v="0.59649122807017541"/>
    <n v="22"/>
  </r>
  <r>
    <n v="206"/>
    <x v="19"/>
    <n v="5"/>
    <x v="515"/>
    <n v="1063"/>
    <n v="89"/>
    <x v="1"/>
    <x v="3"/>
    <n v="23"/>
    <x v="1"/>
    <x v="2"/>
    <x v="4"/>
    <x v="16"/>
    <x v="20"/>
    <x v="14"/>
    <n v="70"/>
    <n v="80"/>
    <n v="40"/>
    <n v="150"/>
    <n v="44"/>
    <x v="0"/>
    <n v="0.27439024390243905"/>
    <n v="0.54268292682926833"/>
    <n v="21"/>
  </r>
  <r>
    <n v="203"/>
    <x v="27"/>
    <n v="-8"/>
    <x v="516"/>
    <n v="613"/>
    <n v="86"/>
    <x v="1"/>
    <x v="2"/>
    <n v="55"/>
    <x v="1"/>
    <x v="2"/>
    <x v="8"/>
    <x v="80"/>
    <x v="32"/>
    <x v="5"/>
    <n v="60"/>
    <n v="80"/>
    <n v="10"/>
    <n v="140"/>
    <n v="84"/>
    <x v="1"/>
    <n v="1.3605442176870748E-2"/>
    <n v="0.58503401360544216"/>
    <n v="29"/>
  </r>
  <r>
    <n v="225"/>
    <x v="6"/>
    <n v="-16"/>
    <x v="517"/>
    <n v="834"/>
    <n v="68"/>
    <x v="1"/>
    <x v="1"/>
    <n v="13"/>
    <x v="1"/>
    <x v="3"/>
    <x v="7"/>
    <x v="24"/>
    <x v="30"/>
    <x v="10"/>
    <n v="50"/>
    <n v="80"/>
    <n v="60"/>
    <n v="130"/>
    <n v="24"/>
    <x v="1"/>
    <n v="0.38260869565217392"/>
    <n v="0.59130434782608698"/>
    <n v="11"/>
  </r>
  <r>
    <n v="541"/>
    <x v="1"/>
    <n v="-14"/>
    <x v="518"/>
    <n v="509"/>
    <n v="73"/>
    <x v="1"/>
    <x v="3"/>
    <n v="47"/>
    <x v="1"/>
    <x v="3"/>
    <x v="6"/>
    <x v="64"/>
    <x v="22"/>
    <x v="11"/>
    <n v="60"/>
    <n v="80"/>
    <n v="10"/>
    <n v="140"/>
    <n v="77"/>
    <x v="1"/>
    <n v="-3.2000000000000001E-2"/>
    <n v="0.58399999999999996"/>
    <n v="30"/>
  </r>
  <r>
    <n v="435"/>
    <x v="26"/>
    <n v="-23"/>
    <x v="519"/>
    <n v="380"/>
    <n v="71"/>
    <x v="1"/>
    <x v="3"/>
    <n v="17"/>
    <x v="1"/>
    <x v="3"/>
    <x v="7"/>
    <x v="22"/>
    <x v="21"/>
    <x v="8"/>
    <n v="60"/>
    <n v="80"/>
    <n v="50"/>
    <n v="140"/>
    <n v="44"/>
    <x v="1"/>
    <n v="0.21774193548387097"/>
    <n v="0.57258064516129037"/>
    <n v="27"/>
  </r>
  <r>
    <n v="503"/>
    <x v="48"/>
    <n v="-17"/>
    <x v="520"/>
    <n v="411"/>
    <n v="79"/>
    <x v="1"/>
    <x v="3"/>
    <n v="19"/>
    <x v="1"/>
    <x v="2"/>
    <x v="8"/>
    <x v="9"/>
    <x v="105"/>
    <x v="11"/>
    <n v="50"/>
    <n v="80"/>
    <n v="50"/>
    <n v="130"/>
    <n v="46"/>
    <x v="1"/>
    <n v="0.2391304347826087"/>
    <n v="0.57246376811594202"/>
    <n v="27"/>
  </r>
  <r>
    <n v="920"/>
    <x v="26"/>
    <n v="-2"/>
    <x v="521"/>
    <n v="321"/>
    <n v="88"/>
    <x v="1"/>
    <x v="0"/>
    <n v="16"/>
    <x v="0"/>
    <x v="0"/>
    <x v="10"/>
    <x v="21"/>
    <x v="29"/>
    <x v="13"/>
    <n v="50"/>
    <n v="80"/>
    <n v="50"/>
    <n v="130"/>
    <n v="40"/>
    <x v="0"/>
    <n v="0.34042553191489361"/>
    <n v="0.62411347517730498"/>
    <n v="24"/>
  </r>
  <r>
    <n v="959"/>
    <x v="14"/>
    <n v="-9"/>
    <x v="522"/>
    <n v="885"/>
    <n v="78"/>
    <x v="1"/>
    <x v="2"/>
    <n v="15"/>
    <x v="0"/>
    <x v="1"/>
    <x v="2"/>
    <x v="94"/>
    <x v="57"/>
    <x v="5"/>
    <n v="50"/>
    <n v="80"/>
    <n v="60"/>
    <n v="130"/>
    <n v="27"/>
    <x v="1"/>
    <n v="0.38636363636363635"/>
    <n v="0.59090909090909094"/>
    <n v="12"/>
  </r>
  <r>
    <n v="740"/>
    <x v="20"/>
    <n v="-34"/>
    <x v="523"/>
    <n v="422"/>
    <n v="57"/>
    <x v="0"/>
    <x v="0"/>
    <n v="17"/>
    <x v="1"/>
    <x v="2"/>
    <x v="4"/>
    <x v="70"/>
    <x v="84"/>
    <x v="18"/>
    <n v="50"/>
    <n v="80"/>
    <n v="40"/>
    <n v="130"/>
    <n v="51"/>
    <x v="0"/>
    <n v="5.8252427184466021E-2"/>
    <n v="0.55339805825242716"/>
    <n v="34"/>
  </r>
  <r>
    <n v="630"/>
    <x v="49"/>
    <n v="7"/>
    <x v="524"/>
    <n v="677"/>
    <n v="101"/>
    <x v="0"/>
    <x v="0"/>
    <n v="22"/>
    <x v="0"/>
    <x v="1"/>
    <x v="11"/>
    <x v="17"/>
    <x v="107"/>
    <x v="16"/>
    <n v="50"/>
    <n v="80"/>
    <n v="40"/>
    <n v="130"/>
    <n v="54"/>
    <x v="1"/>
    <n v="0.27976190476190477"/>
    <n v="0.60119047619047616"/>
    <n v="32"/>
  </r>
  <r>
    <n v="518"/>
    <x v="14"/>
    <n v="-8"/>
    <x v="525"/>
    <n v="601"/>
    <n v="79"/>
    <x v="0"/>
    <x v="2"/>
    <n v="15"/>
    <x v="0"/>
    <x v="1"/>
    <x v="3"/>
    <x v="33"/>
    <x v="33"/>
    <x v="19"/>
    <n v="50"/>
    <n v="80"/>
    <n v="60"/>
    <n v="130"/>
    <n v="27"/>
    <x v="1"/>
    <n v="0.39097744360902253"/>
    <n v="0.59398496240601506"/>
    <n v="12"/>
  </r>
  <r>
    <n v="213"/>
    <x v="49"/>
    <n v="-3"/>
    <x v="526"/>
    <n v="677"/>
    <n v="101"/>
    <x v="0"/>
    <x v="3"/>
    <n v="22"/>
    <x v="0"/>
    <x v="1"/>
    <x v="3"/>
    <x v="17"/>
    <x v="107"/>
    <x v="3"/>
    <n v="40"/>
    <n v="80"/>
    <n v="50"/>
    <n v="120"/>
    <n v="54"/>
    <x v="1"/>
    <n v="0.27976190476190477"/>
    <n v="0.60119047619047616"/>
    <n v="32"/>
  </r>
  <r>
    <n v="503"/>
    <x v="30"/>
    <n v="-25"/>
    <x v="527"/>
    <n v="435"/>
    <n v="60"/>
    <x v="1"/>
    <x v="3"/>
    <n v="13"/>
    <x v="1"/>
    <x v="3"/>
    <x v="5"/>
    <x v="65"/>
    <x v="38"/>
    <x v="11"/>
    <n v="40"/>
    <n v="80"/>
    <n v="50"/>
    <n v="120"/>
    <n v="35"/>
    <x v="0"/>
    <n v="0.24752475247524752"/>
    <n v="0.59405940594059403"/>
    <n v="22"/>
  </r>
  <r>
    <n v="715"/>
    <x v="28"/>
    <n v="-8"/>
    <x v="528"/>
    <n v="403"/>
    <n v="80"/>
    <x v="1"/>
    <x v="0"/>
    <n v="24"/>
    <x v="1"/>
    <x v="3"/>
    <x v="6"/>
    <x v="57"/>
    <x v="36"/>
    <x v="13"/>
    <n v="60"/>
    <n v="80"/>
    <n v="30"/>
    <n v="140"/>
    <n v="58"/>
    <x v="1"/>
    <n v="0.15172413793103448"/>
    <n v="0.55172413793103448"/>
    <n v="34"/>
  </r>
  <r>
    <n v="503"/>
    <x v="6"/>
    <n v="-27"/>
    <x v="529"/>
    <n v="521"/>
    <n v="65"/>
    <x v="1"/>
    <x v="3"/>
    <n v="42"/>
    <x v="1"/>
    <x v="3"/>
    <x v="6"/>
    <x v="11"/>
    <x v="34"/>
    <x v="11"/>
    <n v="50"/>
    <n v="80"/>
    <n v="20"/>
    <n v="130"/>
    <n v="72"/>
    <x v="1"/>
    <n v="-6.25E-2"/>
    <n v="0.5803571428571429"/>
    <n v="30"/>
  </r>
  <r>
    <n v="801"/>
    <x v="10"/>
    <n v="-29"/>
    <x v="530"/>
    <n v="392"/>
    <n v="65"/>
    <x v="1"/>
    <x v="3"/>
    <n v="16"/>
    <x v="1"/>
    <x v="3"/>
    <x v="7"/>
    <x v="6"/>
    <x v="11"/>
    <x v="8"/>
    <n v="50"/>
    <n v="80"/>
    <n v="50"/>
    <n v="130"/>
    <n v="44"/>
    <x v="1"/>
    <n v="0.18421052631578946"/>
    <n v="0.57017543859649122"/>
    <n v="28"/>
  </r>
  <r>
    <n v="509"/>
    <x v="28"/>
    <n v="-7"/>
    <x v="531"/>
    <n v="403"/>
    <n v="80"/>
    <x v="1"/>
    <x v="3"/>
    <n v="24"/>
    <x v="1"/>
    <x v="2"/>
    <x v="8"/>
    <x v="34"/>
    <x v="36"/>
    <x v="14"/>
    <n v="60"/>
    <n v="80"/>
    <n v="30"/>
    <n v="140"/>
    <n v="57"/>
    <x v="1"/>
    <n v="0.15862068965517243"/>
    <n v="0.55172413793103448"/>
    <n v="33"/>
  </r>
  <r>
    <n v="985"/>
    <x v="33"/>
    <n v="-4"/>
    <x v="532"/>
    <n v="619"/>
    <n v="85"/>
    <x v="1"/>
    <x v="1"/>
    <n v="25"/>
    <x v="0"/>
    <x v="0"/>
    <x v="0"/>
    <x v="1"/>
    <x v="43"/>
    <x v="10"/>
    <n v="60"/>
    <n v="80"/>
    <n v="30"/>
    <n v="140"/>
    <n v="59"/>
    <x v="0"/>
    <n v="0.16993464052287582"/>
    <n v="0.55555555555555558"/>
    <n v="34"/>
  </r>
  <r>
    <n v="432"/>
    <x v="35"/>
    <n v="36"/>
    <x v="533"/>
    <n v="580"/>
    <n v="111"/>
    <x v="0"/>
    <x v="1"/>
    <n v="21"/>
    <x v="1"/>
    <x v="2"/>
    <x v="4"/>
    <x v="95"/>
    <x v="87"/>
    <x v="1"/>
    <n v="40"/>
    <n v="80"/>
    <n v="80"/>
    <n v="120"/>
    <n v="33"/>
    <x v="0"/>
    <n v="0.58291457286432158"/>
    <n v="0.61809045226130654"/>
    <n v="12"/>
  </r>
  <r>
    <n v="325"/>
    <x v="1"/>
    <n v="-31"/>
    <x v="534"/>
    <n v="405"/>
    <n v="71"/>
    <x v="0"/>
    <x v="1"/>
    <n v="17"/>
    <x v="0"/>
    <x v="0"/>
    <x v="10"/>
    <x v="40"/>
    <x v="41"/>
    <x v="1"/>
    <n v="30"/>
    <n v="80"/>
    <n v="70"/>
    <n v="110"/>
    <n v="45"/>
    <x v="0"/>
    <n v="0.29770992366412213"/>
    <n v="0.60305343511450382"/>
    <n v="28"/>
  </r>
  <r>
    <n v="815"/>
    <x v="35"/>
    <n v="36"/>
    <x v="535"/>
    <n v="580"/>
    <n v="111"/>
    <x v="0"/>
    <x v="0"/>
    <n v="21"/>
    <x v="0"/>
    <x v="1"/>
    <x v="2"/>
    <x v="95"/>
    <x v="87"/>
    <x v="16"/>
    <n v="50"/>
    <n v="80"/>
    <n v="80"/>
    <n v="130"/>
    <n v="33"/>
    <x v="1"/>
    <n v="0.58291457286432158"/>
    <n v="0.61809045226130654"/>
    <n v="12"/>
  </r>
  <r>
    <n v="815"/>
    <x v="4"/>
    <n v="32"/>
    <x v="536"/>
    <n v="650"/>
    <n v="110"/>
    <x v="0"/>
    <x v="0"/>
    <n v="23"/>
    <x v="0"/>
    <x v="1"/>
    <x v="11"/>
    <x v="87"/>
    <x v="47"/>
    <x v="16"/>
    <n v="50"/>
    <n v="80"/>
    <n v="50"/>
    <n v="130"/>
    <n v="55"/>
    <x v="1"/>
    <n v="0.42268041237113402"/>
    <n v="0.62886597938144329"/>
    <n v="32"/>
  </r>
  <r>
    <n v="636"/>
    <x v="28"/>
    <n v="-18"/>
    <x v="537"/>
    <n v="1053"/>
    <n v="77"/>
    <x v="1"/>
    <x v="0"/>
    <n v="20"/>
    <x v="1"/>
    <x v="3"/>
    <x v="5"/>
    <x v="33"/>
    <x v="91"/>
    <x v="12"/>
    <n v="50"/>
    <n v="80"/>
    <n v="70"/>
    <n v="130"/>
    <n v="42"/>
    <x v="0"/>
    <n v="0.3443708609271523"/>
    <n v="0.56953642384105962"/>
    <n v="22"/>
  </r>
  <r>
    <n v="417"/>
    <x v="40"/>
    <n v="-38"/>
    <x v="538"/>
    <n v="833"/>
    <n v="47"/>
    <x v="1"/>
    <x v="0"/>
    <n v="8"/>
    <x v="1"/>
    <x v="2"/>
    <x v="4"/>
    <x v="41"/>
    <x v="102"/>
    <x v="12"/>
    <n v="30"/>
    <n v="80"/>
    <n v="80"/>
    <n v="110"/>
    <n v="19"/>
    <x v="0"/>
    <n v="0.5"/>
    <n v="0.61904761904761907"/>
    <n v="11"/>
  </r>
  <r>
    <n v="405"/>
    <x v="16"/>
    <n v="36"/>
    <x v="539"/>
    <n v="788"/>
    <n v="123"/>
    <x v="1"/>
    <x v="1"/>
    <n v="27"/>
    <x v="1"/>
    <x v="2"/>
    <x v="4"/>
    <x v="96"/>
    <x v="18"/>
    <x v="6"/>
    <n v="50"/>
    <n v="80"/>
    <n v="60"/>
    <n v="130"/>
    <n v="58"/>
    <x v="0"/>
    <n v="0.44036697247706424"/>
    <n v="0.62385321100917435"/>
    <n v="31"/>
  </r>
  <r>
    <n v="414"/>
    <x v="47"/>
    <n v="-28"/>
    <x v="540"/>
    <n v="385"/>
    <n v="70"/>
    <x v="1"/>
    <x v="0"/>
    <n v="21"/>
    <x v="1"/>
    <x v="3"/>
    <x v="6"/>
    <x v="57"/>
    <x v="108"/>
    <x v="13"/>
    <n v="40"/>
    <n v="80"/>
    <n v="50"/>
    <n v="120"/>
    <n v="55"/>
    <x v="1"/>
    <n v="0.16417910447761194"/>
    <n v="0.58208955223880599"/>
    <n v="34"/>
  </r>
  <r>
    <n v="405"/>
    <x v="17"/>
    <n v="43"/>
    <x v="541"/>
    <n v="-1785"/>
    <n v="127"/>
    <x v="1"/>
    <x v="1"/>
    <n v="28"/>
    <x v="1"/>
    <x v="2"/>
    <x v="9"/>
    <x v="52"/>
    <x v="54"/>
    <x v="6"/>
    <n v="50"/>
    <n v="80"/>
    <n v="70"/>
    <n v="130"/>
    <n v="51"/>
    <x v="1"/>
    <n v="0.48706896551724138"/>
    <n v="0.60775862068965514"/>
    <n v="23"/>
  </r>
  <r>
    <n v="715"/>
    <x v="12"/>
    <n v="5"/>
    <x v="542"/>
    <n v="329"/>
    <n v="99"/>
    <x v="1"/>
    <x v="0"/>
    <n v="18"/>
    <x v="0"/>
    <x v="0"/>
    <x v="10"/>
    <x v="74"/>
    <x v="92"/>
    <x v="13"/>
    <n v="40"/>
    <n v="80"/>
    <n v="80"/>
    <n v="120"/>
    <n v="42"/>
    <x v="0"/>
    <n v="0.50295857988165682"/>
    <n v="0.6449704142011834"/>
    <n v="24"/>
  </r>
  <r>
    <n v="937"/>
    <x v="21"/>
    <n v="-16"/>
    <x v="543"/>
    <n v="410"/>
    <n v="69"/>
    <x v="0"/>
    <x v="0"/>
    <n v="20"/>
    <x v="1"/>
    <x v="2"/>
    <x v="4"/>
    <x v="10"/>
    <x v="57"/>
    <x v="18"/>
    <n v="70"/>
    <n v="80"/>
    <n v="40"/>
    <n v="150"/>
    <n v="53"/>
    <x v="0"/>
    <n v="0.18181818181818182"/>
    <n v="0.58333333333333337"/>
    <n v="33"/>
  </r>
  <r>
    <n v="234"/>
    <x v="48"/>
    <n v="-1"/>
    <x v="544"/>
    <n v="411"/>
    <n v="79"/>
    <x v="0"/>
    <x v="0"/>
    <n v="19"/>
    <x v="1"/>
    <x v="3"/>
    <x v="6"/>
    <x v="31"/>
    <x v="32"/>
    <x v="18"/>
    <n v="50"/>
    <n v="80"/>
    <n v="50"/>
    <n v="130"/>
    <n v="46"/>
    <x v="1"/>
    <n v="0.33333333333333331"/>
    <n v="0.59863945578231292"/>
    <n v="27"/>
  </r>
  <r>
    <n v="209"/>
    <x v="19"/>
    <n v="48"/>
    <x v="545"/>
    <n v="659"/>
    <n v="114"/>
    <x v="0"/>
    <x v="3"/>
    <n v="24"/>
    <x v="0"/>
    <x v="1"/>
    <x v="3"/>
    <x v="97"/>
    <x v="123"/>
    <x v="3"/>
    <n v="50"/>
    <n v="80"/>
    <n v="40"/>
    <n v="130"/>
    <n v="55"/>
    <x v="1"/>
    <n v="0.43781094527363185"/>
    <n v="0.62686567164179108"/>
    <n v="31"/>
  </r>
  <r>
    <n v="417"/>
    <x v="41"/>
    <n v="16"/>
    <x v="546"/>
    <n v="1060"/>
    <n v="81"/>
    <x v="1"/>
    <x v="0"/>
    <n v="21"/>
    <x v="1"/>
    <x v="3"/>
    <x v="5"/>
    <x v="4"/>
    <x v="42"/>
    <x v="12"/>
    <n v="60"/>
    <n v="80"/>
    <n v="40"/>
    <n v="140"/>
    <n v="43"/>
    <x v="0"/>
    <n v="0.35"/>
    <n v="0.56874999999999998"/>
    <n v="22"/>
  </r>
  <r>
    <n v="503"/>
    <x v="20"/>
    <n v="-3"/>
    <x v="547"/>
    <n v="424"/>
    <n v="68"/>
    <x v="1"/>
    <x v="3"/>
    <n v="14"/>
    <x v="1"/>
    <x v="3"/>
    <x v="5"/>
    <x v="17"/>
    <x v="26"/>
    <x v="11"/>
    <n v="50"/>
    <n v="80"/>
    <n v="50"/>
    <n v="130"/>
    <n v="36"/>
    <x v="0"/>
    <n v="0.38842975206611569"/>
    <n v="0.6198347107438017"/>
    <n v="22"/>
  </r>
  <r>
    <n v="425"/>
    <x v="19"/>
    <n v="27"/>
    <x v="548"/>
    <n v="1063"/>
    <n v="89"/>
    <x v="1"/>
    <x v="3"/>
    <n v="23"/>
    <x v="1"/>
    <x v="2"/>
    <x v="4"/>
    <x v="49"/>
    <x v="56"/>
    <x v="14"/>
    <n v="70"/>
    <n v="80"/>
    <n v="40"/>
    <n v="150"/>
    <n v="44"/>
    <x v="0"/>
    <n v="0.38285714285714284"/>
    <n v="0.5714285714285714"/>
    <n v="21"/>
  </r>
  <r>
    <n v="475"/>
    <x v="27"/>
    <n v="-7"/>
    <x v="549"/>
    <n v="613"/>
    <n v="86"/>
    <x v="1"/>
    <x v="2"/>
    <n v="55"/>
    <x v="1"/>
    <x v="2"/>
    <x v="8"/>
    <x v="83"/>
    <x v="63"/>
    <x v="5"/>
    <n v="60"/>
    <n v="80"/>
    <n v="10"/>
    <n v="140"/>
    <n v="84"/>
    <x v="1"/>
    <n v="1.9108280254777069E-2"/>
    <n v="0.61146496815286622"/>
    <n v="29"/>
  </r>
  <r>
    <n v="318"/>
    <x v="6"/>
    <n v="5"/>
    <x v="550"/>
    <n v="834"/>
    <n v="68"/>
    <x v="1"/>
    <x v="1"/>
    <n v="13"/>
    <x v="1"/>
    <x v="3"/>
    <x v="7"/>
    <x v="56"/>
    <x v="1"/>
    <x v="10"/>
    <n v="50"/>
    <n v="80"/>
    <n v="60"/>
    <n v="130"/>
    <n v="24"/>
    <x v="1"/>
    <n v="0.52845528455284552"/>
    <n v="0.61788617886178865"/>
    <n v="11"/>
  </r>
  <r>
    <n v="971"/>
    <x v="1"/>
    <n v="-16"/>
    <x v="551"/>
    <n v="509"/>
    <n v="73"/>
    <x v="1"/>
    <x v="3"/>
    <n v="47"/>
    <x v="1"/>
    <x v="3"/>
    <x v="6"/>
    <x v="15"/>
    <x v="33"/>
    <x v="11"/>
    <n v="60"/>
    <n v="80"/>
    <n v="10"/>
    <n v="140"/>
    <n v="77"/>
    <x v="1"/>
    <n v="-4.5112781954887216E-2"/>
    <n v="0.60902255639097747"/>
    <n v="30"/>
  </r>
  <r>
    <n v="435"/>
    <x v="26"/>
    <n v="-10"/>
    <x v="552"/>
    <n v="380"/>
    <n v="71"/>
    <x v="1"/>
    <x v="3"/>
    <n v="17"/>
    <x v="1"/>
    <x v="3"/>
    <x v="7"/>
    <x v="54"/>
    <x v="57"/>
    <x v="8"/>
    <n v="60"/>
    <n v="80"/>
    <n v="50"/>
    <n v="140"/>
    <n v="44"/>
    <x v="1"/>
    <n v="0.30303030303030304"/>
    <n v="0.59848484848484851"/>
    <n v="27"/>
  </r>
  <r>
    <n v="541"/>
    <x v="48"/>
    <n v="-1"/>
    <x v="553"/>
    <n v="411"/>
    <n v="79"/>
    <x v="1"/>
    <x v="3"/>
    <n v="19"/>
    <x v="1"/>
    <x v="2"/>
    <x v="8"/>
    <x v="31"/>
    <x v="32"/>
    <x v="11"/>
    <n v="50"/>
    <n v="80"/>
    <n v="50"/>
    <n v="130"/>
    <n v="46"/>
    <x v="1"/>
    <n v="0.33333333333333331"/>
    <n v="0.59863945578231292"/>
    <n v="27"/>
  </r>
  <r>
    <n v="262"/>
    <x v="26"/>
    <n v="21"/>
    <x v="554"/>
    <n v="321"/>
    <n v="88"/>
    <x v="1"/>
    <x v="0"/>
    <n v="16"/>
    <x v="0"/>
    <x v="0"/>
    <x v="10"/>
    <x v="53"/>
    <x v="61"/>
    <x v="13"/>
    <n v="50"/>
    <n v="80"/>
    <n v="50"/>
    <n v="130"/>
    <n v="40"/>
    <x v="0"/>
    <n v="0.47333333333333333"/>
    <n v="0.64666666666666661"/>
    <n v="24"/>
  </r>
  <r>
    <n v="860"/>
    <x v="14"/>
    <n v="16"/>
    <x v="555"/>
    <n v="885"/>
    <n v="78"/>
    <x v="1"/>
    <x v="2"/>
    <n v="15"/>
    <x v="0"/>
    <x v="1"/>
    <x v="2"/>
    <x v="20"/>
    <x v="29"/>
    <x v="5"/>
    <n v="50"/>
    <n v="80"/>
    <n v="60"/>
    <n v="130"/>
    <n v="27"/>
    <x v="1"/>
    <n v="0.53900709219858156"/>
    <n v="0.61702127659574468"/>
    <n v="12"/>
  </r>
  <r>
    <n v="419"/>
    <x v="20"/>
    <n v="-31"/>
    <x v="556"/>
    <n v="422"/>
    <n v="57"/>
    <x v="0"/>
    <x v="0"/>
    <n v="17"/>
    <x v="1"/>
    <x v="2"/>
    <x v="4"/>
    <x v="76"/>
    <x v="96"/>
    <x v="18"/>
    <n v="50"/>
    <n v="80"/>
    <n v="40"/>
    <n v="130"/>
    <n v="51"/>
    <x v="0"/>
    <n v="8.1818181818181818E-2"/>
    <n v="0.58181818181818179"/>
    <n v="34"/>
  </r>
  <r>
    <n v="708"/>
    <x v="49"/>
    <n v="30"/>
    <x v="557"/>
    <n v="677"/>
    <n v="101"/>
    <x v="0"/>
    <x v="0"/>
    <n v="22"/>
    <x v="0"/>
    <x v="1"/>
    <x v="11"/>
    <x v="50"/>
    <x v="110"/>
    <x v="16"/>
    <n v="50"/>
    <n v="80"/>
    <n v="40"/>
    <n v="130"/>
    <n v="54"/>
    <x v="1"/>
    <n v="0.39106145251396646"/>
    <n v="0.62569832402234637"/>
    <n v="32"/>
  </r>
  <r>
    <n v="585"/>
    <x v="14"/>
    <n v="17"/>
    <x v="558"/>
    <n v="601"/>
    <n v="79"/>
    <x v="0"/>
    <x v="2"/>
    <n v="15"/>
    <x v="0"/>
    <x v="1"/>
    <x v="3"/>
    <x v="61"/>
    <x v="64"/>
    <x v="19"/>
    <n v="50"/>
    <n v="80"/>
    <n v="60"/>
    <n v="130"/>
    <n v="27"/>
    <x v="1"/>
    <n v="0.54225352112676062"/>
    <n v="0.61971830985915488"/>
    <n v="12"/>
  </r>
  <r>
    <n v="510"/>
    <x v="49"/>
    <n v="20"/>
    <x v="559"/>
    <n v="677"/>
    <n v="101"/>
    <x v="0"/>
    <x v="3"/>
    <n v="22"/>
    <x v="0"/>
    <x v="1"/>
    <x v="3"/>
    <x v="50"/>
    <x v="110"/>
    <x v="3"/>
    <n v="40"/>
    <n v="80"/>
    <n v="50"/>
    <n v="120"/>
    <n v="54"/>
    <x v="1"/>
    <n v="0.39106145251396646"/>
    <n v="0.62569832402234637"/>
    <n v="32"/>
  </r>
  <r>
    <n v="541"/>
    <x v="30"/>
    <n v="-13"/>
    <x v="560"/>
    <n v="435"/>
    <n v="60"/>
    <x v="1"/>
    <x v="3"/>
    <n v="13"/>
    <x v="1"/>
    <x v="3"/>
    <x v="5"/>
    <x v="8"/>
    <x v="68"/>
    <x v="11"/>
    <n v="40"/>
    <n v="80"/>
    <n v="50"/>
    <n v="120"/>
    <n v="35"/>
    <x v="0"/>
    <n v="0.34259259259259262"/>
    <n v="0.62037037037037035"/>
    <n v="22"/>
  </r>
  <r>
    <n v="920"/>
    <x v="28"/>
    <n v="3"/>
    <x v="561"/>
    <n v="403"/>
    <n v="80"/>
    <x v="1"/>
    <x v="0"/>
    <n v="24"/>
    <x v="1"/>
    <x v="3"/>
    <x v="6"/>
    <x v="9"/>
    <x v="66"/>
    <x v="13"/>
    <n v="60"/>
    <n v="80"/>
    <n v="30"/>
    <n v="140"/>
    <n v="58"/>
    <x v="1"/>
    <n v="0.2129032258064516"/>
    <n v="0.58064516129032262"/>
    <n v="34"/>
  </r>
  <r>
    <n v="541"/>
    <x v="6"/>
    <n v="-30"/>
    <x v="562"/>
    <n v="521"/>
    <n v="65"/>
    <x v="1"/>
    <x v="3"/>
    <n v="42"/>
    <x v="1"/>
    <x v="3"/>
    <x v="6"/>
    <x v="46"/>
    <x v="16"/>
    <x v="11"/>
    <n v="50"/>
    <n v="80"/>
    <n v="20"/>
    <n v="130"/>
    <n v="72"/>
    <x v="1"/>
    <n v="-8.4033613445378158E-2"/>
    <n v="0.60504201680672265"/>
    <n v="30"/>
  </r>
  <r>
    <n v="435"/>
    <x v="10"/>
    <n v="-19"/>
    <x v="563"/>
    <n v="392"/>
    <n v="65"/>
    <x v="1"/>
    <x v="3"/>
    <n v="16"/>
    <x v="1"/>
    <x v="3"/>
    <x v="7"/>
    <x v="5"/>
    <x v="26"/>
    <x v="8"/>
    <n v="50"/>
    <n v="80"/>
    <n v="50"/>
    <n v="130"/>
    <n v="44"/>
    <x v="1"/>
    <n v="0.256198347107438"/>
    <n v="0.5950413223140496"/>
    <n v="28"/>
  </r>
  <r>
    <n v="509"/>
    <x v="28"/>
    <n v="4"/>
    <x v="564"/>
    <n v="403"/>
    <n v="80"/>
    <x v="1"/>
    <x v="3"/>
    <n v="24"/>
    <x v="1"/>
    <x v="2"/>
    <x v="8"/>
    <x v="28"/>
    <x v="66"/>
    <x v="14"/>
    <n v="60"/>
    <n v="80"/>
    <n v="30"/>
    <n v="140"/>
    <n v="57"/>
    <x v="1"/>
    <n v="0.21935483870967742"/>
    <n v="0.58064516129032262"/>
    <n v="33"/>
  </r>
  <r>
    <n v="318"/>
    <x v="33"/>
    <n v="9"/>
    <x v="565"/>
    <n v="619"/>
    <n v="85"/>
    <x v="1"/>
    <x v="1"/>
    <n v="25"/>
    <x v="0"/>
    <x v="0"/>
    <x v="0"/>
    <x v="40"/>
    <x v="73"/>
    <x v="10"/>
    <n v="60"/>
    <n v="80"/>
    <n v="30"/>
    <n v="140"/>
    <n v="59"/>
    <x v="0"/>
    <n v="0.2392638036809816"/>
    <n v="0.58282208588957052"/>
    <n v="34"/>
  </r>
  <r>
    <n v="214"/>
    <x v="31"/>
    <n v="-54"/>
    <x v="566"/>
    <n v="541"/>
    <n v="51"/>
    <x v="0"/>
    <x v="1"/>
    <n v="12"/>
    <x v="1"/>
    <x v="3"/>
    <x v="5"/>
    <x v="1"/>
    <x v="31"/>
    <x v="1"/>
    <n v="40"/>
    <n v="90"/>
    <n v="80"/>
    <n v="130"/>
    <n v="25"/>
    <x v="0"/>
    <n v="0.28888888888888886"/>
    <n v="0.56666666666666665"/>
    <n v="13"/>
  </r>
  <r>
    <n v="936"/>
    <x v="55"/>
    <n v="-155"/>
    <x v="567"/>
    <n v="1246"/>
    <n v="281"/>
    <x v="0"/>
    <x v="1"/>
    <n v="74"/>
    <x v="1"/>
    <x v="3"/>
    <x v="7"/>
    <x v="98"/>
    <x v="124"/>
    <x v="1"/>
    <n v="350"/>
    <n v="420"/>
    <n v="340"/>
    <n v="770"/>
    <n v="96"/>
    <x v="1"/>
    <n v="0.35576923076923078"/>
    <n v="0.54038461538461535"/>
    <n v="22"/>
  </r>
  <r>
    <n v="210"/>
    <x v="56"/>
    <n v="33"/>
    <x v="568"/>
    <n v="915"/>
    <n v="179"/>
    <x v="0"/>
    <x v="1"/>
    <n v="34"/>
    <x v="1"/>
    <x v="2"/>
    <x v="8"/>
    <x v="99"/>
    <x v="125"/>
    <x v="1"/>
    <n v="70"/>
    <n v="120"/>
    <n v="100"/>
    <n v="190"/>
    <n v="46"/>
    <x v="1"/>
    <n v="0.44039735099337746"/>
    <n v="0.5927152317880795"/>
    <n v="12"/>
  </r>
  <r>
    <n v="225"/>
    <x v="15"/>
    <n v="-35"/>
    <x v="569"/>
    <n v="851"/>
    <n v="70"/>
    <x v="1"/>
    <x v="1"/>
    <n v="13"/>
    <x v="1"/>
    <x v="3"/>
    <x v="5"/>
    <x v="16"/>
    <x v="15"/>
    <x v="10"/>
    <n v="70"/>
    <n v="90"/>
    <n v="80"/>
    <n v="160"/>
    <n v="25"/>
    <x v="0"/>
    <n v="0.38135593220338981"/>
    <n v="0.59322033898305082"/>
    <n v="12"/>
  </r>
  <r>
    <n v="225"/>
    <x v="15"/>
    <n v="-33"/>
    <x v="570"/>
    <n v="829"/>
    <n v="71"/>
    <x v="1"/>
    <x v="1"/>
    <n v="13"/>
    <x v="1"/>
    <x v="3"/>
    <x v="7"/>
    <x v="17"/>
    <x v="16"/>
    <x v="10"/>
    <n v="70"/>
    <n v="90"/>
    <n v="80"/>
    <n v="160"/>
    <n v="24"/>
    <x v="1"/>
    <n v="0.3949579831932773"/>
    <n v="0.59663865546218486"/>
    <n v="11"/>
  </r>
  <r>
    <n v="505"/>
    <x v="11"/>
    <n v="-57"/>
    <x v="571"/>
    <n v="447"/>
    <n v="69"/>
    <x v="1"/>
    <x v="1"/>
    <n v="14"/>
    <x v="1"/>
    <x v="3"/>
    <x v="7"/>
    <x v="34"/>
    <x v="11"/>
    <x v="17"/>
    <n v="50"/>
    <n v="110"/>
    <n v="80"/>
    <n v="160"/>
    <n v="46"/>
    <x v="1"/>
    <n v="0.20175438596491227"/>
    <n v="0.60526315789473684"/>
    <n v="32"/>
  </r>
  <r>
    <n v="918"/>
    <x v="57"/>
    <n v="-66"/>
    <x v="572"/>
    <n v="572"/>
    <n v="115"/>
    <x v="1"/>
    <x v="1"/>
    <n v="29"/>
    <x v="1"/>
    <x v="3"/>
    <x v="7"/>
    <x v="62"/>
    <x v="17"/>
    <x v="6"/>
    <n v="130"/>
    <n v="160"/>
    <n v="140"/>
    <n v="290"/>
    <n v="41"/>
    <x v="1"/>
    <n v="0.36097560975609755"/>
    <n v="0.56097560975609762"/>
    <n v="12"/>
  </r>
  <r>
    <n v="505"/>
    <x v="51"/>
    <n v="-22"/>
    <x v="573"/>
    <n v="-466"/>
    <n v="31"/>
    <x v="1"/>
    <x v="1"/>
    <n v="9"/>
    <x v="1"/>
    <x v="2"/>
    <x v="9"/>
    <x v="55"/>
    <x v="82"/>
    <x v="17"/>
    <n v="10"/>
    <n v="20"/>
    <n v="10"/>
    <n v="30"/>
    <n v="43"/>
    <x v="1"/>
    <n v="-0.21428571428571427"/>
    <n v="0.5535714285714286"/>
    <n v="34"/>
  </r>
  <r>
    <n v="225"/>
    <x v="58"/>
    <n v="-23"/>
    <x v="574"/>
    <n v="564"/>
    <n v="133"/>
    <x v="1"/>
    <x v="1"/>
    <n v="33"/>
    <x v="0"/>
    <x v="0"/>
    <x v="10"/>
    <x v="100"/>
    <x v="126"/>
    <x v="10"/>
    <n v="80"/>
    <n v="130"/>
    <n v="110"/>
    <n v="210"/>
    <n v="46"/>
    <x v="0"/>
    <n v="0.36864406779661019"/>
    <n v="0.56355932203389836"/>
    <n v="13"/>
  </r>
  <r>
    <n v="504"/>
    <x v="38"/>
    <n v="-26"/>
    <x v="575"/>
    <n v="593"/>
    <n v="98"/>
    <x v="1"/>
    <x v="1"/>
    <n v="30"/>
    <x v="0"/>
    <x v="0"/>
    <x v="0"/>
    <x v="28"/>
    <x v="79"/>
    <x v="10"/>
    <n v="60"/>
    <n v="90"/>
    <n v="60"/>
    <n v="150"/>
    <n v="64"/>
    <x v="0"/>
    <n v="0.19209039548022599"/>
    <n v="0.5536723163841808"/>
    <n v="34"/>
  </r>
  <r>
    <n v="405"/>
    <x v="59"/>
    <n v="-23"/>
    <x v="576"/>
    <n v="683"/>
    <n v="134"/>
    <x v="1"/>
    <x v="1"/>
    <n v="87"/>
    <x v="0"/>
    <x v="0"/>
    <x v="0"/>
    <x v="39"/>
    <x v="127"/>
    <x v="6"/>
    <n v="80"/>
    <n v="120"/>
    <n v="40"/>
    <n v="200"/>
    <n v="117"/>
    <x v="0"/>
    <n v="7.3913043478260873E-2"/>
    <n v="0.58260869565217388"/>
    <n v="30"/>
  </r>
  <r>
    <n v="956"/>
    <x v="60"/>
    <n v="-56"/>
    <x v="577"/>
    <n v="1272"/>
    <n v="265"/>
    <x v="0"/>
    <x v="1"/>
    <n v="69"/>
    <x v="1"/>
    <x v="3"/>
    <x v="7"/>
    <x v="101"/>
    <x v="128"/>
    <x v="1"/>
    <n v="260"/>
    <n v="320"/>
    <n v="230"/>
    <n v="580"/>
    <n v="91"/>
    <x v="1"/>
    <n v="0.35510204081632651"/>
    <n v="0.54081632653061229"/>
    <n v="22"/>
  </r>
  <r>
    <n v="817"/>
    <x v="19"/>
    <n v="19"/>
    <x v="578"/>
    <n v="-1050"/>
    <n v="114"/>
    <x v="0"/>
    <x v="1"/>
    <n v="24"/>
    <x v="1"/>
    <x v="2"/>
    <x v="9"/>
    <x v="93"/>
    <x v="90"/>
    <x v="1"/>
    <n v="50"/>
    <n v="90"/>
    <n v="40"/>
    <n v="140"/>
    <n v="55"/>
    <x v="1"/>
    <n v="0.31216931216931215"/>
    <n v="0.60317460317460314"/>
    <n v="31"/>
  </r>
  <r>
    <n v="409"/>
    <x v="61"/>
    <n v="27"/>
    <x v="579"/>
    <n v="930"/>
    <n v="172"/>
    <x v="0"/>
    <x v="1"/>
    <n v="33"/>
    <x v="1"/>
    <x v="2"/>
    <x v="8"/>
    <x v="102"/>
    <x v="129"/>
    <x v="1"/>
    <n v="90"/>
    <n v="130"/>
    <n v="100"/>
    <n v="220"/>
    <n v="45"/>
    <x v="1"/>
    <n v="0.43793103448275861"/>
    <n v="0.59310344827586203"/>
    <n v="12"/>
  </r>
  <r>
    <n v="918"/>
    <x v="62"/>
    <n v="22"/>
    <x v="580"/>
    <n v="798"/>
    <n v="119"/>
    <x v="1"/>
    <x v="1"/>
    <n v="25"/>
    <x v="1"/>
    <x v="2"/>
    <x v="4"/>
    <x v="103"/>
    <x v="130"/>
    <x v="6"/>
    <n v="60"/>
    <n v="90"/>
    <n v="40"/>
    <n v="150"/>
    <n v="57"/>
    <x v="0"/>
    <n v="0.31472081218274112"/>
    <n v="0.60406091370558379"/>
    <n v="32"/>
  </r>
  <r>
    <n v="918"/>
    <x v="63"/>
    <n v="-19"/>
    <x v="581"/>
    <n v="561"/>
    <n v="112"/>
    <x v="1"/>
    <x v="1"/>
    <n v="29"/>
    <x v="1"/>
    <x v="3"/>
    <x v="7"/>
    <x v="53"/>
    <x v="131"/>
    <x v="6"/>
    <n v="100"/>
    <n v="130"/>
    <n v="90"/>
    <n v="230"/>
    <n v="41"/>
    <x v="1"/>
    <n v="0.35499999999999998"/>
    <n v="0.56000000000000005"/>
    <n v="12"/>
  </r>
  <r>
    <n v="918"/>
    <x v="64"/>
    <n v="29"/>
    <x v="582"/>
    <n v="-2003"/>
    <n v="143"/>
    <x v="1"/>
    <x v="1"/>
    <n v="31"/>
    <x v="1"/>
    <x v="2"/>
    <x v="9"/>
    <x v="104"/>
    <x v="132"/>
    <x v="6"/>
    <n v="80"/>
    <n v="100"/>
    <n v="60"/>
    <n v="180"/>
    <n v="54"/>
    <x v="1"/>
    <n v="0.36326530612244901"/>
    <n v="0.58367346938775511"/>
    <n v="23"/>
  </r>
  <r>
    <n v="337"/>
    <x v="65"/>
    <n v="5"/>
    <x v="583"/>
    <n v="552"/>
    <n v="130"/>
    <x v="1"/>
    <x v="1"/>
    <n v="33"/>
    <x v="0"/>
    <x v="0"/>
    <x v="10"/>
    <x v="74"/>
    <x v="133"/>
    <x v="10"/>
    <n v="90"/>
    <n v="120"/>
    <n v="80"/>
    <n v="210"/>
    <n v="45"/>
    <x v="0"/>
    <n v="0.36796536796536794"/>
    <n v="0.56277056277056281"/>
    <n v="12"/>
  </r>
  <r>
    <n v="505"/>
    <x v="52"/>
    <n v="-1"/>
    <x v="584"/>
    <n v="848"/>
    <n v="24"/>
    <x v="1"/>
    <x v="1"/>
    <n v="4"/>
    <x v="0"/>
    <x v="0"/>
    <x v="10"/>
    <x v="76"/>
    <x v="115"/>
    <x v="17"/>
    <n v="10"/>
    <n v="20"/>
    <n v="10"/>
    <n v="30"/>
    <n v="15"/>
    <x v="0"/>
    <n v="0.23076923076923078"/>
    <n v="0.61538461538461542"/>
    <n v="11"/>
  </r>
  <r>
    <n v="337"/>
    <x v="16"/>
    <n v="-2"/>
    <x v="585"/>
    <n v="601"/>
    <n v="102"/>
    <x v="1"/>
    <x v="1"/>
    <n v="31"/>
    <x v="0"/>
    <x v="0"/>
    <x v="0"/>
    <x v="68"/>
    <x v="106"/>
    <x v="10"/>
    <n v="70"/>
    <n v="100"/>
    <n v="40"/>
    <n v="170"/>
    <n v="64"/>
    <x v="0"/>
    <n v="0.20652173913043478"/>
    <n v="0.55434782608695654"/>
    <n v="33"/>
  </r>
  <r>
    <n v="580"/>
    <x v="66"/>
    <n v="-5"/>
    <x v="586"/>
    <n v="694"/>
    <n v="130"/>
    <x v="1"/>
    <x v="1"/>
    <n v="85"/>
    <x v="0"/>
    <x v="0"/>
    <x v="0"/>
    <x v="25"/>
    <x v="134"/>
    <x v="6"/>
    <n v="80"/>
    <n v="120"/>
    <n v="20"/>
    <n v="200"/>
    <n v="115"/>
    <x v="0"/>
    <n v="6.6964285714285712E-2"/>
    <n v="0.5803571428571429"/>
    <n v="30"/>
  </r>
  <r>
    <n v="972"/>
    <x v="67"/>
    <n v="-52"/>
    <x v="587"/>
    <n v="1321"/>
    <n v="284"/>
    <x v="0"/>
    <x v="1"/>
    <n v="74"/>
    <x v="1"/>
    <x v="3"/>
    <x v="7"/>
    <x v="105"/>
    <x v="135"/>
    <x v="1"/>
    <n v="280"/>
    <n v="340"/>
    <n v="240"/>
    <n v="620"/>
    <n v="96"/>
    <x v="1"/>
    <n v="0.35809523809523808"/>
    <n v="0.54095238095238096"/>
    <n v="22"/>
  </r>
  <r>
    <n v="972"/>
    <x v="56"/>
    <n v="23"/>
    <x v="588"/>
    <n v="959"/>
    <n v="179"/>
    <x v="0"/>
    <x v="1"/>
    <n v="34"/>
    <x v="1"/>
    <x v="2"/>
    <x v="8"/>
    <x v="99"/>
    <x v="125"/>
    <x v="1"/>
    <n v="90"/>
    <n v="140"/>
    <n v="110"/>
    <n v="230"/>
    <n v="46"/>
    <x v="1"/>
    <n v="0.44039735099337746"/>
    <n v="0.5927152317880795"/>
    <n v="12"/>
  </r>
  <r>
    <n v="505"/>
    <x v="32"/>
    <n v="-24"/>
    <x v="589"/>
    <n v="1898"/>
    <n v="68"/>
    <x v="1"/>
    <x v="1"/>
    <n v="28"/>
    <x v="1"/>
    <x v="3"/>
    <x v="5"/>
    <x v="38"/>
    <x v="42"/>
    <x v="17"/>
    <n v="100"/>
    <n v="90"/>
    <n v="40"/>
    <n v="190"/>
    <n v="52"/>
    <x v="0"/>
    <n v="0.1"/>
    <n v="0.42499999999999999"/>
    <n v="24"/>
  </r>
  <r>
    <n v="405"/>
    <x v="63"/>
    <n v="12"/>
    <x v="590"/>
    <n v="817"/>
    <n v="133"/>
    <x v="1"/>
    <x v="1"/>
    <n v="29"/>
    <x v="1"/>
    <x v="2"/>
    <x v="4"/>
    <x v="106"/>
    <x v="136"/>
    <x v="6"/>
    <n v="60"/>
    <n v="110"/>
    <n v="60"/>
    <n v="170"/>
    <n v="61"/>
    <x v="0"/>
    <n v="0.32579185520361992"/>
    <n v="0.60180995475113119"/>
    <n v="32"/>
  </r>
  <r>
    <n v="318"/>
    <x v="10"/>
    <n v="-24"/>
    <x v="591"/>
    <n v="845"/>
    <n v="71"/>
    <x v="1"/>
    <x v="1"/>
    <n v="13"/>
    <x v="1"/>
    <x v="3"/>
    <x v="7"/>
    <x v="43"/>
    <x v="10"/>
    <x v="10"/>
    <n v="50"/>
    <n v="90"/>
    <n v="70"/>
    <n v="140"/>
    <n v="25"/>
    <x v="1"/>
    <n v="0.38333333333333336"/>
    <n v="0.59166666666666667"/>
    <n v="12"/>
  </r>
  <r>
    <n v="505"/>
    <x v="15"/>
    <n v="-23"/>
    <x v="592"/>
    <n v="462"/>
    <n v="74"/>
    <x v="1"/>
    <x v="1"/>
    <n v="15"/>
    <x v="1"/>
    <x v="3"/>
    <x v="7"/>
    <x v="22"/>
    <x v="0"/>
    <x v="17"/>
    <n v="50"/>
    <n v="90"/>
    <n v="50"/>
    <n v="140"/>
    <n v="47"/>
    <x v="1"/>
    <n v="0.22131147540983606"/>
    <n v="0.60655737704918034"/>
    <n v="32"/>
  </r>
  <r>
    <n v="405"/>
    <x v="68"/>
    <n v="-34"/>
    <x v="593"/>
    <n v="551"/>
    <n v="104"/>
    <x v="1"/>
    <x v="1"/>
    <n v="26"/>
    <x v="1"/>
    <x v="3"/>
    <x v="7"/>
    <x v="107"/>
    <x v="86"/>
    <x v="6"/>
    <n v="90"/>
    <n v="130"/>
    <n v="100"/>
    <n v="220"/>
    <n v="38"/>
    <x v="1"/>
    <n v="0.35675675675675678"/>
    <n v="0.56216216216216219"/>
    <n v="12"/>
  </r>
  <r>
    <n v="505"/>
    <x v="54"/>
    <n v="-5"/>
    <x v="594"/>
    <n v="-598"/>
    <n v="25"/>
    <x v="1"/>
    <x v="1"/>
    <n v="7"/>
    <x v="1"/>
    <x v="2"/>
    <x v="9"/>
    <x v="108"/>
    <x v="117"/>
    <x v="17"/>
    <n v="10"/>
    <n v="20"/>
    <n v="-10"/>
    <n v="30"/>
    <n v="40"/>
    <x v="1"/>
    <n v="-0.33333333333333331"/>
    <n v="0.55555555555555558"/>
    <n v="33"/>
  </r>
  <r>
    <n v="918"/>
    <x v="69"/>
    <n v="31"/>
    <x v="595"/>
    <n v="-2248"/>
    <n v="186"/>
    <x v="1"/>
    <x v="1"/>
    <n v="41"/>
    <x v="1"/>
    <x v="2"/>
    <x v="9"/>
    <x v="109"/>
    <x v="137"/>
    <x v="6"/>
    <n v="100"/>
    <n v="140"/>
    <n v="90"/>
    <n v="240"/>
    <n v="65"/>
    <x v="1"/>
    <n v="0.37812499999999999"/>
    <n v="0.58125000000000004"/>
    <n v="24"/>
  </r>
  <r>
    <n v="225"/>
    <x v="66"/>
    <n v="7"/>
    <x v="596"/>
    <n v="540"/>
    <n v="120"/>
    <x v="1"/>
    <x v="1"/>
    <n v="31"/>
    <x v="0"/>
    <x v="0"/>
    <x v="10"/>
    <x v="61"/>
    <x v="138"/>
    <x v="10"/>
    <n v="80"/>
    <n v="110"/>
    <n v="70"/>
    <n v="190"/>
    <n v="43"/>
    <x v="0"/>
    <n v="0.35981308411214952"/>
    <n v="0.56074766355140182"/>
    <n v="12"/>
  </r>
  <r>
    <n v="505"/>
    <x v="53"/>
    <n v="-1"/>
    <x v="597"/>
    <n v="851"/>
    <n v="25"/>
    <x v="1"/>
    <x v="1"/>
    <n v="4"/>
    <x v="0"/>
    <x v="0"/>
    <x v="10"/>
    <x v="76"/>
    <x v="116"/>
    <x v="17"/>
    <n v="10"/>
    <n v="20"/>
    <n v="10"/>
    <n v="30"/>
    <n v="16"/>
    <x v="0"/>
    <n v="0.21951219512195122"/>
    <n v="0.6097560975609756"/>
    <n v="12"/>
  </r>
  <r>
    <n v="580"/>
    <x v="70"/>
    <n v="-10"/>
    <x v="598"/>
    <n v="716"/>
    <n v="145"/>
    <x v="1"/>
    <x v="1"/>
    <n v="95"/>
    <x v="0"/>
    <x v="0"/>
    <x v="0"/>
    <x v="30"/>
    <x v="139"/>
    <x v="6"/>
    <n v="90"/>
    <n v="140"/>
    <n v="30"/>
    <n v="230"/>
    <n v="125"/>
    <x v="0"/>
    <n v="0.08"/>
    <n v="0.57999999999999996"/>
    <n v="30"/>
  </r>
  <r>
    <n v="281"/>
    <x v="31"/>
    <n v="-41"/>
    <x v="599"/>
    <n v="541"/>
    <n v="51"/>
    <x v="0"/>
    <x v="1"/>
    <n v="12"/>
    <x v="1"/>
    <x v="3"/>
    <x v="5"/>
    <x v="40"/>
    <x v="62"/>
    <x v="1"/>
    <n v="40"/>
    <n v="90"/>
    <n v="80"/>
    <n v="130"/>
    <n v="25"/>
    <x v="0"/>
    <n v="0.40625"/>
    <n v="0.59375"/>
    <n v="13"/>
  </r>
  <r>
    <n v="432"/>
    <x v="55"/>
    <n v="-65"/>
    <x v="600"/>
    <n v="1246"/>
    <n v="281"/>
    <x v="0"/>
    <x v="1"/>
    <n v="74"/>
    <x v="1"/>
    <x v="3"/>
    <x v="7"/>
    <x v="110"/>
    <x v="140"/>
    <x v="1"/>
    <n v="350"/>
    <n v="420"/>
    <n v="340"/>
    <n v="770"/>
    <n v="96"/>
    <x v="1"/>
    <n v="0.49638989169675091"/>
    <n v="0.56859205776173283"/>
    <n v="22"/>
  </r>
  <r>
    <n v="817"/>
    <x v="56"/>
    <n v="97"/>
    <x v="601"/>
    <n v="915"/>
    <n v="179"/>
    <x v="0"/>
    <x v="1"/>
    <n v="34"/>
    <x v="1"/>
    <x v="2"/>
    <x v="8"/>
    <x v="111"/>
    <x v="141"/>
    <x v="1"/>
    <n v="70"/>
    <n v="120"/>
    <n v="100"/>
    <n v="190"/>
    <n v="46"/>
    <x v="1"/>
    <n v="0.61180124223602483"/>
    <n v="0.61801242236024845"/>
    <n v="12"/>
  </r>
  <r>
    <n v="985"/>
    <x v="15"/>
    <n v="-13"/>
    <x v="602"/>
    <n v="851"/>
    <n v="70"/>
    <x v="1"/>
    <x v="1"/>
    <n v="13"/>
    <x v="1"/>
    <x v="3"/>
    <x v="5"/>
    <x v="49"/>
    <x v="53"/>
    <x v="10"/>
    <n v="70"/>
    <n v="90"/>
    <n v="80"/>
    <n v="160"/>
    <n v="25"/>
    <x v="0"/>
    <n v="0.53174603174603174"/>
    <n v="0.61904761904761907"/>
    <n v="12"/>
  </r>
  <r>
    <n v="337"/>
    <x v="15"/>
    <n v="-10"/>
    <x v="603"/>
    <n v="829"/>
    <n v="71"/>
    <x v="1"/>
    <x v="1"/>
    <n v="13"/>
    <x v="1"/>
    <x v="3"/>
    <x v="7"/>
    <x v="50"/>
    <x v="35"/>
    <x v="10"/>
    <n v="70"/>
    <n v="90"/>
    <n v="80"/>
    <n v="160"/>
    <n v="24"/>
    <x v="1"/>
    <n v="0.55118110236220474"/>
    <n v="0.62204724409448819"/>
    <n v="11"/>
  </r>
  <r>
    <n v="505"/>
    <x v="11"/>
    <n v="-46"/>
    <x v="604"/>
    <n v="447"/>
    <n v="69"/>
    <x v="1"/>
    <x v="1"/>
    <n v="14"/>
    <x v="1"/>
    <x v="3"/>
    <x v="7"/>
    <x v="28"/>
    <x v="26"/>
    <x v="17"/>
    <n v="50"/>
    <n v="110"/>
    <n v="80"/>
    <n v="160"/>
    <n v="46"/>
    <x v="1"/>
    <n v="0.28099173553719009"/>
    <n v="0.62809917355371903"/>
    <n v="32"/>
  </r>
  <r>
    <n v="918"/>
    <x v="57"/>
    <n v="-30"/>
    <x v="605"/>
    <n v="572"/>
    <n v="115"/>
    <x v="1"/>
    <x v="1"/>
    <n v="29"/>
    <x v="1"/>
    <x v="3"/>
    <x v="7"/>
    <x v="112"/>
    <x v="18"/>
    <x v="6"/>
    <n v="130"/>
    <n v="160"/>
    <n v="140"/>
    <n v="290"/>
    <n v="41"/>
    <x v="1"/>
    <n v="0.50458715596330272"/>
    <n v="0.58715596330275233"/>
    <n v="12"/>
  </r>
  <r>
    <n v="505"/>
    <x v="51"/>
    <n v="-28"/>
    <x v="606"/>
    <n v="-466"/>
    <n v="31"/>
    <x v="1"/>
    <x v="1"/>
    <n v="9"/>
    <x v="1"/>
    <x v="2"/>
    <x v="9"/>
    <x v="90"/>
    <x v="94"/>
    <x v="17"/>
    <n v="10"/>
    <n v="20"/>
    <n v="10"/>
    <n v="30"/>
    <n v="43"/>
    <x v="1"/>
    <n v="-0.3"/>
    <n v="0.58333333333333337"/>
    <n v="34"/>
  </r>
  <r>
    <n v="318"/>
    <x v="58"/>
    <n v="19"/>
    <x v="607"/>
    <n v="564"/>
    <n v="133"/>
    <x v="1"/>
    <x v="1"/>
    <n v="33"/>
    <x v="0"/>
    <x v="0"/>
    <x v="10"/>
    <x v="113"/>
    <x v="142"/>
    <x v="10"/>
    <n v="80"/>
    <n v="130"/>
    <n v="110"/>
    <n v="210"/>
    <n v="46"/>
    <x v="0"/>
    <n v="0.51394422310756971"/>
    <n v="0.58964143426294824"/>
    <n v="13"/>
  </r>
  <r>
    <n v="225"/>
    <x v="38"/>
    <n v="-10"/>
    <x v="608"/>
    <n v="593"/>
    <n v="98"/>
    <x v="1"/>
    <x v="1"/>
    <n v="30"/>
    <x v="0"/>
    <x v="0"/>
    <x v="0"/>
    <x v="35"/>
    <x v="90"/>
    <x v="10"/>
    <n v="60"/>
    <n v="90"/>
    <n v="60"/>
    <n v="150"/>
    <n v="64"/>
    <x v="0"/>
    <n v="0.26455026455026454"/>
    <n v="0.58201058201058198"/>
    <n v="34"/>
  </r>
  <r>
    <n v="918"/>
    <x v="59"/>
    <n v="-15"/>
    <x v="609"/>
    <n v="683"/>
    <n v="134"/>
    <x v="1"/>
    <x v="1"/>
    <n v="87"/>
    <x v="0"/>
    <x v="0"/>
    <x v="0"/>
    <x v="65"/>
    <x v="132"/>
    <x v="6"/>
    <n v="80"/>
    <n v="120"/>
    <n v="40"/>
    <n v="200"/>
    <n v="117"/>
    <x v="0"/>
    <n v="0.10204081632653061"/>
    <n v="0.60816326530612241"/>
    <n v="30"/>
  </r>
  <r>
    <n v="432"/>
    <x v="60"/>
    <n v="28"/>
    <x v="610"/>
    <n v="1272"/>
    <n v="265"/>
    <x v="0"/>
    <x v="1"/>
    <n v="69"/>
    <x v="1"/>
    <x v="3"/>
    <x v="7"/>
    <x v="114"/>
    <x v="143"/>
    <x v="1"/>
    <n v="260"/>
    <n v="320"/>
    <n v="230"/>
    <n v="580"/>
    <n v="91"/>
    <x v="1"/>
    <n v="0.4942528735632184"/>
    <n v="0.56896551724137934"/>
    <n v="22"/>
  </r>
  <r>
    <n v="806"/>
    <x v="19"/>
    <n v="48"/>
    <x v="611"/>
    <n v="-1050"/>
    <n v="114"/>
    <x v="0"/>
    <x v="1"/>
    <n v="24"/>
    <x v="1"/>
    <x v="2"/>
    <x v="9"/>
    <x v="97"/>
    <x v="123"/>
    <x v="1"/>
    <n v="50"/>
    <n v="90"/>
    <n v="40"/>
    <n v="140"/>
    <n v="55"/>
    <x v="1"/>
    <n v="0.43781094527363185"/>
    <n v="0.62686567164179108"/>
    <n v="31"/>
  </r>
  <r>
    <n v="915"/>
    <x v="61"/>
    <n v="88"/>
    <x v="612"/>
    <n v="930"/>
    <n v="172"/>
    <x v="0"/>
    <x v="1"/>
    <n v="33"/>
    <x v="1"/>
    <x v="2"/>
    <x v="8"/>
    <x v="105"/>
    <x v="144"/>
    <x v="1"/>
    <n v="90"/>
    <n v="130"/>
    <n v="100"/>
    <n v="220"/>
    <n v="45"/>
    <x v="1"/>
    <n v="0.60841423948220064"/>
    <n v="0.6181229773462783"/>
    <n v="12"/>
  </r>
  <r>
    <n v="580"/>
    <x v="62"/>
    <n v="52"/>
    <x v="613"/>
    <n v="798"/>
    <n v="119"/>
    <x v="1"/>
    <x v="1"/>
    <n v="25"/>
    <x v="1"/>
    <x v="2"/>
    <x v="4"/>
    <x v="115"/>
    <x v="145"/>
    <x v="6"/>
    <n v="60"/>
    <n v="90"/>
    <n v="40"/>
    <n v="150"/>
    <n v="57"/>
    <x v="0"/>
    <n v="0.43809523809523809"/>
    <n v="0.62857142857142856"/>
    <n v="32"/>
  </r>
  <r>
    <n v="918"/>
    <x v="63"/>
    <n v="15"/>
    <x v="614"/>
    <n v="561"/>
    <n v="112"/>
    <x v="1"/>
    <x v="1"/>
    <n v="29"/>
    <x v="1"/>
    <x v="3"/>
    <x v="7"/>
    <x v="116"/>
    <x v="146"/>
    <x v="6"/>
    <n v="100"/>
    <n v="130"/>
    <n v="90"/>
    <n v="230"/>
    <n v="41"/>
    <x v="1"/>
    <n v="0.49295774647887325"/>
    <n v="0.58685446009389675"/>
    <n v="12"/>
  </r>
  <r>
    <n v="405"/>
    <x v="64"/>
    <n v="72"/>
    <x v="615"/>
    <n v="-2003"/>
    <n v="143"/>
    <x v="1"/>
    <x v="1"/>
    <n v="31"/>
    <x v="1"/>
    <x v="2"/>
    <x v="9"/>
    <x v="117"/>
    <x v="147"/>
    <x v="6"/>
    <n v="80"/>
    <n v="100"/>
    <n v="60"/>
    <n v="180"/>
    <n v="54"/>
    <x v="1"/>
    <n v="0.50574712643678166"/>
    <n v="0.60919540229885061"/>
    <n v="23"/>
  </r>
  <r>
    <n v="985"/>
    <x v="65"/>
    <n v="46"/>
    <x v="616"/>
    <n v="552"/>
    <n v="130"/>
    <x v="1"/>
    <x v="1"/>
    <n v="33"/>
    <x v="0"/>
    <x v="0"/>
    <x v="10"/>
    <x v="118"/>
    <x v="148"/>
    <x v="10"/>
    <n v="90"/>
    <n v="120"/>
    <n v="80"/>
    <n v="210"/>
    <n v="45"/>
    <x v="0"/>
    <n v="0.51219512195121952"/>
    <n v="0.58943089430894313"/>
    <n v="12"/>
  </r>
  <r>
    <n v="505"/>
    <x v="52"/>
    <n v="3"/>
    <x v="617"/>
    <n v="848"/>
    <n v="24"/>
    <x v="1"/>
    <x v="1"/>
    <n v="4"/>
    <x v="0"/>
    <x v="0"/>
    <x v="10"/>
    <x v="32"/>
    <x v="120"/>
    <x v="17"/>
    <n v="10"/>
    <n v="20"/>
    <n v="10"/>
    <n v="30"/>
    <n v="15"/>
    <x v="0"/>
    <n v="0.30952380952380953"/>
    <n v="0.6428571428571429"/>
    <n v="11"/>
  </r>
  <r>
    <n v="337"/>
    <x v="16"/>
    <n v="16"/>
    <x v="618"/>
    <n v="601"/>
    <n v="102"/>
    <x v="1"/>
    <x v="1"/>
    <n v="31"/>
    <x v="0"/>
    <x v="0"/>
    <x v="0"/>
    <x v="4"/>
    <x v="109"/>
    <x v="10"/>
    <n v="70"/>
    <n v="100"/>
    <n v="40"/>
    <n v="170"/>
    <n v="64"/>
    <x v="0"/>
    <n v="0.2857142857142857"/>
    <n v="0.58163265306122447"/>
    <n v="33"/>
  </r>
  <r>
    <n v="405"/>
    <x v="66"/>
    <n v="2"/>
    <x v="619"/>
    <n v="694"/>
    <n v="130"/>
    <x v="1"/>
    <x v="1"/>
    <n v="85"/>
    <x v="0"/>
    <x v="0"/>
    <x v="0"/>
    <x v="57"/>
    <x v="149"/>
    <x v="6"/>
    <n v="80"/>
    <n v="120"/>
    <n v="20"/>
    <n v="200"/>
    <n v="115"/>
    <x v="0"/>
    <n v="9.2050209205020925E-2"/>
    <n v="0.60669456066945604"/>
    <n v="30"/>
  </r>
  <r>
    <n v="409"/>
    <x v="67"/>
    <n v="39"/>
    <x v="620"/>
    <n v="1321"/>
    <n v="284"/>
    <x v="0"/>
    <x v="1"/>
    <n v="74"/>
    <x v="1"/>
    <x v="3"/>
    <x v="7"/>
    <x v="119"/>
    <x v="150"/>
    <x v="1"/>
    <n v="280"/>
    <n v="340"/>
    <n v="240"/>
    <n v="620"/>
    <n v="96"/>
    <x v="1"/>
    <n v="0.49910554561717352"/>
    <n v="0.56887298747763859"/>
    <n v="22"/>
  </r>
  <r>
    <n v="254"/>
    <x v="56"/>
    <n v="87"/>
    <x v="621"/>
    <n v="959"/>
    <n v="179"/>
    <x v="0"/>
    <x v="1"/>
    <n v="34"/>
    <x v="1"/>
    <x v="2"/>
    <x v="8"/>
    <x v="111"/>
    <x v="141"/>
    <x v="1"/>
    <n v="90"/>
    <n v="140"/>
    <n v="110"/>
    <n v="230"/>
    <n v="46"/>
    <x v="1"/>
    <n v="0.61180124223602483"/>
    <n v="0.61801242236024845"/>
    <n v="12"/>
  </r>
  <r>
    <n v="505"/>
    <x v="32"/>
    <n v="-16"/>
    <x v="622"/>
    <n v="1898"/>
    <n v="68"/>
    <x v="1"/>
    <x v="1"/>
    <n v="28"/>
    <x v="1"/>
    <x v="3"/>
    <x v="5"/>
    <x v="10"/>
    <x v="72"/>
    <x v="17"/>
    <n v="100"/>
    <n v="90"/>
    <n v="40"/>
    <n v="190"/>
    <n v="52"/>
    <x v="0"/>
    <n v="0.14035087719298245"/>
    <n v="0.46198830409356723"/>
    <n v="24"/>
  </r>
  <r>
    <n v="918"/>
    <x v="63"/>
    <n v="47"/>
    <x v="623"/>
    <n v="817"/>
    <n v="133"/>
    <x v="1"/>
    <x v="1"/>
    <n v="29"/>
    <x v="1"/>
    <x v="2"/>
    <x v="4"/>
    <x v="120"/>
    <x v="126"/>
    <x v="6"/>
    <n v="60"/>
    <n v="110"/>
    <n v="60"/>
    <n v="170"/>
    <n v="61"/>
    <x v="0"/>
    <n v="0.45338983050847459"/>
    <n v="0.6271186440677966"/>
    <n v="32"/>
  </r>
  <r>
    <n v="985"/>
    <x v="10"/>
    <n v="-2"/>
    <x v="624"/>
    <n v="845"/>
    <n v="71"/>
    <x v="1"/>
    <x v="1"/>
    <n v="13"/>
    <x v="1"/>
    <x v="3"/>
    <x v="7"/>
    <x v="88"/>
    <x v="51"/>
    <x v="10"/>
    <n v="50"/>
    <n v="90"/>
    <n v="70"/>
    <n v="140"/>
    <n v="25"/>
    <x v="1"/>
    <n v="0.53125"/>
    <n v="0.6171875"/>
    <n v="12"/>
  </r>
  <r>
    <n v="505"/>
    <x v="15"/>
    <n v="-10"/>
    <x v="625"/>
    <n v="462"/>
    <n v="74"/>
    <x v="1"/>
    <x v="1"/>
    <n v="15"/>
    <x v="1"/>
    <x v="3"/>
    <x v="7"/>
    <x v="54"/>
    <x v="45"/>
    <x v="17"/>
    <n v="50"/>
    <n v="90"/>
    <n v="50"/>
    <n v="140"/>
    <n v="47"/>
    <x v="1"/>
    <n v="0.30769230769230771"/>
    <n v="0.63076923076923075"/>
    <n v="32"/>
  </r>
  <r>
    <n v="580"/>
    <x v="68"/>
    <n v="-2"/>
    <x v="626"/>
    <n v="551"/>
    <n v="104"/>
    <x v="1"/>
    <x v="1"/>
    <n v="26"/>
    <x v="1"/>
    <x v="3"/>
    <x v="7"/>
    <x v="121"/>
    <x v="130"/>
    <x v="6"/>
    <n v="90"/>
    <n v="130"/>
    <n v="100"/>
    <n v="220"/>
    <n v="38"/>
    <x v="1"/>
    <n v="0.49746192893401014"/>
    <n v="0.58883248730964466"/>
    <n v="12"/>
  </r>
  <r>
    <n v="505"/>
    <x v="54"/>
    <n v="-12"/>
    <x v="627"/>
    <n v="-598"/>
    <n v="25"/>
    <x v="1"/>
    <x v="1"/>
    <n v="7"/>
    <x v="1"/>
    <x v="2"/>
    <x v="9"/>
    <x v="122"/>
    <x v="122"/>
    <x v="17"/>
    <n v="10"/>
    <n v="20"/>
    <n v="-10"/>
    <n v="30"/>
    <n v="40"/>
    <x v="1"/>
    <n v="-0.45833333333333331"/>
    <n v="0.58333333333333337"/>
    <n v="33"/>
  </r>
  <r>
    <n v="918"/>
    <x v="69"/>
    <n v="90"/>
    <x v="628"/>
    <n v="-2248"/>
    <n v="186"/>
    <x v="1"/>
    <x v="1"/>
    <n v="41"/>
    <x v="1"/>
    <x v="2"/>
    <x v="9"/>
    <x v="123"/>
    <x v="151"/>
    <x v="6"/>
    <n v="100"/>
    <n v="140"/>
    <n v="90"/>
    <n v="240"/>
    <n v="65"/>
    <x v="1"/>
    <n v="0.52785923753665687"/>
    <n v="0.60703812316715544"/>
    <n v="24"/>
  </r>
  <r>
    <n v="985"/>
    <x v="66"/>
    <n v="44"/>
    <x v="629"/>
    <n v="540"/>
    <n v="120"/>
    <x v="1"/>
    <x v="1"/>
    <n v="31"/>
    <x v="0"/>
    <x v="0"/>
    <x v="10"/>
    <x v="124"/>
    <x v="152"/>
    <x v="10"/>
    <n v="80"/>
    <n v="110"/>
    <n v="70"/>
    <n v="190"/>
    <n v="43"/>
    <x v="0"/>
    <n v="0.5"/>
    <n v="0.58771929824561409"/>
    <n v="12"/>
  </r>
  <r>
    <n v="505"/>
    <x v="53"/>
    <n v="3"/>
    <x v="630"/>
    <n v="851"/>
    <n v="25"/>
    <x v="1"/>
    <x v="1"/>
    <n v="4"/>
    <x v="0"/>
    <x v="0"/>
    <x v="10"/>
    <x v="32"/>
    <x v="121"/>
    <x v="17"/>
    <n v="10"/>
    <n v="20"/>
    <n v="10"/>
    <n v="30"/>
    <n v="16"/>
    <x v="0"/>
    <n v="0.29545454545454547"/>
    <n v="0.63636363636363635"/>
    <n v="12"/>
  </r>
  <r>
    <n v="580"/>
    <x v="70"/>
    <n v="0"/>
    <x v="631"/>
    <n v="716"/>
    <n v="145"/>
    <x v="1"/>
    <x v="1"/>
    <n v="95"/>
    <x v="0"/>
    <x v="0"/>
    <x v="0"/>
    <x v="27"/>
    <x v="153"/>
    <x v="6"/>
    <n v="90"/>
    <n v="140"/>
    <n v="30"/>
    <n v="230"/>
    <n v="125"/>
    <x v="0"/>
    <n v="0.11278195488721804"/>
    <n v="0.60526315789473684"/>
    <n v="30"/>
  </r>
  <r>
    <n v="860"/>
    <x v="71"/>
    <n v="-15"/>
    <x v="632"/>
    <n v="1119"/>
    <n v="188"/>
    <x v="1"/>
    <x v="2"/>
    <n v="41"/>
    <x v="1"/>
    <x v="3"/>
    <x v="7"/>
    <x v="125"/>
    <x v="154"/>
    <x v="5"/>
    <n v="100"/>
    <n v="160"/>
    <n v="130"/>
    <n v="260"/>
    <n v="73"/>
    <x v="1"/>
    <n v="0.36741214057507987"/>
    <n v="0.60063897763578278"/>
    <n v="32"/>
  </r>
  <r>
    <n v="203"/>
    <x v="12"/>
    <n v="-39"/>
    <x v="633"/>
    <n v="606"/>
    <n v="84"/>
    <x v="1"/>
    <x v="2"/>
    <n v="54"/>
    <x v="1"/>
    <x v="2"/>
    <x v="8"/>
    <x v="12"/>
    <x v="13"/>
    <x v="5"/>
    <n v="40"/>
    <n v="90"/>
    <n v="40"/>
    <n v="130"/>
    <n v="83"/>
    <x v="1"/>
    <n v="6.9444444444444441E-3"/>
    <n v="0.58333333333333337"/>
    <n v="29"/>
  </r>
  <r>
    <n v="203"/>
    <x v="72"/>
    <n v="-8"/>
    <x v="634"/>
    <n v="1134"/>
    <n v="195"/>
    <x v="1"/>
    <x v="2"/>
    <n v="42"/>
    <x v="1"/>
    <x v="3"/>
    <x v="7"/>
    <x v="126"/>
    <x v="155"/>
    <x v="5"/>
    <n v="110"/>
    <n v="180"/>
    <n v="130"/>
    <n v="290"/>
    <n v="73"/>
    <x v="1"/>
    <n v="0.37538461538461537"/>
    <n v="0.6"/>
    <n v="31"/>
  </r>
  <r>
    <n v="203"/>
    <x v="73"/>
    <n v="-5"/>
    <x v="635"/>
    <n v="1166"/>
    <n v="174"/>
    <x v="1"/>
    <x v="2"/>
    <n v="37"/>
    <x v="1"/>
    <x v="3"/>
    <x v="7"/>
    <x v="116"/>
    <x v="156"/>
    <x v="5"/>
    <n v="100"/>
    <n v="160"/>
    <n v="110"/>
    <n v="260"/>
    <n v="69"/>
    <x v="1"/>
    <n v="0.36332179930795849"/>
    <n v="0.60207612456747406"/>
    <n v="32"/>
  </r>
  <r>
    <n v="203"/>
    <x v="71"/>
    <n v="41"/>
    <x v="636"/>
    <n v="1119"/>
    <n v="188"/>
    <x v="1"/>
    <x v="2"/>
    <n v="41"/>
    <x v="1"/>
    <x v="3"/>
    <x v="7"/>
    <x v="127"/>
    <x v="157"/>
    <x v="5"/>
    <n v="100"/>
    <n v="160"/>
    <n v="130"/>
    <n v="260"/>
    <n v="73"/>
    <x v="1"/>
    <n v="0.5119760479041916"/>
    <n v="0.62574850299401197"/>
    <n v="32"/>
  </r>
  <r>
    <n v="959"/>
    <x v="12"/>
    <n v="-39"/>
    <x v="637"/>
    <n v="606"/>
    <n v="84"/>
    <x v="1"/>
    <x v="2"/>
    <n v="54"/>
    <x v="1"/>
    <x v="2"/>
    <x v="8"/>
    <x v="12"/>
    <x v="43"/>
    <x v="5"/>
    <n v="40"/>
    <n v="90"/>
    <n v="40"/>
    <n v="130"/>
    <n v="83"/>
    <x v="1"/>
    <n v="6.5359477124183009E-3"/>
    <n v="0.60784313725490191"/>
    <n v="29"/>
  </r>
  <r>
    <n v="203"/>
    <x v="72"/>
    <n v="51"/>
    <x v="638"/>
    <n v="1134"/>
    <n v="195"/>
    <x v="1"/>
    <x v="2"/>
    <n v="42"/>
    <x v="1"/>
    <x v="3"/>
    <x v="7"/>
    <x v="128"/>
    <x v="158"/>
    <x v="5"/>
    <n v="110"/>
    <n v="180"/>
    <n v="130"/>
    <n v="290"/>
    <n v="73"/>
    <x v="1"/>
    <n v="0.52312138728323698"/>
    <n v="0.62427745664739887"/>
    <n v="31"/>
  </r>
  <r>
    <n v="959"/>
    <x v="73"/>
    <n v="46"/>
    <x v="639"/>
    <n v="1166"/>
    <n v="174"/>
    <x v="1"/>
    <x v="2"/>
    <n v="37"/>
    <x v="1"/>
    <x v="3"/>
    <x v="7"/>
    <x v="129"/>
    <x v="159"/>
    <x v="5"/>
    <n v="100"/>
    <n v="160"/>
    <n v="110"/>
    <n v="260"/>
    <n v="69"/>
    <x v="1"/>
    <n v="0.50649350649350644"/>
    <n v="0.62662337662337664"/>
    <n v="32"/>
  </r>
  <r>
    <n v="561"/>
    <x v="17"/>
    <n v="-14"/>
    <x v="640"/>
    <n v="656"/>
    <n v="127"/>
    <x v="0"/>
    <x v="2"/>
    <n v="28"/>
    <x v="1"/>
    <x v="3"/>
    <x v="5"/>
    <x v="20"/>
    <x v="18"/>
    <x v="2"/>
    <n v="70"/>
    <n v="110"/>
    <n v="90"/>
    <n v="180"/>
    <n v="51"/>
    <x v="0"/>
    <n v="0.34862385321100919"/>
    <n v="0.58256880733944949"/>
    <n v="23"/>
  </r>
  <r>
    <n v="239"/>
    <x v="42"/>
    <n v="-30"/>
    <x v="641"/>
    <n v="547"/>
    <n v="116"/>
    <x v="0"/>
    <x v="2"/>
    <n v="28"/>
    <x v="1"/>
    <x v="2"/>
    <x v="4"/>
    <x v="130"/>
    <x v="160"/>
    <x v="2"/>
    <n v="70"/>
    <n v="110"/>
    <n v="90"/>
    <n v="180"/>
    <n v="56"/>
    <x v="0"/>
    <n v="0.29702970297029702"/>
    <n v="0.57425742574257421"/>
    <n v="28"/>
  </r>
  <r>
    <n v="407"/>
    <x v="16"/>
    <n v="-26"/>
    <x v="642"/>
    <n v="788"/>
    <n v="123"/>
    <x v="0"/>
    <x v="2"/>
    <n v="27"/>
    <x v="1"/>
    <x v="3"/>
    <x v="7"/>
    <x v="19"/>
    <x v="17"/>
    <x v="2"/>
    <n v="60"/>
    <n v="110"/>
    <n v="90"/>
    <n v="170"/>
    <n v="59"/>
    <x v="1"/>
    <n v="0.31219512195121951"/>
    <n v="0.6"/>
    <n v="32"/>
  </r>
  <r>
    <n v="857"/>
    <x v="4"/>
    <n v="18"/>
    <x v="643"/>
    <n v="-3004"/>
    <n v="402"/>
    <x v="0"/>
    <x v="2"/>
    <n v="23"/>
    <x v="1"/>
    <x v="3"/>
    <x v="7"/>
    <x v="131"/>
    <x v="161"/>
    <x v="15"/>
    <n v="50"/>
    <n v="350"/>
    <n v="330"/>
    <n v="400"/>
    <n v="54"/>
    <x v="1"/>
    <n v="0.73417721518987344"/>
    <n v="0.84810126582278478"/>
    <n v="31"/>
  </r>
  <r>
    <n v="315"/>
    <x v="74"/>
    <n v="17"/>
    <x v="644"/>
    <n v="2548"/>
    <n v="390"/>
    <x v="0"/>
    <x v="2"/>
    <n v="91"/>
    <x v="1"/>
    <x v="3"/>
    <x v="7"/>
    <x v="132"/>
    <x v="162"/>
    <x v="19"/>
    <n v="210"/>
    <n v="330"/>
    <n v="230"/>
    <n v="540"/>
    <n v="143"/>
    <x v="1"/>
    <n v="0.38"/>
    <n v="0.6"/>
    <n v="52"/>
  </r>
  <r>
    <n v="239"/>
    <x v="59"/>
    <n v="-32"/>
    <x v="645"/>
    <n v="683"/>
    <n v="134"/>
    <x v="0"/>
    <x v="2"/>
    <n v="87"/>
    <x v="1"/>
    <x v="2"/>
    <x v="8"/>
    <x v="47"/>
    <x v="127"/>
    <x v="2"/>
    <n v="80"/>
    <n v="130"/>
    <n v="50"/>
    <n v="210"/>
    <n v="116"/>
    <x v="1"/>
    <n v="7.8260869565217397E-2"/>
    <n v="0.58260869565217388"/>
    <n v="29"/>
  </r>
  <r>
    <n v="845"/>
    <x v="71"/>
    <n v="-32"/>
    <x v="646"/>
    <n v="3142"/>
    <n v="-56"/>
    <x v="0"/>
    <x v="2"/>
    <n v="113"/>
    <x v="1"/>
    <x v="2"/>
    <x v="8"/>
    <x v="133"/>
    <x v="85"/>
    <x v="19"/>
    <n v="110"/>
    <n v="-60"/>
    <n v="-170"/>
    <n v="50"/>
    <n v="146"/>
    <x v="1"/>
    <n v="-2.9275362318840581"/>
    <n v="-0.81159420289855078"/>
    <n v="33"/>
  </r>
  <r>
    <n v="781"/>
    <x v="75"/>
    <n v="-28"/>
    <x v="647"/>
    <n v="1267"/>
    <n v="161"/>
    <x v="0"/>
    <x v="2"/>
    <n v="45"/>
    <x v="1"/>
    <x v="2"/>
    <x v="12"/>
    <x v="115"/>
    <x v="141"/>
    <x v="15"/>
    <n v="140"/>
    <n v="160"/>
    <n v="120"/>
    <n v="300"/>
    <n v="69"/>
    <x v="1"/>
    <n v="0.2857142857142857"/>
    <n v="0.5"/>
    <n v="24"/>
  </r>
  <r>
    <n v="718"/>
    <x v="55"/>
    <n v="-15"/>
    <x v="648"/>
    <n v="1197"/>
    <n v="526"/>
    <x v="0"/>
    <x v="2"/>
    <n v="66"/>
    <x v="1"/>
    <x v="2"/>
    <x v="12"/>
    <x v="134"/>
    <x v="163"/>
    <x v="19"/>
    <n v="210"/>
    <n v="510"/>
    <n v="450"/>
    <n v="720"/>
    <n v="91"/>
    <x v="1"/>
    <n v="0.56862745098039214"/>
    <n v="0.68758169934640523"/>
    <n v="25"/>
  </r>
  <r>
    <n v="386"/>
    <x v="36"/>
    <n v="-10"/>
    <x v="649"/>
    <n v="573"/>
    <n v="29"/>
    <x v="0"/>
    <x v="2"/>
    <n v="7"/>
    <x v="0"/>
    <x v="0"/>
    <x v="10"/>
    <x v="44"/>
    <x v="77"/>
    <x v="2"/>
    <n v="0"/>
    <n v="20"/>
    <n v="20"/>
    <n v="20"/>
    <n v="19"/>
    <x v="0"/>
    <n v="0.19607843137254902"/>
    <n v="0.56862745098039214"/>
    <n v="12"/>
  </r>
  <r>
    <n v="845"/>
    <x v="76"/>
    <n v="59"/>
    <x v="650"/>
    <n v="1622"/>
    <n v="258"/>
    <x v="0"/>
    <x v="2"/>
    <n v="96"/>
    <x v="0"/>
    <x v="0"/>
    <x v="0"/>
    <x v="113"/>
    <x v="164"/>
    <x v="19"/>
    <n v="140"/>
    <n v="150"/>
    <n v="70"/>
    <n v="290"/>
    <n v="129"/>
    <x v="0"/>
    <n v="0.25146198830409355"/>
    <n v="0.50292397660818711"/>
    <n v="33"/>
  </r>
  <r>
    <n v="315"/>
    <x v="55"/>
    <n v="-70"/>
    <x v="651"/>
    <n v="4360"/>
    <n v="-75"/>
    <x v="0"/>
    <x v="2"/>
    <n v="74"/>
    <x v="0"/>
    <x v="0"/>
    <x v="1"/>
    <x v="135"/>
    <x v="20"/>
    <x v="19"/>
    <n v="130"/>
    <n v="-50"/>
    <n v="-100"/>
    <n v="80"/>
    <n v="95"/>
    <x v="0"/>
    <n v="-1.0365853658536586"/>
    <n v="-0.45731707317073172"/>
    <n v="21"/>
  </r>
  <r>
    <n v="516"/>
    <x v="77"/>
    <n v="-25"/>
    <x v="652"/>
    <n v="971"/>
    <n v="157"/>
    <x v="0"/>
    <x v="2"/>
    <n v="30"/>
    <x v="0"/>
    <x v="1"/>
    <x v="2"/>
    <x v="125"/>
    <x v="165"/>
    <x v="19"/>
    <n v="110"/>
    <n v="170"/>
    <n v="140"/>
    <n v="280"/>
    <n v="42"/>
    <x v="1"/>
    <n v="0.43396226415094341"/>
    <n v="0.59245283018867922"/>
    <n v="12"/>
  </r>
  <r>
    <n v="716"/>
    <x v="56"/>
    <n v="-26"/>
    <x v="653"/>
    <n v="915"/>
    <n v="179"/>
    <x v="0"/>
    <x v="2"/>
    <n v="34"/>
    <x v="0"/>
    <x v="1"/>
    <x v="11"/>
    <x v="136"/>
    <x v="125"/>
    <x v="19"/>
    <n v="130"/>
    <n v="190"/>
    <n v="160"/>
    <n v="320"/>
    <n v="45"/>
    <x v="1"/>
    <n v="0.44370860927152317"/>
    <n v="0.5927152317880795"/>
    <n v="11"/>
  </r>
  <r>
    <n v="518"/>
    <x v="35"/>
    <n v="-22"/>
    <x v="654"/>
    <n v="580"/>
    <n v="111"/>
    <x v="0"/>
    <x v="2"/>
    <n v="21"/>
    <x v="0"/>
    <x v="1"/>
    <x v="3"/>
    <x v="92"/>
    <x v="76"/>
    <x v="19"/>
    <n v="80"/>
    <n v="120"/>
    <n v="100"/>
    <n v="200"/>
    <n v="33"/>
    <x v="1"/>
    <n v="0.41711229946524064"/>
    <n v="0.5935828877005348"/>
    <n v="12"/>
  </r>
  <r>
    <n v="772"/>
    <x v="64"/>
    <n v="-1"/>
    <x v="655"/>
    <n v="666"/>
    <n v="143"/>
    <x v="0"/>
    <x v="2"/>
    <n v="31"/>
    <x v="1"/>
    <x v="3"/>
    <x v="5"/>
    <x v="104"/>
    <x v="132"/>
    <x v="2"/>
    <n v="90"/>
    <n v="130"/>
    <n v="90"/>
    <n v="220"/>
    <n v="54"/>
    <x v="0"/>
    <n v="0.36326530612244901"/>
    <n v="0.58367346938775511"/>
    <n v="23"/>
  </r>
  <r>
    <n v="561"/>
    <x v="78"/>
    <n v="-9"/>
    <x v="656"/>
    <n v="557"/>
    <n v="103"/>
    <x v="0"/>
    <x v="2"/>
    <n v="25"/>
    <x v="1"/>
    <x v="2"/>
    <x v="4"/>
    <x v="94"/>
    <x v="166"/>
    <x v="2"/>
    <n v="70"/>
    <n v="100"/>
    <n v="60"/>
    <n v="170"/>
    <n v="52"/>
    <x v="0"/>
    <n v="0.28333333333333333"/>
    <n v="0.57222222222222219"/>
    <n v="27"/>
  </r>
  <r>
    <n v="754"/>
    <x v="62"/>
    <n v="3"/>
    <x v="657"/>
    <n v="798"/>
    <n v="119"/>
    <x v="0"/>
    <x v="2"/>
    <n v="25"/>
    <x v="1"/>
    <x v="3"/>
    <x v="7"/>
    <x v="137"/>
    <x v="130"/>
    <x v="2"/>
    <n v="70"/>
    <n v="100"/>
    <n v="60"/>
    <n v="170"/>
    <n v="56"/>
    <x v="1"/>
    <n v="0.31979695431472083"/>
    <n v="0.60406091370558379"/>
    <n v="31"/>
  </r>
  <r>
    <n v="978"/>
    <x v="19"/>
    <n v="24"/>
    <x v="658"/>
    <n v="-3287"/>
    <n v="379"/>
    <x v="0"/>
    <x v="2"/>
    <n v="24"/>
    <x v="1"/>
    <x v="3"/>
    <x v="7"/>
    <x v="138"/>
    <x v="167"/>
    <x v="15"/>
    <n v="60"/>
    <n v="340"/>
    <n v="300"/>
    <n v="400"/>
    <n v="55"/>
    <x v="1"/>
    <n v="0.71365638766519823"/>
    <n v="0.83480176211453749"/>
    <n v="31"/>
  </r>
  <r>
    <n v="347"/>
    <x v="79"/>
    <n v="6"/>
    <x v="659"/>
    <n v="2580"/>
    <n v="374"/>
    <x v="0"/>
    <x v="2"/>
    <n v="87"/>
    <x v="1"/>
    <x v="3"/>
    <x v="7"/>
    <x v="139"/>
    <x v="168"/>
    <x v="19"/>
    <n v="220"/>
    <n v="340"/>
    <n v="230"/>
    <n v="560"/>
    <n v="138"/>
    <x v="1"/>
    <n v="0.37881219903691815"/>
    <n v="0.6003210272873194"/>
    <n v="51"/>
  </r>
  <r>
    <n v="754"/>
    <x v="66"/>
    <n v="-5"/>
    <x v="660"/>
    <n v="694"/>
    <n v="130"/>
    <x v="0"/>
    <x v="2"/>
    <n v="85"/>
    <x v="1"/>
    <x v="2"/>
    <x v="8"/>
    <x v="25"/>
    <x v="134"/>
    <x v="2"/>
    <n v="90"/>
    <n v="120"/>
    <n v="20"/>
    <n v="210"/>
    <n v="115"/>
    <x v="1"/>
    <n v="6.6964285714285712E-2"/>
    <n v="0.5803571428571429"/>
    <n v="30"/>
  </r>
  <r>
    <n v="347"/>
    <x v="80"/>
    <n v="-12"/>
    <x v="661"/>
    <n v="3385"/>
    <n v="-60"/>
    <x v="0"/>
    <x v="2"/>
    <n v="109"/>
    <x v="1"/>
    <x v="2"/>
    <x v="8"/>
    <x v="133"/>
    <x v="113"/>
    <x v="19"/>
    <n v="110"/>
    <n v="-60"/>
    <n v="-190"/>
    <n v="50"/>
    <n v="142"/>
    <x v="1"/>
    <n v="-3.3114754098360657"/>
    <n v="-0.98360655737704916"/>
    <n v="33"/>
  </r>
  <r>
    <n v="508"/>
    <x v="81"/>
    <n v="-12"/>
    <x v="662"/>
    <n v="1283"/>
    <n v="182"/>
    <x v="0"/>
    <x v="2"/>
    <n v="50"/>
    <x v="1"/>
    <x v="2"/>
    <x v="12"/>
    <x v="140"/>
    <x v="169"/>
    <x v="15"/>
    <n v="170"/>
    <n v="180"/>
    <n v="120"/>
    <n v="350"/>
    <n v="74"/>
    <x v="1"/>
    <n v="0.2975206611570248"/>
    <n v="0.50137741046831952"/>
    <n v="24"/>
  </r>
  <r>
    <n v="646"/>
    <x v="82"/>
    <n v="-9"/>
    <x v="663"/>
    <n v="933"/>
    <n v="464"/>
    <x v="0"/>
    <x v="2"/>
    <n v="59"/>
    <x v="1"/>
    <x v="2"/>
    <x v="12"/>
    <x v="141"/>
    <x v="170"/>
    <x v="19"/>
    <n v="200"/>
    <n v="460"/>
    <n v="390"/>
    <n v="660"/>
    <n v="83"/>
    <x v="1"/>
    <n v="0.56444444444444442"/>
    <n v="0.68740740740740736"/>
    <n v="24"/>
  </r>
  <r>
    <n v="561"/>
    <x v="36"/>
    <n v="1"/>
    <x v="664"/>
    <n v="570"/>
    <n v="30"/>
    <x v="0"/>
    <x v="2"/>
    <n v="7"/>
    <x v="0"/>
    <x v="0"/>
    <x v="10"/>
    <x v="78"/>
    <x v="97"/>
    <x v="2"/>
    <n v="10"/>
    <n v="20"/>
    <n v="10"/>
    <n v="30"/>
    <n v="19"/>
    <x v="0"/>
    <n v="0.21153846153846154"/>
    <n v="0.57692307692307687"/>
    <n v="12"/>
  </r>
  <r>
    <n v="631"/>
    <x v="83"/>
    <n v="64"/>
    <x v="665"/>
    <n v="1704"/>
    <n v="331"/>
    <x v="0"/>
    <x v="2"/>
    <n v="93"/>
    <x v="0"/>
    <x v="0"/>
    <x v="0"/>
    <x v="142"/>
    <x v="171"/>
    <x v="19"/>
    <n v="180"/>
    <n v="240"/>
    <n v="140"/>
    <n v="420"/>
    <n v="127"/>
    <x v="0"/>
    <n v="0.35416666666666669"/>
    <n v="0.57465277777777779"/>
    <n v="34"/>
  </r>
  <r>
    <n v="914"/>
    <x v="60"/>
    <n v="-36"/>
    <x v="666"/>
    <n v="4742"/>
    <n v="-65"/>
    <x v="0"/>
    <x v="2"/>
    <n v="69"/>
    <x v="0"/>
    <x v="0"/>
    <x v="1"/>
    <x v="143"/>
    <x v="42"/>
    <x v="19"/>
    <n v="160"/>
    <n v="-50"/>
    <n v="-120"/>
    <n v="110"/>
    <n v="91"/>
    <x v="0"/>
    <n v="-0.97499999999999998"/>
    <n v="-0.40625"/>
    <n v="22"/>
  </r>
  <r>
    <n v="518"/>
    <x v="68"/>
    <n v="-6"/>
    <x v="667"/>
    <n v="984"/>
    <n v="117"/>
    <x v="0"/>
    <x v="2"/>
    <n v="22"/>
    <x v="0"/>
    <x v="1"/>
    <x v="2"/>
    <x v="144"/>
    <x v="172"/>
    <x v="19"/>
    <n v="80"/>
    <n v="120"/>
    <n v="90"/>
    <n v="200"/>
    <n v="33"/>
    <x v="1"/>
    <n v="0.42424242424242425"/>
    <n v="0.59090909090909094"/>
    <n v="11"/>
  </r>
  <r>
    <n v="315"/>
    <x v="61"/>
    <n v="-3"/>
    <x v="668"/>
    <n v="930"/>
    <n v="172"/>
    <x v="0"/>
    <x v="2"/>
    <n v="33"/>
    <x v="0"/>
    <x v="1"/>
    <x v="11"/>
    <x v="102"/>
    <x v="129"/>
    <x v="19"/>
    <n v="120"/>
    <n v="170"/>
    <n v="130"/>
    <n v="290"/>
    <n v="45"/>
    <x v="1"/>
    <n v="0.43793103448275861"/>
    <n v="0.59310344827586203"/>
    <n v="12"/>
  </r>
  <r>
    <n v="813"/>
    <x v="69"/>
    <n v="12"/>
    <x v="669"/>
    <n v="690"/>
    <n v="186"/>
    <x v="0"/>
    <x v="2"/>
    <n v="41"/>
    <x v="1"/>
    <x v="3"/>
    <x v="5"/>
    <x v="126"/>
    <x v="137"/>
    <x v="2"/>
    <n v="120"/>
    <n v="160"/>
    <n v="110"/>
    <n v="280"/>
    <n v="64"/>
    <x v="0"/>
    <n v="0.38124999999999998"/>
    <n v="0.58125000000000004"/>
    <n v="23"/>
  </r>
  <r>
    <n v="407"/>
    <x v="84"/>
    <n v="-12"/>
    <x v="670"/>
    <n v="575"/>
    <n v="112"/>
    <x v="0"/>
    <x v="2"/>
    <n v="27"/>
    <x v="1"/>
    <x v="2"/>
    <x v="4"/>
    <x v="85"/>
    <x v="173"/>
    <x v="2"/>
    <n v="80"/>
    <n v="110"/>
    <n v="70"/>
    <n v="190"/>
    <n v="54"/>
    <x v="0"/>
    <n v="0.29743589743589743"/>
    <n v="0.57435897435897432"/>
    <n v="27"/>
  </r>
  <r>
    <n v="754"/>
    <x v="63"/>
    <n v="-7"/>
    <x v="671"/>
    <n v="817"/>
    <n v="133"/>
    <x v="0"/>
    <x v="2"/>
    <n v="29"/>
    <x v="1"/>
    <x v="3"/>
    <x v="7"/>
    <x v="59"/>
    <x v="136"/>
    <x v="2"/>
    <n v="70"/>
    <n v="120"/>
    <n v="80"/>
    <n v="190"/>
    <n v="60"/>
    <x v="1"/>
    <n v="0.33031674208144796"/>
    <n v="0.60180995475113119"/>
    <n v="31"/>
  </r>
  <r>
    <n v="351"/>
    <x v="49"/>
    <n v="30"/>
    <x v="672"/>
    <n v="-3534"/>
    <n v="443"/>
    <x v="0"/>
    <x v="2"/>
    <n v="22"/>
    <x v="1"/>
    <x v="3"/>
    <x v="7"/>
    <x v="145"/>
    <x v="174"/>
    <x v="15"/>
    <n v="60"/>
    <n v="390"/>
    <n v="360"/>
    <n v="450"/>
    <n v="53"/>
    <x v="1"/>
    <n v="0.76470588235294112"/>
    <n v="0.86862745098039218"/>
    <n v="31"/>
  </r>
  <r>
    <n v="845"/>
    <x v="85"/>
    <n v="21"/>
    <x v="673"/>
    <n v="2642"/>
    <n v="420"/>
    <x v="0"/>
    <x v="2"/>
    <n v="97"/>
    <x v="1"/>
    <x v="3"/>
    <x v="7"/>
    <x v="146"/>
    <x v="175"/>
    <x v="19"/>
    <n v="250"/>
    <n v="370"/>
    <n v="250"/>
    <n v="620"/>
    <n v="149"/>
    <x v="1"/>
    <n v="0.38769670958512159"/>
    <n v="0.60085836909871249"/>
    <n v="52"/>
  </r>
  <r>
    <n v="305"/>
    <x v="70"/>
    <n v="-9"/>
    <x v="674"/>
    <n v="716"/>
    <n v="145"/>
    <x v="0"/>
    <x v="2"/>
    <n v="95"/>
    <x v="1"/>
    <x v="2"/>
    <x v="8"/>
    <x v="6"/>
    <x v="139"/>
    <x v="2"/>
    <n v="100"/>
    <n v="140"/>
    <n v="30"/>
    <n v="240"/>
    <n v="124"/>
    <x v="1"/>
    <n v="8.4000000000000005E-2"/>
    <n v="0.57999999999999996"/>
    <n v="29"/>
  </r>
  <r>
    <n v="212"/>
    <x v="86"/>
    <n v="-14"/>
    <x v="675"/>
    <n v="3641"/>
    <n v="-69"/>
    <x v="0"/>
    <x v="2"/>
    <n v="122"/>
    <x v="1"/>
    <x v="2"/>
    <x v="8"/>
    <x v="147"/>
    <x v="7"/>
    <x v="19"/>
    <n v="130"/>
    <n v="-70"/>
    <n v="-210"/>
    <n v="60"/>
    <n v="155"/>
    <x v="1"/>
    <n v="-3.393939393939394"/>
    <n v="-1.0454545454545454"/>
    <n v="33"/>
  </r>
  <r>
    <n v="351"/>
    <x v="87"/>
    <n v="7"/>
    <x v="676"/>
    <n v="1319"/>
    <n v="153"/>
    <x v="0"/>
    <x v="2"/>
    <n v="42"/>
    <x v="1"/>
    <x v="2"/>
    <x v="12"/>
    <x v="100"/>
    <x v="176"/>
    <x v="15"/>
    <n v="150"/>
    <n v="140"/>
    <n v="80"/>
    <n v="290"/>
    <n v="66"/>
    <x v="1"/>
    <n v="0.28431372549019607"/>
    <n v="0.5"/>
    <n v="24"/>
  </r>
  <r>
    <n v="718"/>
    <x v="88"/>
    <n v="-8"/>
    <x v="677"/>
    <n v="723"/>
    <n v="407"/>
    <x v="0"/>
    <x v="2"/>
    <n v="70"/>
    <x v="1"/>
    <x v="2"/>
    <x v="12"/>
    <x v="148"/>
    <x v="177"/>
    <x v="19"/>
    <n v="240"/>
    <n v="400"/>
    <n v="320"/>
    <n v="640"/>
    <n v="95"/>
    <x v="1"/>
    <n v="0.47488584474885842"/>
    <n v="0.61948249619482498"/>
    <n v="25"/>
  </r>
  <r>
    <n v="607"/>
    <x v="89"/>
    <n v="99"/>
    <x v="678"/>
    <n v="1727"/>
    <n v="453"/>
    <x v="0"/>
    <x v="2"/>
    <n v="111"/>
    <x v="0"/>
    <x v="0"/>
    <x v="0"/>
    <x v="149"/>
    <x v="178"/>
    <x v="19"/>
    <n v="220"/>
    <n v="320"/>
    <n v="210"/>
    <n v="540"/>
    <n v="144"/>
    <x v="0"/>
    <n v="0.41365461847389556"/>
    <n v="0.60642570281124497"/>
    <n v="33"/>
  </r>
  <r>
    <n v="716"/>
    <x v="67"/>
    <n v="-39"/>
    <x v="679"/>
    <n v="5121"/>
    <n v="-93"/>
    <x v="0"/>
    <x v="2"/>
    <n v="74"/>
    <x v="0"/>
    <x v="0"/>
    <x v="1"/>
    <x v="150"/>
    <x v="74"/>
    <x v="19"/>
    <n v="180"/>
    <n v="-80"/>
    <n v="-150"/>
    <n v="100"/>
    <n v="96"/>
    <x v="0"/>
    <n v="-1.277027027027027"/>
    <n v="-0.6283783783783784"/>
    <n v="22"/>
  </r>
  <r>
    <n v="716"/>
    <x v="42"/>
    <n v="-1"/>
    <x v="680"/>
    <n v="1003"/>
    <n v="124"/>
    <x v="0"/>
    <x v="2"/>
    <n v="24"/>
    <x v="0"/>
    <x v="1"/>
    <x v="2"/>
    <x v="104"/>
    <x v="145"/>
    <x v="19"/>
    <n v="90"/>
    <n v="120"/>
    <n v="90"/>
    <n v="210"/>
    <n v="35"/>
    <x v="1"/>
    <n v="0.4238095238095238"/>
    <n v="0.59047619047619049"/>
    <n v="11"/>
  </r>
  <r>
    <n v="718"/>
    <x v="56"/>
    <n v="-17"/>
    <x v="681"/>
    <n v="959"/>
    <n v="179"/>
    <x v="0"/>
    <x v="2"/>
    <n v="34"/>
    <x v="0"/>
    <x v="1"/>
    <x v="11"/>
    <x v="99"/>
    <x v="125"/>
    <x v="19"/>
    <n v="120"/>
    <n v="190"/>
    <n v="150"/>
    <n v="310"/>
    <n v="46"/>
    <x v="1"/>
    <n v="0.44039735099337746"/>
    <n v="0.5927152317880795"/>
    <n v="12"/>
  </r>
  <r>
    <n v="772"/>
    <x v="17"/>
    <n v="23"/>
    <x v="682"/>
    <n v="656"/>
    <n v="127"/>
    <x v="0"/>
    <x v="2"/>
    <n v="28"/>
    <x v="1"/>
    <x v="3"/>
    <x v="5"/>
    <x v="52"/>
    <x v="54"/>
    <x v="2"/>
    <n v="70"/>
    <n v="110"/>
    <n v="90"/>
    <n v="180"/>
    <n v="51"/>
    <x v="0"/>
    <n v="0.48706896551724138"/>
    <n v="0.60775862068965514"/>
    <n v="23"/>
  </r>
  <r>
    <n v="321"/>
    <x v="42"/>
    <n v="-1"/>
    <x v="683"/>
    <n v="547"/>
    <n v="116"/>
    <x v="0"/>
    <x v="2"/>
    <n v="28"/>
    <x v="1"/>
    <x v="2"/>
    <x v="4"/>
    <x v="104"/>
    <x v="179"/>
    <x v="2"/>
    <n v="70"/>
    <n v="110"/>
    <n v="90"/>
    <n v="180"/>
    <n v="56"/>
    <x v="0"/>
    <n v="0.413953488372093"/>
    <n v="0.6"/>
    <n v="28"/>
  </r>
  <r>
    <n v="954"/>
    <x v="16"/>
    <n v="5"/>
    <x v="684"/>
    <n v="788"/>
    <n v="123"/>
    <x v="0"/>
    <x v="2"/>
    <n v="27"/>
    <x v="1"/>
    <x v="3"/>
    <x v="7"/>
    <x v="51"/>
    <x v="18"/>
    <x v="2"/>
    <n v="60"/>
    <n v="110"/>
    <n v="90"/>
    <n v="170"/>
    <n v="59"/>
    <x v="1"/>
    <n v="0.43577981651376146"/>
    <n v="0.62385321100917435"/>
    <n v="32"/>
  </r>
  <r>
    <n v="857"/>
    <x v="4"/>
    <n v="186"/>
    <x v="685"/>
    <n v="-3004"/>
    <n v="402"/>
    <x v="0"/>
    <x v="2"/>
    <n v="23"/>
    <x v="1"/>
    <x v="3"/>
    <x v="7"/>
    <x v="151"/>
    <x v="180"/>
    <x v="15"/>
    <n v="50"/>
    <n v="350"/>
    <n v="330"/>
    <n v="400"/>
    <n v="54"/>
    <x v="1"/>
    <n v="1.0217821782178218"/>
    <n v="0.85742574257425741"/>
    <n v="31"/>
  </r>
  <r>
    <n v="716"/>
    <x v="74"/>
    <n v="137"/>
    <x v="686"/>
    <n v="2548"/>
    <n v="390"/>
    <x v="0"/>
    <x v="2"/>
    <n v="91"/>
    <x v="1"/>
    <x v="3"/>
    <x v="7"/>
    <x v="152"/>
    <x v="181"/>
    <x v="19"/>
    <n v="210"/>
    <n v="330"/>
    <n v="230"/>
    <n v="540"/>
    <n v="143"/>
    <x v="1"/>
    <n v="0.5295815295815296"/>
    <n v="0.62481962481962483"/>
    <n v="52"/>
  </r>
  <r>
    <n v="727"/>
    <x v="59"/>
    <n v="-23"/>
    <x v="687"/>
    <n v="683"/>
    <n v="134"/>
    <x v="0"/>
    <x v="2"/>
    <n v="87"/>
    <x v="1"/>
    <x v="2"/>
    <x v="8"/>
    <x v="22"/>
    <x v="132"/>
    <x v="2"/>
    <n v="80"/>
    <n v="130"/>
    <n v="50"/>
    <n v="210"/>
    <n v="116"/>
    <x v="1"/>
    <n v="0.11020408163265306"/>
    <n v="0.60816326530612241"/>
    <n v="29"/>
  </r>
  <r>
    <n v="914"/>
    <x v="71"/>
    <n v="-130"/>
    <x v="688"/>
    <n v="3142"/>
    <n v="-56"/>
    <x v="0"/>
    <x v="2"/>
    <n v="113"/>
    <x v="1"/>
    <x v="2"/>
    <x v="8"/>
    <x v="153"/>
    <x v="83"/>
    <x v="19"/>
    <n v="110"/>
    <n v="-60"/>
    <n v="-170"/>
    <n v="50"/>
    <n v="146"/>
    <x v="1"/>
    <n v="-4.0540540540540544"/>
    <n v="-0.68918918918918914"/>
    <n v="33"/>
  </r>
  <r>
    <n v="508"/>
    <x v="75"/>
    <n v="17"/>
    <x v="689"/>
    <n v="1267"/>
    <n v="161"/>
    <x v="0"/>
    <x v="2"/>
    <n v="45"/>
    <x v="1"/>
    <x v="2"/>
    <x v="12"/>
    <x v="154"/>
    <x v="182"/>
    <x v="15"/>
    <n v="140"/>
    <n v="160"/>
    <n v="120"/>
    <n v="300"/>
    <n v="69"/>
    <x v="1"/>
    <n v="0.39941690962099125"/>
    <n v="0.53061224489795922"/>
    <n v="24"/>
  </r>
  <r>
    <n v="212"/>
    <x v="55"/>
    <n v="196"/>
    <x v="690"/>
    <n v="1197"/>
    <n v="526"/>
    <x v="0"/>
    <x v="2"/>
    <n v="66"/>
    <x v="1"/>
    <x v="2"/>
    <x v="12"/>
    <x v="155"/>
    <x v="183"/>
    <x v="19"/>
    <n v="210"/>
    <n v="510"/>
    <n v="450"/>
    <n v="720"/>
    <n v="91"/>
    <x v="1"/>
    <n v="0.79263803680981593"/>
    <n v="0.70674846625766874"/>
    <n v="25"/>
  </r>
  <r>
    <n v="904"/>
    <x v="36"/>
    <n v="-5"/>
    <x v="691"/>
    <n v="573"/>
    <n v="29"/>
    <x v="0"/>
    <x v="2"/>
    <n v="7"/>
    <x v="0"/>
    <x v="0"/>
    <x v="10"/>
    <x v="25"/>
    <x v="88"/>
    <x v="2"/>
    <n v="0"/>
    <n v="20"/>
    <n v="20"/>
    <n v="20"/>
    <n v="19"/>
    <x v="0"/>
    <n v="0.27777777777777779"/>
    <n v="0.59259259259259256"/>
    <n v="12"/>
  </r>
  <r>
    <n v="585"/>
    <x v="76"/>
    <n v="121"/>
    <x v="692"/>
    <n v="1622"/>
    <n v="258"/>
    <x v="0"/>
    <x v="2"/>
    <n v="96"/>
    <x v="0"/>
    <x v="0"/>
    <x v="0"/>
    <x v="156"/>
    <x v="184"/>
    <x v="19"/>
    <n v="140"/>
    <n v="150"/>
    <n v="70"/>
    <n v="290"/>
    <n v="129"/>
    <x v="0"/>
    <n v="0.34917733089579522"/>
    <n v="0.53382084095063986"/>
    <n v="33"/>
  </r>
  <r>
    <n v="631"/>
    <x v="55"/>
    <n v="-152"/>
    <x v="693"/>
    <n v="4360"/>
    <n v="-75"/>
    <x v="0"/>
    <x v="2"/>
    <n v="74"/>
    <x v="0"/>
    <x v="0"/>
    <x v="1"/>
    <x v="157"/>
    <x v="56"/>
    <x v="19"/>
    <n v="130"/>
    <n v="-50"/>
    <n v="-100"/>
    <n v="80"/>
    <n v="95"/>
    <x v="0"/>
    <n v="-1.44"/>
    <n v="-0.36571428571428571"/>
    <n v="21"/>
  </r>
  <r>
    <n v="585"/>
    <x v="77"/>
    <n v="31"/>
    <x v="694"/>
    <n v="971"/>
    <n v="157"/>
    <x v="0"/>
    <x v="2"/>
    <n v="30"/>
    <x v="0"/>
    <x v="1"/>
    <x v="2"/>
    <x v="127"/>
    <x v="185"/>
    <x v="19"/>
    <n v="110"/>
    <n v="170"/>
    <n v="140"/>
    <n v="280"/>
    <n v="42"/>
    <x v="1"/>
    <n v="0.6063829787234043"/>
    <n v="0.61702127659574468"/>
    <n v="12"/>
  </r>
  <r>
    <n v="718"/>
    <x v="56"/>
    <n v="39"/>
    <x v="695"/>
    <n v="915"/>
    <n v="179"/>
    <x v="0"/>
    <x v="2"/>
    <n v="34"/>
    <x v="0"/>
    <x v="1"/>
    <x v="11"/>
    <x v="158"/>
    <x v="141"/>
    <x v="19"/>
    <n v="130"/>
    <n v="190"/>
    <n v="160"/>
    <n v="320"/>
    <n v="45"/>
    <x v="1"/>
    <n v="0.61801242236024845"/>
    <n v="0.61801242236024845"/>
    <n v="11"/>
  </r>
  <r>
    <n v="607"/>
    <x v="35"/>
    <n v="16"/>
    <x v="696"/>
    <n v="580"/>
    <n v="111"/>
    <x v="0"/>
    <x v="2"/>
    <n v="21"/>
    <x v="0"/>
    <x v="1"/>
    <x v="3"/>
    <x v="95"/>
    <x v="87"/>
    <x v="19"/>
    <n v="80"/>
    <n v="120"/>
    <n v="100"/>
    <n v="200"/>
    <n v="33"/>
    <x v="1"/>
    <n v="0.58291457286432158"/>
    <n v="0.61809045226130654"/>
    <n v="12"/>
  </r>
  <r>
    <n v="904"/>
    <x v="64"/>
    <n v="42"/>
    <x v="697"/>
    <n v="666"/>
    <n v="143"/>
    <x v="0"/>
    <x v="2"/>
    <n v="31"/>
    <x v="1"/>
    <x v="3"/>
    <x v="5"/>
    <x v="117"/>
    <x v="147"/>
    <x v="2"/>
    <n v="90"/>
    <n v="130"/>
    <n v="90"/>
    <n v="220"/>
    <n v="54"/>
    <x v="0"/>
    <n v="0.50574712643678166"/>
    <n v="0.60919540229885061"/>
    <n v="23"/>
  </r>
  <r>
    <n v="772"/>
    <x v="78"/>
    <n v="16"/>
    <x v="698"/>
    <n v="557"/>
    <n v="103"/>
    <x v="0"/>
    <x v="2"/>
    <n v="25"/>
    <x v="1"/>
    <x v="2"/>
    <x v="4"/>
    <x v="20"/>
    <x v="186"/>
    <x v="2"/>
    <n v="70"/>
    <n v="100"/>
    <n v="60"/>
    <n v="170"/>
    <n v="52"/>
    <x v="0"/>
    <n v="0.39583333333333331"/>
    <n v="0.59895833333333337"/>
    <n v="27"/>
  </r>
  <r>
    <n v="786"/>
    <x v="62"/>
    <n v="33"/>
    <x v="699"/>
    <n v="798"/>
    <n v="119"/>
    <x v="0"/>
    <x v="2"/>
    <n v="25"/>
    <x v="1"/>
    <x v="3"/>
    <x v="7"/>
    <x v="159"/>
    <x v="145"/>
    <x v="2"/>
    <n v="70"/>
    <n v="100"/>
    <n v="60"/>
    <n v="170"/>
    <n v="56"/>
    <x v="1"/>
    <n v="0.44285714285714284"/>
    <n v="0.62857142857142856"/>
    <n v="31"/>
  </r>
  <r>
    <n v="857"/>
    <x v="19"/>
    <n v="181"/>
    <x v="700"/>
    <n v="-3287"/>
    <n v="379"/>
    <x v="0"/>
    <x v="2"/>
    <n v="24"/>
    <x v="1"/>
    <x v="3"/>
    <x v="7"/>
    <x v="160"/>
    <x v="187"/>
    <x v="15"/>
    <n v="60"/>
    <n v="340"/>
    <n v="300"/>
    <n v="400"/>
    <n v="55"/>
    <x v="1"/>
    <n v="0.99380165289256195"/>
    <n v="0.8450413223140496"/>
    <n v="31"/>
  </r>
  <r>
    <n v="607"/>
    <x v="79"/>
    <n v="120"/>
    <x v="701"/>
    <n v="2580"/>
    <n v="374"/>
    <x v="0"/>
    <x v="2"/>
    <n v="87"/>
    <x v="1"/>
    <x v="3"/>
    <x v="7"/>
    <x v="161"/>
    <x v="188"/>
    <x v="19"/>
    <n v="220"/>
    <n v="340"/>
    <n v="230"/>
    <n v="560"/>
    <n v="138"/>
    <x v="1"/>
    <n v="0.52710843373493976"/>
    <n v="0.625"/>
    <n v="51"/>
  </r>
  <r>
    <n v="813"/>
    <x v="66"/>
    <n v="2"/>
    <x v="702"/>
    <n v="694"/>
    <n v="130"/>
    <x v="0"/>
    <x v="2"/>
    <n v="85"/>
    <x v="1"/>
    <x v="2"/>
    <x v="8"/>
    <x v="57"/>
    <x v="149"/>
    <x v="2"/>
    <n v="90"/>
    <n v="120"/>
    <n v="20"/>
    <n v="210"/>
    <n v="115"/>
    <x v="1"/>
    <n v="9.2050209205020925E-2"/>
    <n v="0.60669456066945604"/>
    <n v="30"/>
  </r>
  <r>
    <n v="914"/>
    <x v="80"/>
    <n v="-110"/>
    <x v="703"/>
    <n v="3385"/>
    <n v="-60"/>
    <x v="0"/>
    <x v="2"/>
    <n v="109"/>
    <x v="1"/>
    <x v="2"/>
    <x v="8"/>
    <x v="153"/>
    <x v="118"/>
    <x v="19"/>
    <n v="110"/>
    <n v="-60"/>
    <n v="-190"/>
    <n v="50"/>
    <n v="142"/>
    <x v="1"/>
    <n v="-4.615384615384615"/>
    <n v="-0.86153846153846159"/>
    <n v="33"/>
  </r>
  <r>
    <n v="617"/>
    <x v="81"/>
    <n v="40"/>
    <x v="704"/>
    <n v="1283"/>
    <n v="182"/>
    <x v="0"/>
    <x v="2"/>
    <n v="50"/>
    <x v="1"/>
    <x v="2"/>
    <x v="12"/>
    <x v="162"/>
    <x v="189"/>
    <x v="15"/>
    <n v="170"/>
    <n v="180"/>
    <n v="120"/>
    <n v="350"/>
    <n v="74"/>
    <x v="1"/>
    <n v="0.41343669250645992"/>
    <n v="0.53229974160206717"/>
    <n v="24"/>
  </r>
  <r>
    <n v="917"/>
    <x v="82"/>
    <n v="175"/>
    <x v="705"/>
    <n v="933"/>
    <n v="464"/>
    <x v="0"/>
    <x v="2"/>
    <n v="59"/>
    <x v="1"/>
    <x v="2"/>
    <x v="12"/>
    <x v="163"/>
    <x v="190"/>
    <x v="19"/>
    <n v="200"/>
    <n v="460"/>
    <n v="390"/>
    <n v="660"/>
    <n v="83"/>
    <x v="1"/>
    <n v="0.78581363004172466"/>
    <n v="0.70653685674547984"/>
    <n v="24"/>
  </r>
  <r>
    <n v="727"/>
    <x v="36"/>
    <n v="6"/>
    <x v="706"/>
    <n v="570"/>
    <n v="30"/>
    <x v="0"/>
    <x v="2"/>
    <n v="7"/>
    <x v="0"/>
    <x v="0"/>
    <x v="10"/>
    <x v="38"/>
    <x v="103"/>
    <x v="2"/>
    <n v="10"/>
    <n v="20"/>
    <n v="10"/>
    <n v="30"/>
    <n v="19"/>
    <x v="0"/>
    <n v="0.29090909090909089"/>
    <n v="0.6"/>
    <n v="12"/>
  </r>
  <r>
    <n v="585"/>
    <x v="83"/>
    <n v="163"/>
    <x v="707"/>
    <n v="1704"/>
    <n v="331"/>
    <x v="0"/>
    <x v="2"/>
    <n v="93"/>
    <x v="0"/>
    <x v="0"/>
    <x v="0"/>
    <x v="164"/>
    <x v="191"/>
    <x v="19"/>
    <n v="180"/>
    <n v="240"/>
    <n v="140"/>
    <n v="420"/>
    <n v="127"/>
    <x v="0"/>
    <n v="0.49348534201954397"/>
    <n v="0.60097719869706845"/>
    <n v="34"/>
  </r>
  <r>
    <n v="518"/>
    <x v="60"/>
    <n v="-112"/>
    <x v="708"/>
    <n v="4742"/>
    <n v="-65"/>
    <x v="0"/>
    <x v="2"/>
    <n v="69"/>
    <x v="0"/>
    <x v="0"/>
    <x v="1"/>
    <x v="165"/>
    <x v="72"/>
    <x v="19"/>
    <n v="160"/>
    <n v="-50"/>
    <n v="-120"/>
    <n v="110"/>
    <n v="91"/>
    <x v="0"/>
    <n v="-1.3567251461988303"/>
    <n v="-0.31578947368421051"/>
    <n v="22"/>
  </r>
  <r>
    <n v="516"/>
    <x v="68"/>
    <n v="35"/>
    <x v="709"/>
    <n v="984"/>
    <n v="117"/>
    <x v="0"/>
    <x v="2"/>
    <n v="22"/>
    <x v="0"/>
    <x v="1"/>
    <x v="2"/>
    <x v="166"/>
    <x v="192"/>
    <x v="19"/>
    <n v="80"/>
    <n v="120"/>
    <n v="90"/>
    <n v="200"/>
    <n v="33"/>
    <x v="1"/>
    <n v="0.59241706161137442"/>
    <n v="0.61611374407582942"/>
    <n v="11"/>
  </r>
  <r>
    <n v="914"/>
    <x v="61"/>
    <n v="58"/>
    <x v="710"/>
    <n v="930"/>
    <n v="172"/>
    <x v="0"/>
    <x v="2"/>
    <n v="33"/>
    <x v="0"/>
    <x v="1"/>
    <x v="11"/>
    <x v="105"/>
    <x v="144"/>
    <x v="19"/>
    <n v="120"/>
    <n v="170"/>
    <n v="130"/>
    <n v="290"/>
    <n v="45"/>
    <x v="1"/>
    <n v="0.60841423948220064"/>
    <n v="0.6181229773462783"/>
    <n v="12"/>
  </r>
  <r>
    <n v="727"/>
    <x v="69"/>
    <n v="71"/>
    <x v="711"/>
    <n v="690"/>
    <n v="186"/>
    <x v="0"/>
    <x v="2"/>
    <n v="41"/>
    <x v="1"/>
    <x v="3"/>
    <x v="5"/>
    <x v="128"/>
    <x v="151"/>
    <x v="2"/>
    <n v="120"/>
    <n v="160"/>
    <n v="110"/>
    <n v="280"/>
    <n v="64"/>
    <x v="0"/>
    <n v="0.53079178885630496"/>
    <n v="0.60703812316715544"/>
    <n v="23"/>
  </r>
  <r>
    <n v="386"/>
    <x v="84"/>
    <n v="16"/>
    <x v="712"/>
    <n v="575"/>
    <n v="112"/>
    <x v="0"/>
    <x v="2"/>
    <n v="27"/>
    <x v="1"/>
    <x v="2"/>
    <x v="4"/>
    <x v="89"/>
    <x v="193"/>
    <x v="2"/>
    <n v="80"/>
    <n v="110"/>
    <n v="70"/>
    <n v="190"/>
    <n v="54"/>
    <x v="0"/>
    <n v="0.41346153846153844"/>
    <n v="0.60096153846153844"/>
    <n v="27"/>
  </r>
  <r>
    <n v="407"/>
    <x v="63"/>
    <n v="28"/>
    <x v="713"/>
    <n v="817"/>
    <n v="133"/>
    <x v="0"/>
    <x v="2"/>
    <n v="29"/>
    <x v="1"/>
    <x v="3"/>
    <x v="7"/>
    <x v="140"/>
    <x v="126"/>
    <x v="2"/>
    <n v="70"/>
    <n v="120"/>
    <n v="80"/>
    <n v="190"/>
    <n v="60"/>
    <x v="1"/>
    <n v="0.4576271186440678"/>
    <n v="0.6271186440677966"/>
    <n v="31"/>
  </r>
  <r>
    <n v="351"/>
    <x v="49"/>
    <n v="219"/>
    <x v="714"/>
    <n v="-3534"/>
    <n v="443"/>
    <x v="0"/>
    <x v="2"/>
    <n v="22"/>
    <x v="1"/>
    <x v="3"/>
    <x v="7"/>
    <x v="167"/>
    <x v="194"/>
    <x v="15"/>
    <n v="60"/>
    <n v="390"/>
    <n v="360"/>
    <n v="450"/>
    <n v="53"/>
    <x v="1"/>
    <n v="1.0662983425414365"/>
    <n v="0.87661141804788212"/>
    <n v="31"/>
  </r>
  <r>
    <n v="315"/>
    <x v="85"/>
    <n v="152"/>
    <x v="715"/>
    <n v="2642"/>
    <n v="420"/>
    <x v="0"/>
    <x v="2"/>
    <n v="97"/>
    <x v="1"/>
    <x v="3"/>
    <x v="7"/>
    <x v="168"/>
    <x v="195"/>
    <x v="19"/>
    <n v="250"/>
    <n v="370"/>
    <n v="250"/>
    <n v="620"/>
    <n v="149"/>
    <x v="1"/>
    <n v="0.53959731543624156"/>
    <n v="0.62550335570469795"/>
    <n v="52"/>
  </r>
  <r>
    <n v="305"/>
    <x v="70"/>
    <n v="1"/>
    <x v="716"/>
    <n v="716"/>
    <n v="145"/>
    <x v="0"/>
    <x v="2"/>
    <n v="95"/>
    <x v="1"/>
    <x v="2"/>
    <x v="8"/>
    <x v="5"/>
    <x v="153"/>
    <x v="2"/>
    <n v="100"/>
    <n v="140"/>
    <n v="30"/>
    <n v="240"/>
    <n v="124"/>
    <x v="1"/>
    <n v="0.11654135338345864"/>
    <n v="0.60526315789473684"/>
    <n v="29"/>
  </r>
  <r>
    <n v="845"/>
    <x v="86"/>
    <n v="-122"/>
    <x v="717"/>
    <n v="3641"/>
    <n v="-69"/>
    <x v="0"/>
    <x v="2"/>
    <n v="122"/>
    <x v="1"/>
    <x v="2"/>
    <x v="8"/>
    <x v="169"/>
    <x v="49"/>
    <x v="19"/>
    <n v="130"/>
    <n v="-70"/>
    <n v="-210"/>
    <n v="60"/>
    <n v="155"/>
    <x v="1"/>
    <n v="-4.7428571428571429"/>
    <n v="-0.9285714285714286"/>
    <n v="33"/>
  </r>
  <r>
    <n v="857"/>
    <x v="87"/>
    <n v="49"/>
    <x v="718"/>
    <n v="1319"/>
    <n v="153"/>
    <x v="0"/>
    <x v="2"/>
    <n v="42"/>
    <x v="1"/>
    <x v="2"/>
    <x v="12"/>
    <x v="113"/>
    <x v="196"/>
    <x v="15"/>
    <n v="150"/>
    <n v="140"/>
    <n v="80"/>
    <n v="290"/>
    <n v="66"/>
    <x v="1"/>
    <n v="0.39570552147239263"/>
    <n v="0.53067484662576692"/>
    <n v="24"/>
  </r>
  <r>
    <n v="518"/>
    <x v="88"/>
    <n v="143"/>
    <x v="719"/>
    <n v="723"/>
    <n v="407"/>
    <x v="0"/>
    <x v="2"/>
    <n v="70"/>
    <x v="1"/>
    <x v="2"/>
    <x v="12"/>
    <x v="170"/>
    <x v="197"/>
    <x v="19"/>
    <n v="240"/>
    <n v="400"/>
    <n v="320"/>
    <n v="640"/>
    <n v="95"/>
    <x v="1"/>
    <n v="0.66142857142857148"/>
    <n v="0.6428571428571429"/>
    <n v="25"/>
  </r>
  <r>
    <n v="631"/>
    <x v="89"/>
    <n v="249"/>
    <x v="720"/>
    <n v="1727"/>
    <n v="453"/>
    <x v="0"/>
    <x v="2"/>
    <n v="111"/>
    <x v="0"/>
    <x v="0"/>
    <x v="0"/>
    <x v="171"/>
    <x v="198"/>
    <x v="19"/>
    <n v="220"/>
    <n v="320"/>
    <n v="210"/>
    <n v="540"/>
    <n v="144"/>
    <x v="0"/>
    <n v="0.5766331658291457"/>
    <n v="0.6306532663316583"/>
    <n v="33"/>
  </r>
  <r>
    <n v="716"/>
    <x v="67"/>
    <n v="-130"/>
    <x v="721"/>
    <n v="5121"/>
    <n v="-93"/>
    <x v="0"/>
    <x v="2"/>
    <n v="74"/>
    <x v="0"/>
    <x v="0"/>
    <x v="1"/>
    <x v="172"/>
    <x v="199"/>
    <x v="19"/>
    <n v="180"/>
    <n v="-80"/>
    <n v="-150"/>
    <n v="100"/>
    <n v="96"/>
    <x v="0"/>
    <n v="-1.7721518987341771"/>
    <n v="-0.52531645569620256"/>
    <n v="22"/>
  </r>
  <r>
    <n v="718"/>
    <x v="42"/>
    <n v="42"/>
    <x v="722"/>
    <n v="1003"/>
    <n v="124"/>
    <x v="0"/>
    <x v="2"/>
    <n v="24"/>
    <x v="0"/>
    <x v="1"/>
    <x v="2"/>
    <x v="117"/>
    <x v="134"/>
    <x v="19"/>
    <n v="90"/>
    <n v="120"/>
    <n v="90"/>
    <n v="210"/>
    <n v="35"/>
    <x v="1"/>
    <n v="0.5892857142857143"/>
    <n v="0.6160714285714286"/>
    <n v="11"/>
  </r>
  <r>
    <n v="518"/>
    <x v="56"/>
    <n v="47"/>
    <x v="723"/>
    <n v="959"/>
    <n v="179"/>
    <x v="0"/>
    <x v="2"/>
    <n v="34"/>
    <x v="0"/>
    <x v="1"/>
    <x v="11"/>
    <x v="111"/>
    <x v="141"/>
    <x v="19"/>
    <n v="120"/>
    <n v="190"/>
    <n v="150"/>
    <n v="310"/>
    <n v="46"/>
    <x v="1"/>
    <n v="0.61180124223602483"/>
    <n v="0.61801242236024845"/>
    <n v="12"/>
  </r>
  <r>
    <n v="719"/>
    <x v="77"/>
    <n v="-34"/>
    <x v="724"/>
    <n v="971"/>
    <n v="157"/>
    <x v="0"/>
    <x v="0"/>
    <n v="30"/>
    <x v="1"/>
    <x v="3"/>
    <x v="5"/>
    <x v="95"/>
    <x v="165"/>
    <x v="0"/>
    <n v="100"/>
    <n v="160"/>
    <n v="150"/>
    <n v="260"/>
    <n v="41"/>
    <x v="0"/>
    <n v="0.43773584905660379"/>
    <n v="0.59245283018867922"/>
    <n v="11"/>
  </r>
  <r>
    <n v="815"/>
    <x v="90"/>
    <n v="-45"/>
    <x v="725"/>
    <n v="789"/>
    <n v="176"/>
    <x v="0"/>
    <x v="0"/>
    <n v="39"/>
    <x v="1"/>
    <x v="3"/>
    <x v="5"/>
    <x v="125"/>
    <x v="200"/>
    <x v="16"/>
    <n v="110"/>
    <n v="190"/>
    <n v="160"/>
    <n v="300"/>
    <n v="61"/>
    <x v="0"/>
    <n v="0.38590604026845637"/>
    <n v="0.59060402684563762"/>
    <n v="22"/>
  </r>
  <r>
    <n v="303"/>
    <x v="4"/>
    <n v="-74"/>
    <x v="726"/>
    <n v="650"/>
    <n v="110"/>
    <x v="0"/>
    <x v="0"/>
    <n v="23"/>
    <x v="1"/>
    <x v="2"/>
    <x v="4"/>
    <x v="4"/>
    <x v="4"/>
    <x v="0"/>
    <n v="100"/>
    <n v="160"/>
    <n v="130"/>
    <n v="260"/>
    <n v="54"/>
    <x v="0"/>
    <n v="0.30769230769230771"/>
    <n v="0.60439560439560436"/>
    <n v="31"/>
  </r>
  <r>
    <n v="312"/>
    <x v="55"/>
    <n v="-151"/>
    <x v="727"/>
    <n v="1755"/>
    <n v="239"/>
    <x v="0"/>
    <x v="0"/>
    <n v="66"/>
    <x v="1"/>
    <x v="2"/>
    <x v="4"/>
    <x v="173"/>
    <x v="201"/>
    <x v="16"/>
    <n v="340"/>
    <n v="370"/>
    <n v="300"/>
    <n v="710"/>
    <n v="90"/>
    <x v="0"/>
    <n v="0.31171548117154813"/>
    <n v="0.5"/>
    <n v="24"/>
  </r>
  <r>
    <n v="614"/>
    <x v="14"/>
    <n v="-58"/>
    <x v="728"/>
    <n v="404"/>
    <n v="66"/>
    <x v="0"/>
    <x v="0"/>
    <n v="20"/>
    <x v="1"/>
    <x v="2"/>
    <x v="4"/>
    <x v="14"/>
    <x v="10"/>
    <x v="18"/>
    <n v="70"/>
    <n v="100"/>
    <n v="70"/>
    <n v="170"/>
    <n v="54"/>
    <x v="0"/>
    <n v="0.1"/>
    <n v="0.55000000000000004"/>
    <n v="34"/>
  </r>
  <r>
    <n v="970"/>
    <x v="56"/>
    <n v="-27"/>
    <x v="729"/>
    <n v="915"/>
    <n v="179"/>
    <x v="0"/>
    <x v="0"/>
    <n v="34"/>
    <x v="1"/>
    <x v="3"/>
    <x v="6"/>
    <x v="99"/>
    <x v="125"/>
    <x v="0"/>
    <n v="120"/>
    <n v="180"/>
    <n v="160"/>
    <n v="300"/>
    <n v="46"/>
    <x v="1"/>
    <n v="0.44039735099337746"/>
    <n v="0.5927152317880795"/>
    <n v="12"/>
  </r>
  <r>
    <n v="815"/>
    <x v="91"/>
    <n v="-40"/>
    <x v="730"/>
    <n v="1132"/>
    <n v="213"/>
    <x v="0"/>
    <x v="0"/>
    <n v="50"/>
    <x v="1"/>
    <x v="3"/>
    <x v="7"/>
    <x v="174"/>
    <x v="202"/>
    <x v="16"/>
    <n v="150"/>
    <n v="220"/>
    <n v="160"/>
    <n v="370"/>
    <n v="93"/>
    <x v="1"/>
    <n v="0.32697547683923706"/>
    <n v="0.5803814713896458"/>
    <n v="43"/>
  </r>
  <r>
    <n v="303"/>
    <x v="35"/>
    <n v="-91"/>
    <x v="731"/>
    <n v="580"/>
    <n v="111"/>
    <x v="0"/>
    <x v="0"/>
    <n v="21"/>
    <x v="1"/>
    <x v="2"/>
    <x v="8"/>
    <x v="63"/>
    <x v="76"/>
    <x v="0"/>
    <n v="100"/>
    <n v="180"/>
    <n v="170"/>
    <n v="280"/>
    <n v="32"/>
    <x v="1"/>
    <n v="0.42245989304812837"/>
    <n v="0.5935828877005348"/>
    <n v="11"/>
  </r>
  <r>
    <n v="815"/>
    <x v="92"/>
    <n v="-196"/>
    <x v="732"/>
    <n v="1662"/>
    <n v="341"/>
    <x v="0"/>
    <x v="0"/>
    <n v="84"/>
    <x v="1"/>
    <x v="2"/>
    <x v="8"/>
    <x v="175"/>
    <x v="203"/>
    <x v="16"/>
    <n v="370"/>
    <n v="520"/>
    <n v="420"/>
    <n v="890"/>
    <n v="117"/>
    <x v="1"/>
    <n v="0.37458193979933108"/>
    <n v="0.57023411371237454"/>
    <n v="33"/>
  </r>
  <r>
    <n v="567"/>
    <x v="75"/>
    <n v="-98"/>
    <x v="733"/>
    <n v="1267"/>
    <n v="161"/>
    <x v="0"/>
    <x v="0"/>
    <n v="45"/>
    <x v="1"/>
    <x v="2"/>
    <x v="8"/>
    <x v="115"/>
    <x v="141"/>
    <x v="18"/>
    <n v="230"/>
    <n v="240"/>
    <n v="190"/>
    <n v="470"/>
    <n v="69"/>
    <x v="1"/>
    <n v="0.2857142857142857"/>
    <n v="0.5"/>
    <n v="24"/>
  </r>
  <r>
    <n v="719"/>
    <x v="75"/>
    <n v="-18"/>
    <x v="734"/>
    <n v="1267"/>
    <n v="161"/>
    <x v="0"/>
    <x v="0"/>
    <n v="45"/>
    <x v="0"/>
    <x v="0"/>
    <x v="10"/>
    <x v="115"/>
    <x v="141"/>
    <x v="0"/>
    <n v="120"/>
    <n v="140"/>
    <n v="110"/>
    <n v="260"/>
    <n v="69"/>
    <x v="0"/>
    <n v="0.2857142857142857"/>
    <n v="0.5"/>
    <n v="24"/>
  </r>
  <r>
    <n v="708"/>
    <x v="56"/>
    <n v="-7"/>
    <x v="735"/>
    <n v="915"/>
    <n v="179"/>
    <x v="0"/>
    <x v="0"/>
    <n v="34"/>
    <x v="0"/>
    <x v="0"/>
    <x v="10"/>
    <x v="99"/>
    <x v="125"/>
    <x v="16"/>
    <n v="90"/>
    <n v="150"/>
    <n v="140"/>
    <n v="240"/>
    <n v="46"/>
    <x v="0"/>
    <n v="0.44039735099337746"/>
    <n v="0.5927152317880795"/>
    <n v="12"/>
  </r>
  <r>
    <n v="815"/>
    <x v="77"/>
    <n v="-4"/>
    <x v="736"/>
    <n v="971"/>
    <n v="157"/>
    <x v="0"/>
    <x v="0"/>
    <n v="30"/>
    <x v="0"/>
    <x v="0"/>
    <x v="1"/>
    <x v="95"/>
    <x v="165"/>
    <x v="16"/>
    <n v="80"/>
    <n v="130"/>
    <n v="120"/>
    <n v="210"/>
    <n v="41"/>
    <x v="0"/>
    <n v="0.43773584905660379"/>
    <n v="0.59245283018867922"/>
    <n v="11"/>
  </r>
  <r>
    <n v="234"/>
    <x v="16"/>
    <n v="5"/>
    <x v="737"/>
    <n v="788"/>
    <n v="123"/>
    <x v="0"/>
    <x v="0"/>
    <n v="27"/>
    <x v="0"/>
    <x v="1"/>
    <x v="2"/>
    <x v="56"/>
    <x v="17"/>
    <x v="18"/>
    <n v="50"/>
    <n v="90"/>
    <n v="60"/>
    <n v="140"/>
    <n v="58"/>
    <x v="1"/>
    <n v="0.31707317073170732"/>
    <n v="0.6"/>
    <n v="31"/>
  </r>
  <r>
    <n v="614"/>
    <x v="17"/>
    <n v="-4"/>
    <x v="738"/>
    <n v="656"/>
    <n v="127"/>
    <x v="0"/>
    <x v="0"/>
    <n v="28"/>
    <x v="0"/>
    <x v="1"/>
    <x v="11"/>
    <x v="20"/>
    <x v="18"/>
    <x v="18"/>
    <n v="50"/>
    <n v="100"/>
    <n v="80"/>
    <n v="150"/>
    <n v="51"/>
    <x v="1"/>
    <n v="0.34862385321100919"/>
    <n v="0.58256880733944949"/>
    <n v="23"/>
  </r>
  <r>
    <n v="720"/>
    <x v="57"/>
    <n v="-6"/>
    <x v="739"/>
    <n v="572"/>
    <n v="115"/>
    <x v="0"/>
    <x v="0"/>
    <n v="29"/>
    <x v="0"/>
    <x v="1"/>
    <x v="3"/>
    <x v="62"/>
    <x v="17"/>
    <x v="0"/>
    <n v="50"/>
    <n v="90"/>
    <n v="80"/>
    <n v="140"/>
    <n v="41"/>
    <x v="1"/>
    <n v="0.36097560975609755"/>
    <n v="0.56097560975609762"/>
    <n v="12"/>
  </r>
  <r>
    <n v="641"/>
    <x v="93"/>
    <n v="-12"/>
    <x v="740"/>
    <n v="598"/>
    <n v="13"/>
    <x v="1"/>
    <x v="0"/>
    <n v="3"/>
    <x v="1"/>
    <x v="3"/>
    <x v="5"/>
    <x v="13"/>
    <x v="204"/>
    <x v="4"/>
    <n v="0"/>
    <n v="10"/>
    <n v="10"/>
    <n v="10"/>
    <n v="15"/>
    <x v="0"/>
    <n v="-8.6956521739130432E-2"/>
    <n v="0.56521739130434778"/>
    <n v="12"/>
  </r>
  <r>
    <n v="715"/>
    <x v="42"/>
    <n v="-39"/>
    <x v="741"/>
    <n v="547"/>
    <n v="116"/>
    <x v="1"/>
    <x v="0"/>
    <n v="28"/>
    <x v="1"/>
    <x v="3"/>
    <x v="5"/>
    <x v="176"/>
    <x v="160"/>
    <x v="13"/>
    <n v="80"/>
    <n v="120"/>
    <n v="100"/>
    <n v="200"/>
    <n v="55"/>
    <x v="0"/>
    <n v="0.30198019801980197"/>
    <n v="0.57425742574257421"/>
    <n v="27"/>
  </r>
  <r>
    <n v="816"/>
    <x v="38"/>
    <n v="-35"/>
    <x v="742"/>
    <n v="593"/>
    <n v="98"/>
    <x v="1"/>
    <x v="0"/>
    <n v="30"/>
    <x v="1"/>
    <x v="3"/>
    <x v="7"/>
    <x v="3"/>
    <x v="79"/>
    <x v="12"/>
    <n v="70"/>
    <n v="100"/>
    <n v="70"/>
    <n v="170"/>
    <n v="63"/>
    <x v="1"/>
    <n v="0.19774011299435029"/>
    <n v="0.5536723163841808"/>
    <n v="33"/>
  </r>
  <r>
    <n v="715"/>
    <x v="59"/>
    <n v="-42"/>
    <x v="743"/>
    <n v="683"/>
    <n v="134"/>
    <x v="1"/>
    <x v="0"/>
    <n v="87"/>
    <x v="1"/>
    <x v="3"/>
    <x v="7"/>
    <x v="47"/>
    <x v="127"/>
    <x v="13"/>
    <n v="90"/>
    <n v="140"/>
    <n v="60"/>
    <n v="230"/>
    <n v="116"/>
    <x v="1"/>
    <n v="7.8260869565217397E-2"/>
    <n v="0.58260869565217388"/>
    <n v="29"/>
  </r>
  <r>
    <n v="314"/>
    <x v="9"/>
    <n v="-54"/>
    <x v="744"/>
    <n v="881"/>
    <n v="59"/>
    <x v="1"/>
    <x v="0"/>
    <n v="11"/>
    <x v="1"/>
    <x v="2"/>
    <x v="8"/>
    <x v="18"/>
    <x v="9"/>
    <x v="12"/>
    <n v="50"/>
    <n v="90"/>
    <n v="90"/>
    <n v="140"/>
    <n v="23"/>
    <x v="1"/>
    <n v="0.36363636363636365"/>
    <n v="0.59595959595959591"/>
    <n v="12"/>
  </r>
  <r>
    <n v="608"/>
    <x v="29"/>
    <n v="-72"/>
    <x v="745"/>
    <n v="1055"/>
    <n v="94"/>
    <x v="1"/>
    <x v="0"/>
    <n v="24"/>
    <x v="1"/>
    <x v="2"/>
    <x v="8"/>
    <x v="21"/>
    <x v="75"/>
    <x v="13"/>
    <n v="110"/>
    <n v="140"/>
    <n v="120"/>
    <n v="250"/>
    <n v="46"/>
    <x v="1"/>
    <n v="0.27586206896551724"/>
    <n v="0.54022988505747127"/>
    <n v="22"/>
  </r>
  <r>
    <n v="712"/>
    <x v="92"/>
    <n v="14"/>
    <x v="746"/>
    <n v="1662"/>
    <n v="341"/>
    <x v="1"/>
    <x v="0"/>
    <n v="84"/>
    <x v="0"/>
    <x v="0"/>
    <x v="10"/>
    <x v="175"/>
    <x v="203"/>
    <x v="4"/>
    <n v="200"/>
    <n v="280"/>
    <n v="210"/>
    <n v="480"/>
    <n v="117"/>
    <x v="0"/>
    <n v="0.37458193979933108"/>
    <n v="0.57023411371237454"/>
    <n v="33"/>
  </r>
  <r>
    <n v="641"/>
    <x v="90"/>
    <n v="-16"/>
    <x v="747"/>
    <n v="789"/>
    <n v="176"/>
    <x v="1"/>
    <x v="0"/>
    <n v="39"/>
    <x v="0"/>
    <x v="0"/>
    <x v="0"/>
    <x v="124"/>
    <x v="200"/>
    <x v="4"/>
    <n v="90"/>
    <n v="150"/>
    <n v="130"/>
    <n v="240"/>
    <n v="62"/>
    <x v="0"/>
    <n v="0.3825503355704698"/>
    <n v="0.59060402684563762"/>
    <n v="23"/>
  </r>
  <r>
    <n v="573"/>
    <x v="42"/>
    <n v="-36"/>
    <x v="748"/>
    <n v="1698"/>
    <n v="23"/>
    <x v="1"/>
    <x v="0"/>
    <n v="26"/>
    <x v="0"/>
    <x v="0"/>
    <x v="0"/>
    <x v="77"/>
    <x v="12"/>
    <x v="12"/>
    <n v="60"/>
    <n v="20"/>
    <n v="10"/>
    <n v="80"/>
    <n v="49"/>
    <x v="0"/>
    <n v="-0.23853211009174313"/>
    <n v="0.21100917431192662"/>
    <n v="23"/>
  </r>
  <r>
    <n v="563"/>
    <x v="55"/>
    <n v="39"/>
    <x v="749"/>
    <n v="1755"/>
    <n v="239"/>
    <x v="1"/>
    <x v="0"/>
    <n v="66"/>
    <x v="0"/>
    <x v="1"/>
    <x v="2"/>
    <x v="173"/>
    <x v="201"/>
    <x v="4"/>
    <n v="170"/>
    <n v="170"/>
    <n v="110"/>
    <n v="340"/>
    <n v="90"/>
    <x v="1"/>
    <n v="0.31171548117154813"/>
    <n v="0.5"/>
    <n v="24"/>
  </r>
  <r>
    <n v="563"/>
    <x v="76"/>
    <n v="53"/>
    <x v="750"/>
    <n v="1756"/>
    <n v="312"/>
    <x v="1"/>
    <x v="0"/>
    <n v="96"/>
    <x v="0"/>
    <x v="1"/>
    <x v="11"/>
    <x v="177"/>
    <x v="205"/>
    <x v="4"/>
    <n v="170"/>
    <n v="230"/>
    <n v="130"/>
    <n v="400"/>
    <n v="129"/>
    <x v="1"/>
    <n v="0.32275132275132273"/>
    <n v="0.55026455026455023"/>
    <n v="33"/>
  </r>
  <r>
    <n v="417"/>
    <x v="51"/>
    <n v="-11"/>
    <x v="751"/>
    <n v="209"/>
    <n v="31"/>
    <x v="1"/>
    <x v="0"/>
    <n v="9"/>
    <x v="0"/>
    <x v="1"/>
    <x v="11"/>
    <x v="84"/>
    <x v="82"/>
    <x v="12"/>
    <n v="10"/>
    <n v="20"/>
    <n v="0"/>
    <n v="30"/>
    <n v="42"/>
    <x v="1"/>
    <n v="-0.19642857142857142"/>
    <n v="0.5535714285714286"/>
    <n v="33"/>
  </r>
  <r>
    <n v="970"/>
    <x v="68"/>
    <n v="4"/>
    <x v="752"/>
    <n v="984"/>
    <n v="117"/>
    <x v="0"/>
    <x v="0"/>
    <n v="22"/>
    <x v="1"/>
    <x v="3"/>
    <x v="5"/>
    <x v="144"/>
    <x v="172"/>
    <x v="0"/>
    <n v="80"/>
    <n v="110"/>
    <n v="80"/>
    <n v="190"/>
    <n v="33"/>
    <x v="0"/>
    <n v="0.42424242424242425"/>
    <n v="0.59090909090909094"/>
    <n v="11"/>
  </r>
  <r>
    <n v="815"/>
    <x v="94"/>
    <n v="-4"/>
    <x v="753"/>
    <n v="803"/>
    <n v="165"/>
    <x v="0"/>
    <x v="0"/>
    <n v="36"/>
    <x v="1"/>
    <x v="3"/>
    <x v="5"/>
    <x v="178"/>
    <x v="206"/>
    <x v="16"/>
    <n v="110"/>
    <n v="160"/>
    <n v="110"/>
    <n v="270"/>
    <n v="59"/>
    <x v="0"/>
    <n v="0.38129496402877699"/>
    <n v="0.59352517985611508"/>
    <n v="23"/>
  </r>
  <r>
    <n v="303"/>
    <x v="19"/>
    <n v="-42"/>
    <x v="754"/>
    <n v="659"/>
    <n v="114"/>
    <x v="0"/>
    <x v="0"/>
    <n v="24"/>
    <x v="1"/>
    <x v="2"/>
    <x v="4"/>
    <x v="85"/>
    <x v="90"/>
    <x v="0"/>
    <n v="90"/>
    <n v="150"/>
    <n v="100"/>
    <n v="240"/>
    <n v="56"/>
    <x v="0"/>
    <n v="0.30687830687830686"/>
    <n v="0.60317460317460314"/>
    <n v="32"/>
  </r>
  <r>
    <n v="847"/>
    <x v="82"/>
    <n v="-71"/>
    <x v="755"/>
    <n v="1778"/>
    <n v="212"/>
    <x v="0"/>
    <x v="0"/>
    <n v="59"/>
    <x v="1"/>
    <x v="2"/>
    <x v="4"/>
    <x v="113"/>
    <x v="207"/>
    <x v="16"/>
    <n v="270"/>
    <n v="270"/>
    <n v="200"/>
    <n v="540"/>
    <n v="83"/>
    <x v="0"/>
    <n v="0.30496453900709219"/>
    <n v="0.50118203309692666"/>
    <n v="24"/>
  </r>
  <r>
    <n v="970"/>
    <x v="61"/>
    <n v="-2"/>
    <x v="756"/>
    <n v="930"/>
    <n v="172"/>
    <x v="0"/>
    <x v="0"/>
    <n v="33"/>
    <x v="1"/>
    <x v="3"/>
    <x v="6"/>
    <x v="179"/>
    <x v="129"/>
    <x v="0"/>
    <n v="110"/>
    <n v="170"/>
    <n v="130"/>
    <n v="280"/>
    <n v="44"/>
    <x v="1"/>
    <n v="0.44137931034482758"/>
    <n v="0.59310344827586203"/>
    <n v="11"/>
  </r>
  <r>
    <n v="815"/>
    <x v="95"/>
    <n v="-1"/>
    <x v="757"/>
    <n v="1150"/>
    <n v="239"/>
    <x v="0"/>
    <x v="0"/>
    <n v="57"/>
    <x v="1"/>
    <x v="3"/>
    <x v="7"/>
    <x v="180"/>
    <x v="208"/>
    <x v="16"/>
    <n v="170"/>
    <n v="230"/>
    <n v="140"/>
    <n v="400"/>
    <n v="100"/>
    <x v="1"/>
    <n v="0.33737864077669905"/>
    <n v="0.58009708737864074"/>
    <n v="43"/>
  </r>
  <r>
    <n v="303"/>
    <x v="18"/>
    <n v="-22"/>
    <x v="758"/>
    <n v="589"/>
    <n v="73"/>
    <x v="0"/>
    <x v="0"/>
    <n v="14"/>
    <x v="1"/>
    <x v="2"/>
    <x v="8"/>
    <x v="21"/>
    <x v="1"/>
    <x v="0"/>
    <n v="60"/>
    <n v="90"/>
    <n v="70"/>
    <n v="150"/>
    <n v="25"/>
    <x v="1"/>
    <n v="0.3902439024390244"/>
    <n v="0.5934959349593496"/>
    <n v="11"/>
  </r>
  <r>
    <n v="224"/>
    <x v="96"/>
    <n v="-94"/>
    <x v="759"/>
    <n v="1691"/>
    <n v="304"/>
    <x v="0"/>
    <x v="0"/>
    <n v="75"/>
    <x v="1"/>
    <x v="2"/>
    <x v="8"/>
    <x v="181"/>
    <x v="209"/>
    <x v="16"/>
    <n v="290"/>
    <n v="390"/>
    <n v="290"/>
    <n v="680"/>
    <n v="108"/>
    <x v="1"/>
    <n v="0.36842105263157893"/>
    <n v="0.5714285714285714"/>
    <n v="33"/>
  </r>
  <r>
    <n v="440"/>
    <x v="81"/>
    <n v="-63"/>
    <x v="760"/>
    <n v="1283"/>
    <n v="182"/>
    <x v="0"/>
    <x v="0"/>
    <n v="50"/>
    <x v="1"/>
    <x v="2"/>
    <x v="8"/>
    <x v="120"/>
    <x v="169"/>
    <x v="18"/>
    <n v="230"/>
    <n v="230"/>
    <n v="170"/>
    <n v="460"/>
    <n v="75"/>
    <x v="1"/>
    <n v="0.29476584022038566"/>
    <n v="0.50137741046831952"/>
    <n v="25"/>
  </r>
  <r>
    <n v="970"/>
    <x v="81"/>
    <n v="7"/>
    <x v="761"/>
    <n v="1283"/>
    <n v="182"/>
    <x v="0"/>
    <x v="0"/>
    <n v="50"/>
    <x v="0"/>
    <x v="0"/>
    <x v="10"/>
    <x v="120"/>
    <x v="169"/>
    <x v="0"/>
    <n v="170"/>
    <n v="160"/>
    <n v="100"/>
    <n v="330"/>
    <n v="75"/>
    <x v="0"/>
    <n v="0.29476584022038566"/>
    <n v="0.50137741046831952"/>
    <n v="25"/>
  </r>
  <r>
    <n v="312"/>
    <x v="61"/>
    <n v="17"/>
    <x v="762"/>
    <n v="930"/>
    <n v="172"/>
    <x v="0"/>
    <x v="0"/>
    <n v="33"/>
    <x v="0"/>
    <x v="0"/>
    <x v="10"/>
    <x v="102"/>
    <x v="129"/>
    <x v="16"/>
    <n v="110"/>
    <n v="150"/>
    <n v="110"/>
    <n v="260"/>
    <n v="45"/>
    <x v="0"/>
    <n v="0.43793103448275861"/>
    <n v="0.59310344827586203"/>
    <n v="12"/>
  </r>
  <r>
    <n v="630"/>
    <x v="68"/>
    <n v="4"/>
    <x v="763"/>
    <n v="984"/>
    <n v="117"/>
    <x v="0"/>
    <x v="0"/>
    <n v="22"/>
    <x v="0"/>
    <x v="0"/>
    <x v="1"/>
    <x v="144"/>
    <x v="172"/>
    <x v="16"/>
    <n v="70"/>
    <n v="110"/>
    <n v="80"/>
    <n v="180"/>
    <n v="33"/>
    <x v="0"/>
    <n v="0.42424242424242425"/>
    <n v="0.59090909090909094"/>
    <n v="11"/>
  </r>
  <r>
    <n v="330"/>
    <x v="62"/>
    <n v="2"/>
    <x v="764"/>
    <n v="798"/>
    <n v="119"/>
    <x v="0"/>
    <x v="0"/>
    <n v="25"/>
    <x v="0"/>
    <x v="1"/>
    <x v="2"/>
    <x v="103"/>
    <x v="130"/>
    <x v="18"/>
    <n v="60"/>
    <n v="100"/>
    <n v="60"/>
    <n v="160"/>
    <n v="57"/>
    <x v="1"/>
    <n v="0.31472081218274112"/>
    <n v="0.60406091370558379"/>
    <n v="32"/>
  </r>
  <r>
    <n v="630"/>
    <x v="19"/>
    <n v="9"/>
    <x v="765"/>
    <n v="659"/>
    <n v="114"/>
    <x v="0"/>
    <x v="0"/>
    <n v="24"/>
    <x v="0"/>
    <x v="1"/>
    <x v="11"/>
    <x v="93"/>
    <x v="90"/>
    <x v="16"/>
    <n v="60"/>
    <n v="90"/>
    <n v="50"/>
    <n v="150"/>
    <n v="55"/>
    <x v="1"/>
    <n v="0.31216931216931215"/>
    <n v="0.60317460317460314"/>
    <n v="31"/>
  </r>
  <r>
    <n v="419"/>
    <x v="64"/>
    <n v="19"/>
    <x v="766"/>
    <n v="666"/>
    <n v="143"/>
    <x v="0"/>
    <x v="0"/>
    <n v="31"/>
    <x v="0"/>
    <x v="1"/>
    <x v="11"/>
    <x v="104"/>
    <x v="132"/>
    <x v="18"/>
    <n v="80"/>
    <n v="120"/>
    <n v="70"/>
    <n v="200"/>
    <n v="54"/>
    <x v="1"/>
    <n v="0.36326530612244901"/>
    <n v="0.58367346938775511"/>
    <n v="23"/>
  </r>
  <r>
    <n v="719"/>
    <x v="63"/>
    <n v="10"/>
    <x v="767"/>
    <n v="561"/>
    <n v="112"/>
    <x v="0"/>
    <x v="0"/>
    <n v="29"/>
    <x v="0"/>
    <x v="1"/>
    <x v="3"/>
    <x v="50"/>
    <x v="131"/>
    <x v="0"/>
    <n v="70"/>
    <n v="90"/>
    <n v="60"/>
    <n v="160"/>
    <n v="42"/>
    <x v="1"/>
    <n v="0.35"/>
    <n v="0.56000000000000005"/>
    <n v="13"/>
  </r>
  <r>
    <n v="641"/>
    <x v="93"/>
    <n v="-13"/>
    <x v="768"/>
    <n v="596"/>
    <n v="13"/>
    <x v="1"/>
    <x v="0"/>
    <n v="3"/>
    <x v="1"/>
    <x v="3"/>
    <x v="5"/>
    <x v="37"/>
    <x v="204"/>
    <x v="4"/>
    <n v="0"/>
    <n v="20"/>
    <n v="10"/>
    <n v="20"/>
    <n v="16"/>
    <x v="0"/>
    <n v="-0.13043478260869565"/>
    <n v="0.56521739130434778"/>
    <n v="13"/>
  </r>
  <r>
    <n v="262"/>
    <x v="78"/>
    <n v="-9"/>
    <x v="769"/>
    <n v="557"/>
    <n v="103"/>
    <x v="1"/>
    <x v="0"/>
    <n v="25"/>
    <x v="1"/>
    <x v="3"/>
    <x v="5"/>
    <x v="94"/>
    <x v="166"/>
    <x v="13"/>
    <n v="70"/>
    <n v="100"/>
    <n v="60"/>
    <n v="170"/>
    <n v="52"/>
    <x v="0"/>
    <n v="0.28333333333333333"/>
    <n v="0.57222222222222219"/>
    <n v="27"/>
  </r>
  <r>
    <n v="563"/>
    <x v="52"/>
    <n v="-2"/>
    <x v="770"/>
    <n v="848"/>
    <n v="24"/>
    <x v="1"/>
    <x v="0"/>
    <n v="4"/>
    <x v="1"/>
    <x v="3"/>
    <x v="6"/>
    <x v="72"/>
    <x v="115"/>
    <x v="4"/>
    <n v="10"/>
    <n v="20"/>
    <n v="10"/>
    <n v="30"/>
    <n v="16"/>
    <x v="1"/>
    <n v="0.20512820512820512"/>
    <n v="0.61538461538461542"/>
    <n v="12"/>
  </r>
  <r>
    <n v="573"/>
    <x v="16"/>
    <n v="-2"/>
    <x v="771"/>
    <n v="601"/>
    <n v="102"/>
    <x v="1"/>
    <x v="0"/>
    <n v="31"/>
    <x v="1"/>
    <x v="3"/>
    <x v="7"/>
    <x v="68"/>
    <x v="106"/>
    <x v="12"/>
    <n v="80"/>
    <n v="100"/>
    <n v="40"/>
    <n v="180"/>
    <n v="64"/>
    <x v="1"/>
    <n v="0.20652173913043478"/>
    <n v="0.55434782608695654"/>
    <n v="33"/>
  </r>
  <r>
    <n v="262"/>
    <x v="66"/>
    <n v="-14"/>
    <x v="772"/>
    <n v="694"/>
    <n v="130"/>
    <x v="1"/>
    <x v="0"/>
    <n v="85"/>
    <x v="1"/>
    <x v="3"/>
    <x v="7"/>
    <x v="38"/>
    <x v="134"/>
    <x v="13"/>
    <n v="90"/>
    <n v="130"/>
    <n v="30"/>
    <n v="220"/>
    <n v="114"/>
    <x v="1"/>
    <n v="7.1428571428571425E-2"/>
    <n v="0.5803571428571429"/>
    <n v="29"/>
  </r>
  <r>
    <n v="314"/>
    <x v="14"/>
    <n v="-29"/>
    <x v="773"/>
    <n v="885"/>
    <n v="78"/>
    <x v="1"/>
    <x v="0"/>
    <n v="15"/>
    <x v="1"/>
    <x v="2"/>
    <x v="8"/>
    <x v="94"/>
    <x v="57"/>
    <x v="12"/>
    <n v="60"/>
    <n v="100"/>
    <n v="80"/>
    <n v="160"/>
    <n v="27"/>
    <x v="1"/>
    <n v="0.38636363636363635"/>
    <n v="0.59090909090909094"/>
    <n v="12"/>
  </r>
  <r>
    <n v="920"/>
    <x v="19"/>
    <n v="-25"/>
    <x v="774"/>
    <n v="1063"/>
    <n v="89"/>
    <x v="1"/>
    <x v="0"/>
    <n v="23"/>
    <x v="1"/>
    <x v="2"/>
    <x v="8"/>
    <x v="16"/>
    <x v="20"/>
    <x v="13"/>
    <n v="90"/>
    <n v="110"/>
    <n v="70"/>
    <n v="200"/>
    <n v="44"/>
    <x v="1"/>
    <n v="0.27439024390243905"/>
    <n v="0.54268292682926833"/>
    <n v="21"/>
  </r>
  <r>
    <n v="712"/>
    <x v="96"/>
    <n v="16"/>
    <x v="775"/>
    <n v="1691"/>
    <n v="304"/>
    <x v="1"/>
    <x v="0"/>
    <n v="75"/>
    <x v="0"/>
    <x v="0"/>
    <x v="10"/>
    <x v="181"/>
    <x v="209"/>
    <x v="4"/>
    <n v="210"/>
    <n v="280"/>
    <n v="180"/>
    <n v="490"/>
    <n v="108"/>
    <x v="0"/>
    <n v="0.36842105263157893"/>
    <n v="0.5714285714285714"/>
    <n v="33"/>
  </r>
  <r>
    <n v="712"/>
    <x v="94"/>
    <n v="7"/>
    <x v="776"/>
    <n v="803"/>
    <n v="165"/>
    <x v="1"/>
    <x v="0"/>
    <n v="36"/>
    <x v="0"/>
    <x v="0"/>
    <x v="0"/>
    <x v="120"/>
    <x v="206"/>
    <x v="4"/>
    <n v="100"/>
    <n v="150"/>
    <n v="100"/>
    <n v="250"/>
    <n v="58"/>
    <x v="0"/>
    <n v="0.38489208633093525"/>
    <n v="0.59352517985611508"/>
    <n v="22"/>
  </r>
  <r>
    <n v="712"/>
    <x v="82"/>
    <n v="19"/>
    <x v="777"/>
    <n v="1778"/>
    <n v="212"/>
    <x v="1"/>
    <x v="0"/>
    <n v="59"/>
    <x v="0"/>
    <x v="1"/>
    <x v="2"/>
    <x v="113"/>
    <x v="207"/>
    <x v="4"/>
    <n v="170"/>
    <n v="180"/>
    <n v="110"/>
    <n v="350"/>
    <n v="83"/>
    <x v="1"/>
    <n v="0.30496453900709219"/>
    <n v="0.50118203309692666"/>
    <n v="24"/>
  </r>
  <r>
    <n v="319"/>
    <x v="83"/>
    <n v="43"/>
    <x v="778"/>
    <n v="1784"/>
    <n v="300"/>
    <x v="1"/>
    <x v="0"/>
    <n v="93"/>
    <x v="0"/>
    <x v="1"/>
    <x v="11"/>
    <x v="182"/>
    <x v="210"/>
    <x v="4"/>
    <n v="200"/>
    <n v="250"/>
    <n v="130"/>
    <n v="450"/>
    <n v="127"/>
    <x v="1"/>
    <n v="0.31743119266055048"/>
    <n v="0.55045871559633031"/>
    <n v="34"/>
  </r>
  <r>
    <n v="720"/>
    <x v="42"/>
    <n v="-2"/>
    <x v="779"/>
    <n v="1003"/>
    <n v="124"/>
    <x v="0"/>
    <x v="0"/>
    <n v="24"/>
    <x v="1"/>
    <x v="3"/>
    <x v="5"/>
    <x v="97"/>
    <x v="145"/>
    <x v="0"/>
    <n v="80"/>
    <n v="120"/>
    <n v="90"/>
    <n v="200"/>
    <n v="36"/>
    <x v="0"/>
    <n v="0.41904761904761906"/>
    <n v="0.59047619047619049"/>
    <n v="12"/>
  </r>
  <r>
    <n v="630"/>
    <x v="97"/>
    <n v="-8"/>
    <x v="780"/>
    <n v="830"/>
    <n v="185"/>
    <x v="0"/>
    <x v="0"/>
    <n v="40"/>
    <x v="1"/>
    <x v="3"/>
    <x v="5"/>
    <x v="126"/>
    <x v="211"/>
    <x v="16"/>
    <n v="120"/>
    <n v="180"/>
    <n v="130"/>
    <n v="300"/>
    <n v="63"/>
    <x v="0"/>
    <n v="0.39102564102564102"/>
    <n v="0.59294871794871795"/>
    <n v="23"/>
  </r>
  <r>
    <n v="970"/>
    <x v="49"/>
    <n v="-33"/>
    <x v="781"/>
    <n v="677"/>
    <n v="101"/>
    <x v="0"/>
    <x v="0"/>
    <n v="22"/>
    <x v="1"/>
    <x v="2"/>
    <x v="4"/>
    <x v="17"/>
    <x v="107"/>
    <x v="0"/>
    <n v="80"/>
    <n v="130"/>
    <n v="80"/>
    <n v="210"/>
    <n v="54"/>
    <x v="0"/>
    <n v="0.27976190476190477"/>
    <n v="0.60119047619047616"/>
    <n v="32"/>
  </r>
  <r>
    <n v="630"/>
    <x v="88"/>
    <n v="-83"/>
    <x v="782"/>
    <n v="1820"/>
    <n v="251"/>
    <x v="0"/>
    <x v="0"/>
    <n v="70"/>
    <x v="1"/>
    <x v="2"/>
    <x v="4"/>
    <x v="183"/>
    <x v="212"/>
    <x v="16"/>
    <n v="320"/>
    <n v="320"/>
    <n v="240"/>
    <n v="640"/>
    <n v="94"/>
    <x v="0"/>
    <n v="0.31337325349301398"/>
    <n v="0.50099800399201599"/>
    <n v="24"/>
  </r>
  <r>
    <n v="719"/>
    <x v="56"/>
    <n v="4"/>
    <x v="783"/>
    <n v="959"/>
    <n v="179"/>
    <x v="0"/>
    <x v="0"/>
    <n v="34"/>
    <x v="1"/>
    <x v="3"/>
    <x v="6"/>
    <x v="136"/>
    <x v="125"/>
    <x v="0"/>
    <n v="120"/>
    <n v="170"/>
    <n v="130"/>
    <n v="290"/>
    <n v="45"/>
    <x v="1"/>
    <n v="0.44370860927152317"/>
    <n v="0.5927152317880795"/>
    <n v="11"/>
  </r>
  <r>
    <n v="847"/>
    <x v="98"/>
    <n v="4"/>
    <x v="784"/>
    <n v="1191"/>
    <n v="310"/>
    <x v="0"/>
    <x v="0"/>
    <n v="73"/>
    <x v="1"/>
    <x v="3"/>
    <x v="7"/>
    <x v="184"/>
    <x v="213"/>
    <x v="16"/>
    <n v="220"/>
    <n v="300"/>
    <n v="190"/>
    <n v="520"/>
    <n v="116"/>
    <x v="1"/>
    <n v="0.36329588014981273"/>
    <n v="0.58052434456928836"/>
    <n v="43"/>
  </r>
  <r>
    <n v="970"/>
    <x v="14"/>
    <n v="-37"/>
    <x v="785"/>
    <n v="601"/>
    <n v="79"/>
    <x v="0"/>
    <x v="0"/>
    <n v="15"/>
    <x v="1"/>
    <x v="2"/>
    <x v="8"/>
    <x v="36"/>
    <x v="33"/>
    <x v="0"/>
    <n v="60"/>
    <n v="110"/>
    <n v="90"/>
    <n v="170"/>
    <n v="26"/>
    <x v="1"/>
    <n v="0.39849624060150374"/>
    <n v="0.59398496240601506"/>
    <n v="11"/>
  </r>
  <r>
    <n v="815"/>
    <x v="99"/>
    <n v="-104"/>
    <x v="786"/>
    <n v="1744"/>
    <n v="329"/>
    <x v="0"/>
    <x v="0"/>
    <n v="81"/>
    <x v="1"/>
    <x v="2"/>
    <x v="8"/>
    <x v="185"/>
    <x v="171"/>
    <x v="16"/>
    <n v="310"/>
    <n v="420"/>
    <n v="320"/>
    <n v="730"/>
    <n v="113"/>
    <x v="1"/>
    <n v="0.375"/>
    <n v="0.57118055555555558"/>
    <n v="32"/>
  </r>
  <r>
    <n v="740"/>
    <x v="87"/>
    <n v="-53"/>
    <x v="787"/>
    <n v="1319"/>
    <n v="153"/>
    <x v="0"/>
    <x v="0"/>
    <n v="42"/>
    <x v="1"/>
    <x v="2"/>
    <x v="8"/>
    <x v="100"/>
    <x v="176"/>
    <x v="18"/>
    <n v="190"/>
    <n v="200"/>
    <n v="140"/>
    <n v="390"/>
    <n v="66"/>
    <x v="1"/>
    <n v="0.28431372549019607"/>
    <n v="0.5"/>
    <n v="24"/>
  </r>
  <r>
    <n v="303"/>
    <x v="87"/>
    <n v="7"/>
    <x v="788"/>
    <n v="1319"/>
    <n v="153"/>
    <x v="0"/>
    <x v="0"/>
    <n v="42"/>
    <x v="0"/>
    <x v="0"/>
    <x v="10"/>
    <x v="100"/>
    <x v="176"/>
    <x v="0"/>
    <n v="140"/>
    <n v="140"/>
    <n v="80"/>
    <n v="280"/>
    <n v="66"/>
    <x v="0"/>
    <n v="0.28431372549019607"/>
    <n v="0.5"/>
    <n v="24"/>
  </r>
  <r>
    <n v="309"/>
    <x v="56"/>
    <n v="3"/>
    <x v="789"/>
    <n v="959"/>
    <n v="179"/>
    <x v="0"/>
    <x v="0"/>
    <n v="34"/>
    <x v="0"/>
    <x v="0"/>
    <x v="10"/>
    <x v="99"/>
    <x v="125"/>
    <x v="16"/>
    <n v="110"/>
    <n v="170"/>
    <n v="130"/>
    <n v="280"/>
    <n v="46"/>
    <x v="0"/>
    <n v="0.44039735099337746"/>
    <n v="0.5927152317880795"/>
    <n v="12"/>
  </r>
  <r>
    <n v="630"/>
    <x v="42"/>
    <n v="8"/>
    <x v="790"/>
    <n v="1003"/>
    <n v="124"/>
    <x v="0"/>
    <x v="0"/>
    <n v="24"/>
    <x v="0"/>
    <x v="0"/>
    <x v="1"/>
    <x v="97"/>
    <x v="145"/>
    <x v="16"/>
    <n v="80"/>
    <n v="110"/>
    <n v="80"/>
    <n v="190"/>
    <n v="36"/>
    <x v="0"/>
    <n v="0.41904761904761906"/>
    <n v="0.59047619047619049"/>
    <n v="12"/>
  </r>
  <r>
    <n v="513"/>
    <x v="63"/>
    <n v="2"/>
    <x v="791"/>
    <n v="817"/>
    <n v="133"/>
    <x v="0"/>
    <x v="0"/>
    <n v="29"/>
    <x v="0"/>
    <x v="1"/>
    <x v="2"/>
    <x v="106"/>
    <x v="136"/>
    <x v="18"/>
    <n v="70"/>
    <n v="110"/>
    <n v="70"/>
    <n v="180"/>
    <n v="61"/>
    <x v="1"/>
    <n v="0.32579185520361992"/>
    <n v="0.60180995475113119"/>
    <n v="32"/>
  </r>
  <r>
    <n v="740"/>
    <x v="69"/>
    <n v="31"/>
    <x v="792"/>
    <n v="690"/>
    <n v="186"/>
    <x v="0"/>
    <x v="0"/>
    <n v="41"/>
    <x v="0"/>
    <x v="1"/>
    <x v="11"/>
    <x v="109"/>
    <x v="137"/>
    <x v="18"/>
    <n v="110"/>
    <n v="150"/>
    <n v="90"/>
    <n v="260"/>
    <n v="65"/>
    <x v="1"/>
    <n v="0.37812499999999999"/>
    <n v="0.58125000000000004"/>
    <n v="24"/>
  </r>
  <r>
    <n v="719"/>
    <x v="68"/>
    <n v="6"/>
    <x v="793"/>
    <n v="551"/>
    <n v="104"/>
    <x v="0"/>
    <x v="0"/>
    <n v="26"/>
    <x v="0"/>
    <x v="1"/>
    <x v="3"/>
    <x v="107"/>
    <x v="86"/>
    <x v="0"/>
    <n v="60"/>
    <n v="90"/>
    <n v="60"/>
    <n v="150"/>
    <n v="38"/>
    <x v="1"/>
    <n v="0.35675675675675678"/>
    <n v="0.56216216216216219"/>
    <n v="12"/>
  </r>
  <r>
    <n v="319"/>
    <x v="93"/>
    <n v="-11"/>
    <x v="794"/>
    <n v="594"/>
    <n v="14"/>
    <x v="1"/>
    <x v="0"/>
    <n v="3"/>
    <x v="1"/>
    <x v="3"/>
    <x v="5"/>
    <x v="186"/>
    <x v="214"/>
    <x v="4"/>
    <n v="0"/>
    <n v="20"/>
    <n v="10"/>
    <n v="20"/>
    <n v="15"/>
    <x v="0"/>
    <n v="-4.1666666666666664E-2"/>
    <n v="0.58333333333333337"/>
    <n v="12"/>
  </r>
  <r>
    <n v="715"/>
    <x v="84"/>
    <n v="-13"/>
    <x v="795"/>
    <n v="575"/>
    <n v="112"/>
    <x v="1"/>
    <x v="0"/>
    <n v="27"/>
    <x v="1"/>
    <x v="3"/>
    <x v="5"/>
    <x v="67"/>
    <x v="173"/>
    <x v="13"/>
    <n v="80"/>
    <n v="110"/>
    <n v="70"/>
    <n v="190"/>
    <n v="55"/>
    <x v="0"/>
    <n v="0.29230769230769232"/>
    <n v="0.57435897435897432"/>
    <n v="28"/>
  </r>
  <r>
    <n v="573"/>
    <x v="33"/>
    <n v="-14"/>
    <x v="796"/>
    <n v="619"/>
    <n v="85"/>
    <x v="1"/>
    <x v="0"/>
    <n v="25"/>
    <x v="1"/>
    <x v="3"/>
    <x v="7"/>
    <x v="1"/>
    <x v="43"/>
    <x v="12"/>
    <n v="60"/>
    <n v="90"/>
    <n v="40"/>
    <n v="150"/>
    <n v="59"/>
    <x v="1"/>
    <n v="0.16993464052287582"/>
    <n v="0.55555555555555558"/>
    <n v="34"/>
  </r>
  <r>
    <n v="715"/>
    <x v="70"/>
    <n v="-10"/>
    <x v="797"/>
    <n v="716"/>
    <n v="145"/>
    <x v="1"/>
    <x v="0"/>
    <n v="95"/>
    <x v="1"/>
    <x v="3"/>
    <x v="7"/>
    <x v="30"/>
    <x v="139"/>
    <x v="13"/>
    <n v="100"/>
    <n v="140"/>
    <n v="30"/>
    <n v="240"/>
    <n v="125"/>
    <x v="1"/>
    <n v="0.08"/>
    <n v="0.57999999999999996"/>
    <n v="30"/>
  </r>
  <r>
    <n v="314"/>
    <x v="18"/>
    <n v="-22"/>
    <x v="798"/>
    <n v="898"/>
    <n v="73"/>
    <x v="1"/>
    <x v="0"/>
    <n v="14"/>
    <x v="1"/>
    <x v="2"/>
    <x v="8"/>
    <x v="21"/>
    <x v="1"/>
    <x v="12"/>
    <n v="60"/>
    <n v="90"/>
    <n v="70"/>
    <n v="150"/>
    <n v="25"/>
    <x v="1"/>
    <n v="0.3902439024390244"/>
    <n v="0.5934959349593496"/>
    <n v="11"/>
  </r>
  <r>
    <n v="715"/>
    <x v="29"/>
    <n v="-30"/>
    <x v="799"/>
    <n v="1079"/>
    <n v="96"/>
    <x v="1"/>
    <x v="0"/>
    <n v="24"/>
    <x v="1"/>
    <x v="2"/>
    <x v="8"/>
    <x v="35"/>
    <x v="37"/>
    <x v="13"/>
    <n v="100"/>
    <n v="120"/>
    <n v="80"/>
    <n v="220"/>
    <n v="46"/>
    <x v="1"/>
    <n v="0.28409090909090912"/>
    <n v="0.54545454545454541"/>
    <n v="22"/>
  </r>
  <r>
    <n v="641"/>
    <x v="99"/>
    <n v="16"/>
    <x v="800"/>
    <n v="1744"/>
    <n v="329"/>
    <x v="1"/>
    <x v="0"/>
    <n v="81"/>
    <x v="0"/>
    <x v="0"/>
    <x v="10"/>
    <x v="185"/>
    <x v="171"/>
    <x v="4"/>
    <n v="230"/>
    <n v="300"/>
    <n v="200"/>
    <n v="530"/>
    <n v="113"/>
    <x v="0"/>
    <n v="0.375"/>
    <n v="0.57118055555555558"/>
    <n v="32"/>
  </r>
  <r>
    <n v="319"/>
    <x v="97"/>
    <n v="3"/>
    <x v="801"/>
    <n v="830"/>
    <n v="185"/>
    <x v="1"/>
    <x v="0"/>
    <n v="40"/>
    <x v="0"/>
    <x v="0"/>
    <x v="0"/>
    <x v="187"/>
    <x v="211"/>
    <x v="4"/>
    <n v="120"/>
    <n v="170"/>
    <n v="120"/>
    <n v="290"/>
    <n v="62"/>
    <x v="0"/>
    <n v="0.39423076923076922"/>
    <n v="0.59294871794871795"/>
    <n v="22"/>
  </r>
  <r>
    <n v="641"/>
    <x v="88"/>
    <n v="36"/>
    <x v="802"/>
    <n v="1820"/>
    <n v="251"/>
    <x v="1"/>
    <x v="0"/>
    <n v="70"/>
    <x v="0"/>
    <x v="1"/>
    <x v="2"/>
    <x v="129"/>
    <x v="212"/>
    <x v="4"/>
    <n v="210"/>
    <n v="200"/>
    <n v="120"/>
    <n v="410"/>
    <n v="95"/>
    <x v="1"/>
    <n v="0.31137724550898205"/>
    <n v="0.50099800399201599"/>
    <n v="25"/>
  </r>
  <r>
    <n v="641"/>
    <x v="89"/>
    <n v="46"/>
    <x v="803"/>
    <n v="1838"/>
    <n v="360"/>
    <x v="1"/>
    <x v="0"/>
    <n v="111"/>
    <x v="0"/>
    <x v="1"/>
    <x v="11"/>
    <x v="185"/>
    <x v="215"/>
    <x v="4"/>
    <n v="240"/>
    <n v="300"/>
    <n v="170"/>
    <n v="540"/>
    <n v="144"/>
    <x v="1"/>
    <n v="0.33027522935779818"/>
    <n v="0.55045871559633031"/>
    <n v="33"/>
  </r>
  <r>
    <n v="573"/>
    <x v="54"/>
    <n v="-6"/>
    <x v="804"/>
    <n v="218"/>
    <n v="25"/>
    <x v="1"/>
    <x v="0"/>
    <n v="7"/>
    <x v="0"/>
    <x v="1"/>
    <x v="11"/>
    <x v="86"/>
    <x v="117"/>
    <x v="12"/>
    <n v="10"/>
    <n v="20"/>
    <n v="-10"/>
    <n v="30"/>
    <n v="41"/>
    <x v="1"/>
    <n v="-0.35555555555555557"/>
    <n v="0.55555555555555558"/>
    <n v="34"/>
  </r>
  <r>
    <n v="719"/>
    <x v="77"/>
    <n v="22"/>
    <x v="805"/>
    <n v="971"/>
    <n v="157"/>
    <x v="0"/>
    <x v="0"/>
    <n v="30"/>
    <x v="1"/>
    <x v="3"/>
    <x v="5"/>
    <x v="188"/>
    <x v="185"/>
    <x v="0"/>
    <n v="100"/>
    <n v="160"/>
    <n v="150"/>
    <n v="260"/>
    <n v="41"/>
    <x v="0"/>
    <n v="0.60992907801418439"/>
    <n v="0.61702127659574468"/>
    <n v="11"/>
  </r>
  <r>
    <n v="815"/>
    <x v="90"/>
    <n v="11"/>
    <x v="806"/>
    <n v="789"/>
    <n v="176"/>
    <x v="0"/>
    <x v="0"/>
    <n v="39"/>
    <x v="1"/>
    <x v="3"/>
    <x v="5"/>
    <x v="127"/>
    <x v="216"/>
    <x v="16"/>
    <n v="110"/>
    <n v="190"/>
    <n v="160"/>
    <n v="300"/>
    <n v="61"/>
    <x v="0"/>
    <n v="0.53773584905660377"/>
    <n v="0.61635220125786161"/>
    <n v="22"/>
  </r>
  <r>
    <n v="970"/>
    <x v="4"/>
    <n v="-47"/>
    <x v="807"/>
    <n v="650"/>
    <n v="110"/>
    <x v="0"/>
    <x v="0"/>
    <n v="23"/>
    <x v="1"/>
    <x v="2"/>
    <x v="4"/>
    <x v="42"/>
    <x v="47"/>
    <x v="0"/>
    <n v="100"/>
    <n v="160"/>
    <n v="130"/>
    <n v="260"/>
    <n v="54"/>
    <x v="0"/>
    <n v="0.42783505154639173"/>
    <n v="0.62886597938144329"/>
    <n v="31"/>
  </r>
  <r>
    <n v="773"/>
    <x v="55"/>
    <n v="-79"/>
    <x v="808"/>
    <n v="1755"/>
    <n v="239"/>
    <x v="0"/>
    <x v="0"/>
    <n v="66"/>
    <x v="1"/>
    <x v="2"/>
    <x v="4"/>
    <x v="189"/>
    <x v="217"/>
    <x v="16"/>
    <n v="340"/>
    <n v="370"/>
    <n v="300"/>
    <n v="710"/>
    <n v="90"/>
    <x v="0"/>
    <n v="0.43418467583497056"/>
    <n v="0.53045186640471509"/>
    <n v="24"/>
  </r>
  <r>
    <n v="419"/>
    <x v="14"/>
    <n v="-52"/>
    <x v="809"/>
    <n v="404"/>
    <n v="66"/>
    <x v="0"/>
    <x v="0"/>
    <n v="20"/>
    <x v="1"/>
    <x v="2"/>
    <x v="4"/>
    <x v="47"/>
    <x v="51"/>
    <x v="18"/>
    <n v="70"/>
    <n v="100"/>
    <n v="70"/>
    <n v="170"/>
    <n v="54"/>
    <x v="0"/>
    <n v="0.140625"/>
    <n v="0.578125"/>
    <n v="34"/>
  </r>
  <r>
    <n v="719"/>
    <x v="56"/>
    <n v="37"/>
    <x v="810"/>
    <n v="915"/>
    <n v="179"/>
    <x v="0"/>
    <x v="0"/>
    <n v="34"/>
    <x v="1"/>
    <x v="3"/>
    <x v="6"/>
    <x v="111"/>
    <x v="141"/>
    <x v="0"/>
    <n v="120"/>
    <n v="180"/>
    <n v="160"/>
    <n v="300"/>
    <n v="46"/>
    <x v="1"/>
    <n v="0.61180124223602483"/>
    <n v="0.61801242236024845"/>
    <n v="12"/>
  </r>
  <r>
    <n v="815"/>
    <x v="91"/>
    <n v="18"/>
    <x v="811"/>
    <n v="1132"/>
    <n v="213"/>
    <x v="0"/>
    <x v="0"/>
    <n v="50"/>
    <x v="1"/>
    <x v="3"/>
    <x v="7"/>
    <x v="190"/>
    <x v="218"/>
    <x v="16"/>
    <n v="150"/>
    <n v="220"/>
    <n v="160"/>
    <n v="370"/>
    <n v="93"/>
    <x v="1"/>
    <n v="0.45524296675191817"/>
    <n v="0.60613810741687979"/>
    <n v="43"/>
  </r>
  <r>
    <n v="970"/>
    <x v="35"/>
    <n v="-53"/>
    <x v="812"/>
    <n v="580"/>
    <n v="111"/>
    <x v="0"/>
    <x v="0"/>
    <n v="21"/>
    <x v="1"/>
    <x v="2"/>
    <x v="8"/>
    <x v="73"/>
    <x v="87"/>
    <x v="0"/>
    <n v="100"/>
    <n v="180"/>
    <n v="170"/>
    <n v="280"/>
    <n v="32"/>
    <x v="1"/>
    <n v="0.5879396984924623"/>
    <n v="0.61809045226130654"/>
    <n v="11"/>
  </r>
  <r>
    <n v="312"/>
    <x v="92"/>
    <n v="-88"/>
    <x v="813"/>
    <n v="1662"/>
    <n v="341"/>
    <x v="0"/>
    <x v="0"/>
    <n v="84"/>
    <x v="1"/>
    <x v="2"/>
    <x v="8"/>
    <x v="191"/>
    <x v="219"/>
    <x v="16"/>
    <n v="370"/>
    <n v="520"/>
    <n v="420"/>
    <n v="890"/>
    <n v="117"/>
    <x v="1"/>
    <n v="0.52119309262166402"/>
    <n v="0.59654631083202514"/>
    <n v="33"/>
  </r>
  <r>
    <n v="513"/>
    <x v="75"/>
    <n v="-53"/>
    <x v="814"/>
    <n v="1267"/>
    <n v="161"/>
    <x v="0"/>
    <x v="0"/>
    <n v="45"/>
    <x v="1"/>
    <x v="2"/>
    <x v="8"/>
    <x v="154"/>
    <x v="182"/>
    <x v="18"/>
    <n v="230"/>
    <n v="240"/>
    <n v="190"/>
    <n v="470"/>
    <n v="69"/>
    <x v="1"/>
    <n v="0.39941690962099125"/>
    <n v="0.53061224489795922"/>
    <n v="24"/>
  </r>
  <r>
    <n v="720"/>
    <x v="75"/>
    <n v="27"/>
    <x v="815"/>
    <n v="1267"/>
    <n v="161"/>
    <x v="0"/>
    <x v="0"/>
    <n v="45"/>
    <x v="0"/>
    <x v="0"/>
    <x v="10"/>
    <x v="154"/>
    <x v="182"/>
    <x v="0"/>
    <n v="120"/>
    <n v="140"/>
    <n v="110"/>
    <n v="260"/>
    <n v="69"/>
    <x v="0"/>
    <n v="0.39941690962099125"/>
    <n v="0.53061224489795922"/>
    <n v="24"/>
  </r>
  <r>
    <n v="708"/>
    <x v="56"/>
    <n v="57"/>
    <x v="816"/>
    <n v="915"/>
    <n v="179"/>
    <x v="0"/>
    <x v="0"/>
    <n v="34"/>
    <x v="0"/>
    <x v="0"/>
    <x v="10"/>
    <x v="111"/>
    <x v="141"/>
    <x v="16"/>
    <n v="90"/>
    <n v="150"/>
    <n v="140"/>
    <n v="240"/>
    <n v="46"/>
    <x v="0"/>
    <n v="0.61180124223602483"/>
    <n v="0.61801242236024845"/>
    <n v="12"/>
  </r>
  <r>
    <n v="815"/>
    <x v="77"/>
    <n v="52"/>
    <x v="817"/>
    <n v="971"/>
    <n v="157"/>
    <x v="0"/>
    <x v="0"/>
    <n v="30"/>
    <x v="0"/>
    <x v="0"/>
    <x v="1"/>
    <x v="188"/>
    <x v="185"/>
    <x v="16"/>
    <n v="80"/>
    <n v="130"/>
    <n v="120"/>
    <n v="210"/>
    <n v="41"/>
    <x v="0"/>
    <n v="0.60992907801418439"/>
    <n v="0.61702127659574468"/>
    <n v="11"/>
  </r>
  <r>
    <n v="419"/>
    <x v="16"/>
    <n v="36"/>
    <x v="818"/>
    <n v="788"/>
    <n v="123"/>
    <x v="0"/>
    <x v="0"/>
    <n v="27"/>
    <x v="0"/>
    <x v="1"/>
    <x v="2"/>
    <x v="96"/>
    <x v="18"/>
    <x v="18"/>
    <n v="50"/>
    <n v="90"/>
    <n v="60"/>
    <n v="140"/>
    <n v="58"/>
    <x v="1"/>
    <n v="0.44036697247706424"/>
    <n v="0.62385321100917435"/>
    <n v="31"/>
  </r>
  <r>
    <n v="419"/>
    <x v="17"/>
    <n v="33"/>
    <x v="819"/>
    <n v="656"/>
    <n v="127"/>
    <x v="0"/>
    <x v="0"/>
    <n v="28"/>
    <x v="0"/>
    <x v="1"/>
    <x v="11"/>
    <x v="52"/>
    <x v="54"/>
    <x v="18"/>
    <n v="50"/>
    <n v="100"/>
    <n v="80"/>
    <n v="150"/>
    <n v="51"/>
    <x v="1"/>
    <n v="0.48706896551724138"/>
    <n v="0.60775862068965514"/>
    <n v="23"/>
  </r>
  <r>
    <n v="970"/>
    <x v="57"/>
    <n v="30"/>
    <x v="820"/>
    <n v="572"/>
    <n v="115"/>
    <x v="0"/>
    <x v="0"/>
    <n v="29"/>
    <x v="0"/>
    <x v="1"/>
    <x v="3"/>
    <x v="112"/>
    <x v="18"/>
    <x v="0"/>
    <n v="50"/>
    <n v="90"/>
    <n v="80"/>
    <n v="140"/>
    <n v="41"/>
    <x v="1"/>
    <n v="0.50458715596330272"/>
    <n v="0.58715596330275233"/>
    <n v="12"/>
  </r>
  <r>
    <n v="641"/>
    <x v="93"/>
    <n v="-13"/>
    <x v="821"/>
    <n v="598"/>
    <n v="13"/>
    <x v="1"/>
    <x v="0"/>
    <n v="3"/>
    <x v="1"/>
    <x v="3"/>
    <x v="5"/>
    <x v="37"/>
    <x v="220"/>
    <x v="4"/>
    <n v="0"/>
    <n v="10"/>
    <n v="10"/>
    <n v="10"/>
    <n v="15"/>
    <x v="0"/>
    <n v="-0.12"/>
    <n v="0.6"/>
    <n v="12"/>
  </r>
  <r>
    <n v="920"/>
    <x v="42"/>
    <n v="-9"/>
    <x v="822"/>
    <n v="547"/>
    <n v="116"/>
    <x v="1"/>
    <x v="0"/>
    <n v="28"/>
    <x v="1"/>
    <x v="3"/>
    <x v="5"/>
    <x v="192"/>
    <x v="179"/>
    <x v="13"/>
    <n v="80"/>
    <n v="120"/>
    <n v="100"/>
    <n v="200"/>
    <n v="55"/>
    <x v="0"/>
    <n v="0.42325581395348838"/>
    <n v="0.6"/>
    <n v="27"/>
  </r>
  <r>
    <n v="573"/>
    <x v="38"/>
    <n v="-18"/>
    <x v="823"/>
    <n v="593"/>
    <n v="98"/>
    <x v="1"/>
    <x v="0"/>
    <n v="30"/>
    <x v="1"/>
    <x v="3"/>
    <x v="7"/>
    <x v="33"/>
    <x v="90"/>
    <x v="12"/>
    <n v="70"/>
    <n v="100"/>
    <n v="70"/>
    <n v="170"/>
    <n v="63"/>
    <x v="1"/>
    <n v="0.27513227513227512"/>
    <n v="0.58201058201058198"/>
    <n v="33"/>
  </r>
  <r>
    <n v="414"/>
    <x v="59"/>
    <n v="-33"/>
    <x v="824"/>
    <n v="683"/>
    <n v="134"/>
    <x v="1"/>
    <x v="0"/>
    <n v="87"/>
    <x v="1"/>
    <x v="3"/>
    <x v="7"/>
    <x v="22"/>
    <x v="132"/>
    <x v="13"/>
    <n v="90"/>
    <n v="140"/>
    <n v="60"/>
    <n v="230"/>
    <n v="116"/>
    <x v="1"/>
    <n v="0.11020408163265306"/>
    <n v="0.60816326530612241"/>
    <n v="29"/>
  </r>
  <r>
    <n v="573"/>
    <x v="9"/>
    <n v="-37"/>
    <x v="825"/>
    <n v="881"/>
    <n v="59"/>
    <x v="1"/>
    <x v="0"/>
    <n v="11"/>
    <x v="1"/>
    <x v="2"/>
    <x v="8"/>
    <x v="36"/>
    <x v="28"/>
    <x v="12"/>
    <n v="50"/>
    <n v="90"/>
    <n v="90"/>
    <n v="140"/>
    <n v="23"/>
    <x v="1"/>
    <n v="0.5"/>
    <n v="0.62264150943396224"/>
    <n v="12"/>
  </r>
  <r>
    <n v="262"/>
    <x v="29"/>
    <n v="-49"/>
    <x v="826"/>
    <n v="1055"/>
    <n v="94"/>
    <x v="1"/>
    <x v="0"/>
    <n v="24"/>
    <x v="1"/>
    <x v="2"/>
    <x v="8"/>
    <x v="53"/>
    <x v="86"/>
    <x v="13"/>
    <n v="110"/>
    <n v="140"/>
    <n v="120"/>
    <n v="250"/>
    <n v="46"/>
    <x v="1"/>
    <n v="0.38378378378378381"/>
    <n v="0.56756756756756754"/>
    <n v="22"/>
  </r>
  <r>
    <n v="319"/>
    <x v="92"/>
    <n v="122"/>
    <x v="827"/>
    <n v="1662"/>
    <n v="341"/>
    <x v="1"/>
    <x v="0"/>
    <n v="84"/>
    <x v="0"/>
    <x v="0"/>
    <x v="10"/>
    <x v="191"/>
    <x v="219"/>
    <x v="4"/>
    <n v="200"/>
    <n v="280"/>
    <n v="210"/>
    <n v="480"/>
    <n v="117"/>
    <x v="0"/>
    <n v="0.52119309262166402"/>
    <n v="0.59654631083202514"/>
    <n v="33"/>
  </r>
  <r>
    <n v="515"/>
    <x v="90"/>
    <n v="39"/>
    <x v="828"/>
    <n v="789"/>
    <n v="176"/>
    <x v="1"/>
    <x v="0"/>
    <n v="39"/>
    <x v="0"/>
    <x v="0"/>
    <x v="0"/>
    <x v="193"/>
    <x v="216"/>
    <x v="4"/>
    <n v="90"/>
    <n v="150"/>
    <n v="130"/>
    <n v="240"/>
    <n v="62"/>
    <x v="0"/>
    <n v="0.53144654088050314"/>
    <n v="0.61635220125786161"/>
    <n v="23"/>
  </r>
  <r>
    <n v="417"/>
    <x v="42"/>
    <n v="-49"/>
    <x v="829"/>
    <n v="1698"/>
    <n v="23"/>
    <x v="1"/>
    <x v="0"/>
    <n v="26"/>
    <x v="0"/>
    <x v="0"/>
    <x v="0"/>
    <x v="81"/>
    <x v="52"/>
    <x v="12"/>
    <n v="60"/>
    <n v="20"/>
    <n v="10"/>
    <n v="80"/>
    <n v="49"/>
    <x v="0"/>
    <n v="-0.33620689655172414"/>
    <n v="0.25862068965517243"/>
    <n v="23"/>
  </r>
  <r>
    <n v="515"/>
    <x v="55"/>
    <n v="111"/>
    <x v="830"/>
    <n v="1755"/>
    <n v="239"/>
    <x v="1"/>
    <x v="0"/>
    <n v="66"/>
    <x v="0"/>
    <x v="1"/>
    <x v="2"/>
    <x v="189"/>
    <x v="217"/>
    <x v="4"/>
    <n v="170"/>
    <n v="170"/>
    <n v="110"/>
    <n v="340"/>
    <n v="90"/>
    <x v="1"/>
    <n v="0.43418467583497056"/>
    <n v="0.53045186640471509"/>
    <n v="24"/>
  </r>
  <r>
    <n v="515"/>
    <x v="76"/>
    <n v="142"/>
    <x v="831"/>
    <n v="1756"/>
    <n v="312"/>
    <x v="1"/>
    <x v="0"/>
    <n v="96"/>
    <x v="0"/>
    <x v="1"/>
    <x v="11"/>
    <x v="194"/>
    <x v="221"/>
    <x v="4"/>
    <n v="170"/>
    <n v="230"/>
    <n v="130"/>
    <n v="400"/>
    <n v="129"/>
    <x v="1"/>
    <n v="0.45033112582781459"/>
    <n v="0.57781456953642385"/>
    <n v="33"/>
  </r>
  <r>
    <n v="573"/>
    <x v="51"/>
    <n v="-16"/>
    <x v="832"/>
    <n v="209"/>
    <n v="31"/>
    <x v="1"/>
    <x v="0"/>
    <n v="9"/>
    <x v="0"/>
    <x v="1"/>
    <x v="11"/>
    <x v="86"/>
    <x v="94"/>
    <x v="12"/>
    <n v="10"/>
    <n v="20"/>
    <n v="0"/>
    <n v="30"/>
    <n v="42"/>
    <x v="1"/>
    <n v="-0.26666666666666666"/>
    <n v="0.58333333333333337"/>
    <n v="33"/>
  </r>
  <r>
    <n v="720"/>
    <x v="68"/>
    <n v="45"/>
    <x v="833"/>
    <n v="984"/>
    <n v="117"/>
    <x v="0"/>
    <x v="0"/>
    <n v="22"/>
    <x v="1"/>
    <x v="3"/>
    <x v="5"/>
    <x v="166"/>
    <x v="192"/>
    <x v="0"/>
    <n v="80"/>
    <n v="110"/>
    <n v="80"/>
    <n v="190"/>
    <n v="33"/>
    <x v="0"/>
    <n v="0.59241706161137442"/>
    <n v="0.61611374407582942"/>
    <n v="11"/>
  </r>
  <r>
    <n v="847"/>
    <x v="94"/>
    <n v="47"/>
    <x v="834"/>
    <n v="803"/>
    <n v="165"/>
    <x v="0"/>
    <x v="0"/>
    <n v="36"/>
    <x v="1"/>
    <x v="3"/>
    <x v="5"/>
    <x v="183"/>
    <x v="222"/>
    <x v="16"/>
    <n v="110"/>
    <n v="160"/>
    <n v="110"/>
    <n v="270"/>
    <n v="59"/>
    <x v="0"/>
    <n v="0.53040540540540537"/>
    <n v="0.6182432432432432"/>
    <n v="23"/>
  </r>
  <r>
    <n v="970"/>
    <x v="19"/>
    <n v="-14"/>
    <x v="835"/>
    <n v="659"/>
    <n v="114"/>
    <x v="0"/>
    <x v="0"/>
    <n v="24"/>
    <x v="1"/>
    <x v="2"/>
    <x v="4"/>
    <x v="89"/>
    <x v="123"/>
    <x v="0"/>
    <n v="90"/>
    <n v="150"/>
    <n v="100"/>
    <n v="240"/>
    <n v="56"/>
    <x v="0"/>
    <n v="0.42786069651741293"/>
    <n v="0.62686567164179108"/>
    <n v="32"/>
  </r>
  <r>
    <n v="847"/>
    <x v="82"/>
    <n v="-9"/>
    <x v="836"/>
    <n v="1778"/>
    <n v="212"/>
    <x v="0"/>
    <x v="0"/>
    <n v="59"/>
    <x v="1"/>
    <x v="2"/>
    <x v="4"/>
    <x v="156"/>
    <x v="223"/>
    <x v="16"/>
    <n v="270"/>
    <n v="270"/>
    <n v="200"/>
    <n v="540"/>
    <n v="83"/>
    <x v="0"/>
    <n v="0.42350332594235035"/>
    <n v="0.53215077605321504"/>
    <n v="24"/>
  </r>
  <r>
    <n v="719"/>
    <x v="61"/>
    <n v="60"/>
    <x v="837"/>
    <n v="930"/>
    <n v="172"/>
    <x v="0"/>
    <x v="0"/>
    <n v="33"/>
    <x v="1"/>
    <x v="3"/>
    <x v="6"/>
    <x v="195"/>
    <x v="144"/>
    <x v="0"/>
    <n v="110"/>
    <n v="170"/>
    <n v="130"/>
    <n v="280"/>
    <n v="44"/>
    <x v="1"/>
    <n v="0.61488673139158578"/>
    <n v="0.6181229773462783"/>
    <n v="11"/>
  </r>
  <r>
    <n v="815"/>
    <x v="95"/>
    <n v="66"/>
    <x v="838"/>
    <n v="1150"/>
    <n v="239"/>
    <x v="0"/>
    <x v="0"/>
    <n v="57"/>
    <x v="1"/>
    <x v="3"/>
    <x v="7"/>
    <x v="196"/>
    <x v="224"/>
    <x v="16"/>
    <n v="170"/>
    <n v="230"/>
    <n v="140"/>
    <n v="400"/>
    <n v="100"/>
    <x v="1"/>
    <n v="0.46924829157175396"/>
    <n v="0.60592255125284733"/>
    <n v="43"/>
  </r>
  <r>
    <n v="303"/>
    <x v="18"/>
    <n v="1"/>
    <x v="839"/>
    <n v="589"/>
    <n v="73"/>
    <x v="0"/>
    <x v="0"/>
    <n v="14"/>
    <x v="1"/>
    <x v="2"/>
    <x v="8"/>
    <x v="53"/>
    <x v="41"/>
    <x v="0"/>
    <n v="60"/>
    <n v="90"/>
    <n v="70"/>
    <n v="150"/>
    <n v="25"/>
    <x v="1"/>
    <n v="0.5419847328244275"/>
    <n v="0.61832061068702293"/>
    <n v="11"/>
  </r>
  <r>
    <n v="630"/>
    <x v="96"/>
    <n v="1"/>
    <x v="840"/>
    <n v="1691"/>
    <n v="304"/>
    <x v="0"/>
    <x v="0"/>
    <n v="75"/>
    <x v="1"/>
    <x v="2"/>
    <x v="8"/>
    <x v="197"/>
    <x v="205"/>
    <x v="16"/>
    <n v="290"/>
    <n v="390"/>
    <n v="290"/>
    <n v="680"/>
    <n v="108"/>
    <x v="1"/>
    <n v="0.51322751322751325"/>
    <n v="0.59788359788359791"/>
    <n v="33"/>
  </r>
  <r>
    <n v="234"/>
    <x v="81"/>
    <n v="-11"/>
    <x v="841"/>
    <n v="1283"/>
    <n v="182"/>
    <x v="0"/>
    <x v="0"/>
    <n v="50"/>
    <x v="1"/>
    <x v="2"/>
    <x v="8"/>
    <x v="198"/>
    <x v="189"/>
    <x v="18"/>
    <n v="230"/>
    <n v="230"/>
    <n v="170"/>
    <n v="460"/>
    <n v="75"/>
    <x v="1"/>
    <n v="0.41085271317829458"/>
    <n v="0.53229974160206717"/>
    <n v="25"/>
  </r>
  <r>
    <n v="970"/>
    <x v="81"/>
    <n v="59"/>
    <x v="842"/>
    <n v="1283"/>
    <n v="182"/>
    <x v="0"/>
    <x v="0"/>
    <n v="50"/>
    <x v="0"/>
    <x v="0"/>
    <x v="10"/>
    <x v="198"/>
    <x v="189"/>
    <x v="0"/>
    <n v="170"/>
    <n v="160"/>
    <n v="100"/>
    <n v="330"/>
    <n v="75"/>
    <x v="0"/>
    <n v="0.41085271317829458"/>
    <n v="0.53229974160206717"/>
    <n v="25"/>
  </r>
  <r>
    <n v="708"/>
    <x v="61"/>
    <n v="78"/>
    <x v="843"/>
    <n v="930"/>
    <n v="172"/>
    <x v="0"/>
    <x v="0"/>
    <n v="33"/>
    <x v="0"/>
    <x v="0"/>
    <x v="10"/>
    <x v="105"/>
    <x v="144"/>
    <x v="16"/>
    <n v="110"/>
    <n v="150"/>
    <n v="110"/>
    <n v="260"/>
    <n v="45"/>
    <x v="0"/>
    <n v="0.60841423948220064"/>
    <n v="0.6181229773462783"/>
    <n v="12"/>
  </r>
  <r>
    <n v="708"/>
    <x v="68"/>
    <n v="45"/>
    <x v="844"/>
    <n v="984"/>
    <n v="117"/>
    <x v="0"/>
    <x v="0"/>
    <n v="22"/>
    <x v="0"/>
    <x v="0"/>
    <x v="1"/>
    <x v="166"/>
    <x v="192"/>
    <x v="16"/>
    <n v="70"/>
    <n v="110"/>
    <n v="80"/>
    <n v="180"/>
    <n v="33"/>
    <x v="0"/>
    <n v="0.59241706161137442"/>
    <n v="0.61611374407582942"/>
    <n v="11"/>
  </r>
  <r>
    <n v="614"/>
    <x v="62"/>
    <n v="32"/>
    <x v="845"/>
    <n v="798"/>
    <n v="119"/>
    <x v="0"/>
    <x v="0"/>
    <n v="25"/>
    <x v="0"/>
    <x v="1"/>
    <x v="2"/>
    <x v="115"/>
    <x v="145"/>
    <x v="18"/>
    <n v="60"/>
    <n v="100"/>
    <n v="60"/>
    <n v="160"/>
    <n v="57"/>
    <x v="1"/>
    <n v="0.43809523809523809"/>
    <n v="0.62857142857142856"/>
    <n v="32"/>
  </r>
  <r>
    <n v="309"/>
    <x v="19"/>
    <n v="38"/>
    <x v="846"/>
    <n v="659"/>
    <n v="114"/>
    <x v="0"/>
    <x v="0"/>
    <n v="24"/>
    <x v="0"/>
    <x v="1"/>
    <x v="11"/>
    <x v="97"/>
    <x v="123"/>
    <x v="16"/>
    <n v="60"/>
    <n v="90"/>
    <n v="50"/>
    <n v="150"/>
    <n v="55"/>
    <x v="1"/>
    <n v="0.43781094527363185"/>
    <n v="0.62686567164179108"/>
    <n v="31"/>
  </r>
  <r>
    <n v="740"/>
    <x v="64"/>
    <n v="62"/>
    <x v="847"/>
    <n v="666"/>
    <n v="143"/>
    <x v="0"/>
    <x v="0"/>
    <n v="31"/>
    <x v="0"/>
    <x v="1"/>
    <x v="11"/>
    <x v="117"/>
    <x v="147"/>
    <x v="18"/>
    <n v="80"/>
    <n v="120"/>
    <n v="70"/>
    <n v="200"/>
    <n v="54"/>
    <x v="1"/>
    <n v="0.50574712643678166"/>
    <n v="0.60919540229885061"/>
    <n v="23"/>
  </r>
  <r>
    <n v="970"/>
    <x v="63"/>
    <n v="44"/>
    <x v="848"/>
    <n v="561"/>
    <n v="112"/>
    <x v="0"/>
    <x v="0"/>
    <n v="29"/>
    <x v="0"/>
    <x v="1"/>
    <x v="3"/>
    <x v="199"/>
    <x v="146"/>
    <x v="0"/>
    <n v="70"/>
    <n v="90"/>
    <n v="60"/>
    <n v="160"/>
    <n v="42"/>
    <x v="1"/>
    <n v="0.48826291079812206"/>
    <n v="0.58685446009389675"/>
    <n v="13"/>
  </r>
  <r>
    <n v="319"/>
    <x v="93"/>
    <n v="-14"/>
    <x v="849"/>
    <n v="596"/>
    <n v="13"/>
    <x v="1"/>
    <x v="0"/>
    <n v="3"/>
    <x v="1"/>
    <x v="3"/>
    <x v="5"/>
    <x v="64"/>
    <x v="220"/>
    <x v="4"/>
    <n v="0"/>
    <n v="20"/>
    <n v="10"/>
    <n v="20"/>
    <n v="16"/>
    <x v="0"/>
    <n v="-0.16"/>
    <n v="0.6"/>
    <n v="13"/>
  </r>
  <r>
    <n v="920"/>
    <x v="78"/>
    <n v="16"/>
    <x v="850"/>
    <n v="557"/>
    <n v="103"/>
    <x v="1"/>
    <x v="0"/>
    <n v="25"/>
    <x v="1"/>
    <x v="3"/>
    <x v="5"/>
    <x v="20"/>
    <x v="186"/>
    <x v="13"/>
    <n v="70"/>
    <n v="100"/>
    <n v="60"/>
    <n v="170"/>
    <n v="52"/>
    <x v="0"/>
    <n v="0.39583333333333331"/>
    <n v="0.59895833333333337"/>
    <n v="27"/>
  </r>
  <r>
    <n v="712"/>
    <x v="52"/>
    <n v="2"/>
    <x v="851"/>
    <n v="848"/>
    <n v="24"/>
    <x v="1"/>
    <x v="0"/>
    <n v="4"/>
    <x v="1"/>
    <x v="3"/>
    <x v="6"/>
    <x v="14"/>
    <x v="120"/>
    <x v="4"/>
    <n v="10"/>
    <n v="20"/>
    <n v="10"/>
    <n v="30"/>
    <n v="16"/>
    <x v="1"/>
    <n v="0.2857142857142857"/>
    <n v="0.6428571428571429"/>
    <n v="12"/>
  </r>
  <r>
    <n v="573"/>
    <x v="16"/>
    <n v="16"/>
    <x v="852"/>
    <n v="601"/>
    <n v="102"/>
    <x v="1"/>
    <x v="0"/>
    <n v="31"/>
    <x v="1"/>
    <x v="3"/>
    <x v="7"/>
    <x v="4"/>
    <x v="109"/>
    <x v="12"/>
    <n v="80"/>
    <n v="100"/>
    <n v="40"/>
    <n v="180"/>
    <n v="64"/>
    <x v="1"/>
    <n v="0.2857142857142857"/>
    <n v="0.58163265306122447"/>
    <n v="33"/>
  </r>
  <r>
    <n v="608"/>
    <x v="66"/>
    <n v="-6"/>
    <x v="853"/>
    <n v="694"/>
    <n v="130"/>
    <x v="1"/>
    <x v="0"/>
    <n v="85"/>
    <x v="1"/>
    <x v="3"/>
    <x v="7"/>
    <x v="10"/>
    <x v="149"/>
    <x v="13"/>
    <n v="90"/>
    <n v="130"/>
    <n v="30"/>
    <n v="220"/>
    <n v="114"/>
    <x v="1"/>
    <n v="0.100418410041841"/>
    <n v="0.60669456066945604"/>
    <n v="29"/>
  </r>
  <r>
    <n v="573"/>
    <x v="14"/>
    <n v="-4"/>
    <x v="854"/>
    <n v="885"/>
    <n v="78"/>
    <x v="1"/>
    <x v="0"/>
    <n v="15"/>
    <x v="1"/>
    <x v="2"/>
    <x v="8"/>
    <x v="20"/>
    <x v="29"/>
    <x v="12"/>
    <n v="60"/>
    <n v="100"/>
    <n v="80"/>
    <n v="160"/>
    <n v="27"/>
    <x v="1"/>
    <n v="0.53900709219858156"/>
    <n v="0.61702127659574468"/>
    <n v="12"/>
  </r>
  <r>
    <n v="715"/>
    <x v="19"/>
    <n v="-3"/>
    <x v="855"/>
    <n v="1063"/>
    <n v="89"/>
    <x v="1"/>
    <x v="0"/>
    <n v="23"/>
    <x v="1"/>
    <x v="2"/>
    <x v="8"/>
    <x v="49"/>
    <x v="56"/>
    <x v="13"/>
    <n v="90"/>
    <n v="110"/>
    <n v="70"/>
    <n v="200"/>
    <n v="44"/>
    <x v="1"/>
    <n v="0.38285714285714284"/>
    <n v="0.5714285714285714"/>
    <n v="21"/>
  </r>
  <r>
    <n v="641"/>
    <x v="96"/>
    <n v="111"/>
    <x v="856"/>
    <n v="1691"/>
    <n v="304"/>
    <x v="1"/>
    <x v="0"/>
    <n v="75"/>
    <x v="0"/>
    <x v="0"/>
    <x v="10"/>
    <x v="197"/>
    <x v="205"/>
    <x v="4"/>
    <n v="210"/>
    <n v="280"/>
    <n v="180"/>
    <n v="490"/>
    <n v="108"/>
    <x v="0"/>
    <n v="0.51322751322751325"/>
    <n v="0.59788359788359791"/>
    <n v="33"/>
  </r>
  <r>
    <n v="641"/>
    <x v="94"/>
    <n v="59"/>
    <x v="857"/>
    <n v="803"/>
    <n v="165"/>
    <x v="1"/>
    <x v="0"/>
    <n v="36"/>
    <x v="0"/>
    <x v="0"/>
    <x v="0"/>
    <x v="198"/>
    <x v="222"/>
    <x v="4"/>
    <n v="100"/>
    <n v="150"/>
    <n v="100"/>
    <n v="250"/>
    <n v="58"/>
    <x v="0"/>
    <n v="0.53716216216216217"/>
    <n v="0.6182432432432432"/>
    <n v="22"/>
  </r>
  <r>
    <n v="563"/>
    <x v="82"/>
    <n v="81"/>
    <x v="858"/>
    <n v="1778"/>
    <n v="212"/>
    <x v="1"/>
    <x v="0"/>
    <n v="59"/>
    <x v="0"/>
    <x v="1"/>
    <x v="2"/>
    <x v="156"/>
    <x v="223"/>
    <x v="4"/>
    <n v="170"/>
    <n v="180"/>
    <n v="110"/>
    <n v="350"/>
    <n v="83"/>
    <x v="1"/>
    <n v="0.42350332594235035"/>
    <n v="0.53215077605321504"/>
    <n v="24"/>
  </r>
  <r>
    <n v="641"/>
    <x v="83"/>
    <n v="127"/>
    <x v="859"/>
    <n v="1784"/>
    <n v="300"/>
    <x v="1"/>
    <x v="0"/>
    <n v="93"/>
    <x v="0"/>
    <x v="1"/>
    <x v="11"/>
    <x v="200"/>
    <x v="225"/>
    <x v="4"/>
    <n v="200"/>
    <n v="250"/>
    <n v="130"/>
    <n v="450"/>
    <n v="127"/>
    <x v="1"/>
    <n v="0.44234079173838209"/>
    <n v="0.57831325301204817"/>
    <n v="34"/>
  </r>
  <r>
    <n v="720"/>
    <x v="42"/>
    <n v="41"/>
    <x v="860"/>
    <n v="1003"/>
    <n v="124"/>
    <x v="0"/>
    <x v="0"/>
    <n v="24"/>
    <x v="1"/>
    <x v="3"/>
    <x v="5"/>
    <x v="201"/>
    <x v="134"/>
    <x v="0"/>
    <n v="80"/>
    <n v="120"/>
    <n v="90"/>
    <n v="200"/>
    <n v="36"/>
    <x v="0"/>
    <n v="0.5848214285714286"/>
    <n v="0.6160714285714286"/>
    <n v="12"/>
  </r>
  <r>
    <n v="312"/>
    <x v="97"/>
    <n v="51"/>
    <x v="861"/>
    <n v="830"/>
    <n v="185"/>
    <x v="0"/>
    <x v="0"/>
    <n v="40"/>
    <x v="1"/>
    <x v="3"/>
    <x v="5"/>
    <x v="128"/>
    <x v="226"/>
    <x v="16"/>
    <n v="120"/>
    <n v="180"/>
    <n v="130"/>
    <n v="300"/>
    <n v="63"/>
    <x v="0"/>
    <n v="0.54518072289156627"/>
    <n v="0.61746987951807231"/>
    <n v="23"/>
  </r>
  <r>
    <n v="720"/>
    <x v="49"/>
    <n v="-10"/>
    <x v="862"/>
    <n v="677"/>
    <n v="101"/>
    <x v="0"/>
    <x v="0"/>
    <n v="22"/>
    <x v="1"/>
    <x v="2"/>
    <x v="4"/>
    <x v="50"/>
    <x v="110"/>
    <x v="0"/>
    <n v="80"/>
    <n v="130"/>
    <n v="80"/>
    <n v="210"/>
    <n v="54"/>
    <x v="0"/>
    <n v="0.39106145251396646"/>
    <n v="0.62569832402234637"/>
    <n v="32"/>
  </r>
  <r>
    <n v="773"/>
    <x v="88"/>
    <n v="-7"/>
    <x v="863"/>
    <n v="1820"/>
    <n v="251"/>
    <x v="0"/>
    <x v="0"/>
    <n v="70"/>
    <x v="1"/>
    <x v="2"/>
    <x v="4"/>
    <x v="202"/>
    <x v="213"/>
    <x v="16"/>
    <n v="320"/>
    <n v="320"/>
    <n v="240"/>
    <n v="640"/>
    <n v="94"/>
    <x v="0"/>
    <n v="0.43632958801498128"/>
    <n v="0.53183520599250933"/>
    <n v="24"/>
  </r>
  <r>
    <n v="303"/>
    <x v="56"/>
    <n v="69"/>
    <x v="864"/>
    <n v="959"/>
    <n v="179"/>
    <x v="0"/>
    <x v="0"/>
    <n v="34"/>
    <x v="1"/>
    <x v="3"/>
    <x v="6"/>
    <x v="158"/>
    <x v="141"/>
    <x v="0"/>
    <n v="120"/>
    <n v="170"/>
    <n v="130"/>
    <n v="290"/>
    <n v="45"/>
    <x v="1"/>
    <n v="0.61801242236024845"/>
    <n v="0.61801242236024845"/>
    <n v="11"/>
  </r>
  <r>
    <n v="312"/>
    <x v="98"/>
    <n v="98"/>
    <x v="865"/>
    <n v="1191"/>
    <n v="310"/>
    <x v="0"/>
    <x v="0"/>
    <n v="73"/>
    <x v="1"/>
    <x v="3"/>
    <x v="7"/>
    <x v="203"/>
    <x v="227"/>
    <x v="16"/>
    <n v="220"/>
    <n v="300"/>
    <n v="190"/>
    <n v="520"/>
    <n v="116"/>
    <x v="1"/>
    <n v="0.5061511423550088"/>
    <n v="0.60632688927943756"/>
    <n v="43"/>
  </r>
  <r>
    <n v="970"/>
    <x v="14"/>
    <n v="-11"/>
    <x v="866"/>
    <n v="601"/>
    <n v="79"/>
    <x v="0"/>
    <x v="0"/>
    <n v="15"/>
    <x v="1"/>
    <x v="2"/>
    <x v="8"/>
    <x v="63"/>
    <x v="64"/>
    <x v="0"/>
    <n v="60"/>
    <n v="110"/>
    <n v="90"/>
    <n v="170"/>
    <n v="26"/>
    <x v="1"/>
    <n v="0.55633802816901412"/>
    <n v="0.61971830985915488"/>
    <n v="11"/>
  </r>
  <r>
    <n v="708"/>
    <x v="99"/>
    <n v="1"/>
    <x v="867"/>
    <n v="1744"/>
    <n v="329"/>
    <x v="0"/>
    <x v="0"/>
    <n v="81"/>
    <x v="1"/>
    <x v="2"/>
    <x v="8"/>
    <x v="204"/>
    <x v="191"/>
    <x v="16"/>
    <n v="310"/>
    <n v="420"/>
    <n v="320"/>
    <n v="730"/>
    <n v="113"/>
    <x v="1"/>
    <n v="0.5228013029315961"/>
    <n v="0.59771986970684043"/>
    <n v="32"/>
  </r>
  <r>
    <n v="937"/>
    <x v="87"/>
    <n v="-11"/>
    <x v="868"/>
    <n v="1319"/>
    <n v="153"/>
    <x v="0"/>
    <x v="0"/>
    <n v="42"/>
    <x v="1"/>
    <x v="2"/>
    <x v="8"/>
    <x v="113"/>
    <x v="196"/>
    <x v="18"/>
    <n v="190"/>
    <n v="200"/>
    <n v="140"/>
    <n v="390"/>
    <n v="66"/>
    <x v="1"/>
    <n v="0.39570552147239263"/>
    <n v="0.53067484662576692"/>
    <n v="24"/>
  </r>
  <r>
    <n v="970"/>
    <x v="87"/>
    <n v="49"/>
    <x v="869"/>
    <n v="1319"/>
    <n v="153"/>
    <x v="0"/>
    <x v="0"/>
    <n v="42"/>
    <x v="0"/>
    <x v="0"/>
    <x v="10"/>
    <x v="113"/>
    <x v="196"/>
    <x v="0"/>
    <n v="140"/>
    <n v="140"/>
    <n v="80"/>
    <n v="280"/>
    <n v="66"/>
    <x v="0"/>
    <n v="0.39570552147239263"/>
    <n v="0.53067484662576692"/>
    <n v="24"/>
  </r>
  <r>
    <n v="618"/>
    <x v="56"/>
    <n v="67"/>
    <x v="870"/>
    <n v="959"/>
    <n v="179"/>
    <x v="0"/>
    <x v="0"/>
    <n v="34"/>
    <x v="0"/>
    <x v="0"/>
    <x v="10"/>
    <x v="111"/>
    <x v="141"/>
    <x v="16"/>
    <n v="110"/>
    <n v="170"/>
    <n v="130"/>
    <n v="280"/>
    <n v="46"/>
    <x v="0"/>
    <n v="0.61180124223602483"/>
    <n v="0.61801242236024845"/>
    <n v="12"/>
  </r>
  <r>
    <n v="312"/>
    <x v="42"/>
    <n v="51"/>
    <x v="871"/>
    <n v="1003"/>
    <n v="124"/>
    <x v="0"/>
    <x v="0"/>
    <n v="24"/>
    <x v="0"/>
    <x v="0"/>
    <x v="1"/>
    <x v="201"/>
    <x v="134"/>
    <x v="16"/>
    <n v="80"/>
    <n v="110"/>
    <n v="80"/>
    <n v="190"/>
    <n v="36"/>
    <x v="0"/>
    <n v="0.5848214285714286"/>
    <n v="0.6160714285714286"/>
    <n v="12"/>
  </r>
  <r>
    <n v="513"/>
    <x v="63"/>
    <n v="37"/>
    <x v="872"/>
    <n v="817"/>
    <n v="133"/>
    <x v="0"/>
    <x v="0"/>
    <n v="29"/>
    <x v="0"/>
    <x v="1"/>
    <x v="2"/>
    <x v="120"/>
    <x v="126"/>
    <x v="18"/>
    <n v="70"/>
    <n v="110"/>
    <n v="70"/>
    <n v="180"/>
    <n v="61"/>
    <x v="1"/>
    <n v="0.45338983050847459"/>
    <n v="0.6271186440677966"/>
    <n v="32"/>
  </r>
  <r>
    <n v="513"/>
    <x v="69"/>
    <n v="90"/>
    <x v="873"/>
    <n v="690"/>
    <n v="186"/>
    <x v="0"/>
    <x v="0"/>
    <n v="41"/>
    <x v="0"/>
    <x v="1"/>
    <x v="11"/>
    <x v="123"/>
    <x v="151"/>
    <x v="18"/>
    <n v="110"/>
    <n v="150"/>
    <n v="90"/>
    <n v="260"/>
    <n v="65"/>
    <x v="1"/>
    <n v="0.52785923753665687"/>
    <n v="0.60703812316715544"/>
    <n v="24"/>
  </r>
  <r>
    <n v="719"/>
    <x v="68"/>
    <n v="38"/>
    <x v="874"/>
    <n v="551"/>
    <n v="104"/>
    <x v="0"/>
    <x v="0"/>
    <n v="26"/>
    <x v="0"/>
    <x v="1"/>
    <x v="3"/>
    <x v="121"/>
    <x v="130"/>
    <x v="0"/>
    <n v="60"/>
    <n v="90"/>
    <n v="60"/>
    <n v="150"/>
    <n v="38"/>
    <x v="1"/>
    <n v="0.49746192893401014"/>
    <n v="0.58883248730964466"/>
    <n v="12"/>
  </r>
  <r>
    <n v="712"/>
    <x v="93"/>
    <n v="-11"/>
    <x v="875"/>
    <n v="594"/>
    <n v="14"/>
    <x v="1"/>
    <x v="0"/>
    <n v="3"/>
    <x v="1"/>
    <x v="3"/>
    <x v="5"/>
    <x v="186"/>
    <x v="228"/>
    <x v="4"/>
    <n v="0"/>
    <n v="20"/>
    <n v="10"/>
    <n v="20"/>
    <n v="15"/>
    <x v="0"/>
    <n v="-3.8461538461538464E-2"/>
    <n v="0.61538461538461542"/>
    <n v="12"/>
  </r>
  <r>
    <n v="414"/>
    <x v="84"/>
    <n v="15"/>
    <x v="876"/>
    <n v="575"/>
    <n v="112"/>
    <x v="1"/>
    <x v="0"/>
    <n v="27"/>
    <x v="1"/>
    <x v="3"/>
    <x v="5"/>
    <x v="74"/>
    <x v="193"/>
    <x v="13"/>
    <n v="80"/>
    <n v="110"/>
    <n v="70"/>
    <n v="190"/>
    <n v="55"/>
    <x v="0"/>
    <n v="0.40865384615384615"/>
    <n v="0.60096153846153844"/>
    <n v="28"/>
  </r>
  <r>
    <n v="573"/>
    <x v="33"/>
    <n v="-1"/>
    <x v="877"/>
    <n v="619"/>
    <n v="85"/>
    <x v="1"/>
    <x v="0"/>
    <n v="25"/>
    <x v="1"/>
    <x v="3"/>
    <x v="7"/>
    <x v="40"/>
    <x v="73"/>
    <x v="12"/>
    <n v="60"/>
    <n v="90"/>
    <n v="40"/>
    <n v="150"/>
    <n v="59"/>
    <x v="1"/>
    <n v="0.2392638036809816"/>
    <n v="0.58282208588957052"/>
    <n v="34"/>
  </r>
  <r>
    <n v="262"/>
    <x v="70"/>
    <n v="0"/>
    <x v="878"/>
    <n v="716"/>
    <n v="145"/>
    <x v="1"/>
    <x v="0"/>
    <n v="95"/>
    <x v="1"/>
    <x v="3"/>
    <x v="7"/>
    <x v="27"/>
    <x v="153"/>
    <x v="13"/>
    <n v="100"/>
    <n v="140"/>
    <n v="30"/>
    <n v="240"/>
    <n v="125"/>
    <x v="1"/>
    <n v="0.11278195488721804"/>
    <n v="0.60526315789473684"/>
    <n v="30"/>
  </r>
  <r>
    <n v="573"/>
    <x v="18"/>
    <n v="1"/>
    <x v="879"/>
    <n v="898"/>
    <n v="73"/>
    <x v="1"/>
    <x v="0"/>
    <n v="14"/>
    <x v="1"/>
    <x v="2"/>
    <x v="8"/>
    <x v="53"/>
    <x v="41"/>
    <x v="12"/>
    <n v="60"/>
    <n v="90"/>
    <n v="70"/>
    <n v="150"/>
    <n v="25"/>
    <x v="1"/>
    <n v="0.5419847328244275"/>
    <n v="0.61832061068702293"/>
    <n v="11"/>
  </r>
  <r>
    <n v="262"/>
    <x v="29"/>
    <n v="-6"/>
    <x v="880"/>
    <n v="1079"/>
    <n v="96"/>
    <x v="1"/>
    <x v="0"/>
    <n v="24"/>
    <x v="1"/>
    <x v="2"/>
    <x v="8"/>
    <x v="62"/>
    <x v="67"/>
    <x v="13"/>
    <n v="100"/>
    <n v="120"/>
    <n v="80"/>
    <n v="220"/>
    <n v="46"/>
    <x v="1"/>
    <n v="0.39361702127659576"/>
    <n v="0.57446808510638303"/>
    <n v="22"/>
  </r>
  <r>
    <n v="515"/>
    <x v="99"/>
    <n v="121"/>
    <x v="881"/>
    <n v="1744"/>
    <n v="329"/>
    <x v="1"/>
    <x v="0"/>
    <n v="81"/>
    <x v="0"/>
    <x v="0"/>
    <x v="10"/>
    <x v="204"/>
    <x v="191"/>
    <x v="4"/>
    <n v="230"/>
    <n v="300"/>
    <n v="200"/>
    <n v="530"/>
    <n v="113"/>
    <x v="0"/>
    <n v="0.5228013029315961"/>
    <n v="0.59771986970684043"/>
    <n v="32"/>
  </r>
  <r>
    <n v="515"/>
    <x v="97"/>
    <n v="63"/>
    <x v="882"/>
    <n v="830"/>
    <n v="185"/>
    <x v="1"/>
    <x v="0"/>
    <n v="40"/>
    <x v="0"/>
    <x v="0"/>
    <x v="0"/>
    <x v="177"/>
    <x v="226"/>
    <x v="4"/>
    <n v="120"/>
    <n v="170"/>
    <n v="120"/>
    <n v="290"/>
    <n v="62"/>
    <x v="0"/>
    <n v="0.5512048192771084"/>
    <n v="0.61746987951807231"/>
    <n v="22"/>
  </r>
  <r>
    <n v="641"/>
    <x v="88"/>
    <n v="112"/>
    <x v="883"/>
    <n v="1820"/>
    <n v="251"/>
    <x v="1"/>
    <x v="0"/>
    <n v="70"/>
    <x v="0"/>
    <x v="1"/>
    <x v="2"/>
    <x v="205"/>
    <x v="213"/>
    <x v="4"/>
    <n v="210"/>
    <n v="200"/>
    <n v="120"/>
    <n v="410"/>
    <n v="95"/>
    <x v="1"/>
    <n v="0.43445692883895132"/>
    <n v="0.53183520599250933"/>
    <n v="25"/>
  </r>
  <r>
    <n v="563"/>
    <x v="89"/>
    <n v="151"/>
    <x v="884"/>
    <n v="1838"/>
    <n v="360"/>
    <x v="1"/>
    <x v="0"/>
    <n v="111"/>
    <x v="0"/>
    <x v="1"/>
    <x v="11"/>
    <x v="204"/>
    <x v="229"/>
    <x v="4"/>
    <n v="240"/>
    <n v="300"/>
    <n v="170"/>
    <n v="540"/>
    <n v="144"/>
    <x v="1"/>
    <n v="0.46054519368723101"/>
    <n v="0.57819225251076045"/>
    <n v="33"/>
  </r>
  <r>
    <n v="816"/>
    <x v="54"/>
    <n v="-14"/>
    <x v="885"/>
    <n v="218"/>
    <n v="25"/>
    <x v="1"/>
    <x v="0"/>
    <n v="7"/>
    <x v="0"/>
    <x v="1"/>
    <x v="11"/>
    <x v="91"/>
    <x v="122"/>
    <x v="12"/>
    <n v="10"/>
    <n v="20"/>
    <n v="-10"/>
    <n v="30"/>
    <n v="41"/>
    <x v="1"/>
    <n v="-0.5"/>
    <n v="0.58333333333333337"/>
    <n v="34"/>
  </r>
  <r>
    <n v="951"/>
    <x v="91"/>
    <n v="-17"/>
    <x v="886"/>
    <n v="3654"/>
    <n v="-24"/>
    <x v="0"/>
    <x v="3"/>
    <n v="50"/>
    <x v="1"/>
    <x v="3"/>
    <x v="5"/>
    <x v="206"/>
    <x v="45"/>
    <x v="3"/>
    <n v="220"/>
    <n v="-30"/>
    <n v="-100"/>
    <n v="190"/>
    <n v="93"/>
    <x v="0"/>
    <n v="-0.9"/>
    <n v="-0.18461538461538463"/>
    <n v="43"/>
  </r>
  <r>
    <n v="714"/>
    <x v="92"/>
    <n v="-15"/>
    <x v="887"/>
    <n v="1662"/>
    <n v="341"/>
    <x v="0"/>
    <x v="3"/>
    <n v="84"/>
    <x v="1"/>
    <x v="2"/>
    <x v="4"/>
    <x v="207"/>
    <x v="203"/>
    <x v="3"/>
    <n v="230"/>
    <n v="320"/>
    <n v="240"/>
    <n v="550"/>
    <n v="116"/>
    <x v="0"/>
    <n v="0.37625418060200672"/>
    <n v="0.57023411371237454"/>
    <n v="32"/>
  </r>
  <r>
    <n v="818"/>
    <x v="90"/>
    <n v="-14"/>
    <x v="888"/>
    <n v="2555"/>
    <n v="-13"/>
    <x v="0"/>
    <x v="3"/>
    <n v="39"/>
    <x v="1"/>
    <x v="3"/>
    <x v="6"/>
    <x v="208"/>
    <x v="12"/>
    <x v="3"/>
    <n v="170"/>
    <n v="-20"/>
    <n v="-60"/>
    <n v="150"/>
    <n v="61"/>
    <x v="1"/>
    <n v="-0.67889908256880738"/>
    <n v="-0.11926605504587157"/>
    <n v="22"/>
  </r>
  <r>
    <n v="626"/>
    <x v="74"/>
    <n v="-223"/>
    <x v="889"/>
    <n v="2548"/>
    <n v="390"/>
    <x v="0"/>
    <x v="3"/>
    <n v="91"/>
    <x v="1"/>
    <x v="3"/>
    <x v="7"/>
    <x v="132"/>
    <x v="162"/>
    <x v="3"/>
    <n v="380"/>
    <n v="580"/>
    <n v="470"/>
    <n v="960"/>
    <n v="143"/>
    <x v="1"/>
    <n v="0.38"/>
    <n v="0.6"/>
    <n v="52"/>
  </r>
  <r>
    <n v="562"/>
    <x v="55"/>
    <n v="-11"/>
    <x v="890"/>
    <n v="1755"/>
    <n v="239"/>
    <x v="0"/>
    <x v="3"/>
    <n v="66"/>
    <x v="1"/>
    <x v="2"/>
    <x v="9"/>
    <x v="173"/>
    <x v="201"/>
    <x v="3"/>
    <n v="210"/>
    <n v="220"/>
    <n v="160"/>
    <n v="430"/>
    <n v="90"/>
    <x v="1"/>
    <n v="0.31171548117154813"/>
    <n v="0.5"/>
    <n v="24"/>
  </r>
  <r>
    <n v="562"/>
    <x v="71"/>
    <n v="-23"/>
    <x v="891"/>
    <n v="898"/>
    <n v="173"/>
    <x v="0"/>
    <x v="3"/>
    <n v="113"/>
    <x v="1"/>
    <x v="2"/>
    <x v="8"/>
    <x v="22"/>
    <x v="200"/>
    <x v="3"/>
    <n v="110"/>
    <n v="160"/>
    <n v="50"/>
    <n v="270"/>
    <n v="146"/>
    <x v="1"/>
    <n v="9.0604026845637578E-2"/>
    <n v="0.58053691275167785"/>
    <n v="33"/>
  </r>
  <r>
    <n v="661"/>
    <x v="77"/>
    <n v="-5"/>
    <x v="892"/>
    <n v="971"/>
    <n v="157"/>
    <x v="0"/>
    <x v="3"/>
    <n v="30"/>
    <x v="0"/>
    <x v="0"/>
    <x v="10"/>
    <x v="125"/>
    <x v="165"/>
    <x v="3"/>
    <n v="80"/>
    <n v="130"/>
    <n v="120"/>
    <n v="210"/>
    <n v="42"/>
    <x v="0"/>
    <n v="0.43396226415094341"/>
    <n v="0.59245283018867922"/>
    <n v="12"/>
  </r>
  <r>
    <n v="562"/>
    <x v="55"/>
    <n v="16"/>
    <x v="893"/>
    <n v="1246"/>
    <n v="281"/>
    <x v="0"/>
    <x v="3"/>
    <n v="74"/>
    <x v="0"/>
    <x v="0"/>
    <x v="0"/>
    <x v="209"/>
    <x v="124"/>
    <x v="3"/>
    <n v="190"/>
    <n v="220"/>
    <n v="170"/>
    <n v="410"/>
    <n v="95"/>
    <x v="0"/>
    <n v="0.3576923076923077"/>
    <n v="0.54038461538461535"/>
    <n v="21"/>
  </r>
  <r>
    <n v="562"/>
    <x v="56"/>
    <n v="54"/>
    <x v="894"/>
    <n v="915"/>
    <n v="179"/>
    <x v="0"/>
    <x v="3"/>
    <n v="34"/>
    <x v="0"/>
    <x v="1"/>
    <x v="2"/>
    <x v="136"/>
    <x v="125"/>
    <x v="3"/>
    <n v="50"/>
    <n v="90"/>
    <n v="80"/>
    <n v="140"/>
    <n v="45"/>
    <x v="1"/>
    <n v="0.44370860927152317"/>
    <n v="0.5927152317880795"/>
    <n v="11"/>
  </r>
  <r>
    <n v="971"/>
    <x v="2"/>
    <n v="-51"/>
    <x v="895"/>
    <n v="419"/>
    <n v="64"/>
    <x v="1"/>
    <x v="3"/>
    <n v="13"/>
    <x v="1"/>
    <x v="3"/>
    <x v="5"/>
    <x v="26"/>
    <x v="2"/>
    <x v="11"/>
    <n v="50"/>
    <n v="100"/>
    <n v="80"/>
    <n v="150"/>
    <n v="35"/>
    <x v="0"/>
    <n v="0.27102803738317754"/>
    <n v="0.59813084112149528"/>
    <n v="22"/>
  </r>
  <r>
    <n v="435"/>
    <x v="38"/>
    <n v="-86"/>
    <x v="896"/>
    <n v="593"/>
    <n v="98"/>
    <x v="1"/>
    <x v="3"/>
    <n v="30"/>
    <x v="1"/>
    <x v="3"/>
    <x v="5"/>
    <x v="28"/>
    <x v="79"/>
    <x v="8"/>
    <n v="100"/>
    <n v="160"/>
    <n v="120"/>
    <n v="260"/>
    <n v="64"/>
    <x v="0"/>
    <n v="0.19209039548022599"/>
    <n v="0.5536723163841808"/>
    <n v="34"/>
  </r>
  <r>
    <n v="425"/>
    <x v="59"/>
    <n v="-83"/>
    <x v="897"/>
    <n v="683"/>
    <n v="134"/>
    <x v="1"/>
    <x v="3"/>
    <n v="87"/>
    <x v="1"/>
    <x v="3"/>
    <x v="5"/>
    <x v="39"/>
    <x v="127"/>
    <x v="14"/>
    <n v="140"/>
    <n v="190"/>
    <n v="100"/>
    <n v="330"/>
    <n v="117"/>
    <x v="0"/>
    <n v="7.3913043478260873E-2"/>
    <n v="0.58260869565217388"/>
    <n v="30"/>
  </r>
  <r>
    <n v="503"/>
    <x v="75"/>
    <n v="-19"/>
    <x v="898"/>
    <n v="1267"/>
    <n v="161"/>
    <x v="1"/>
    <x v="3"/>
    <n v="45"/>
    <x v="1"/>
    <x v="2"/>
    <x v="4"/>
    <x v="192"/>
    <x v="141"/>
    <x v="11"/>
    <n v="140"/>
    <n v="150"/>
    <n v="110"/>
    <n v="290"/>
    <n v="70"/>
    <x v="0"/>
    <n v="0.28260869565217389"/>
    <n v="0.5"/>
    <n v="25"/>
  </r>
  <r>
    <n v="253"/>
    <x v="29"/>
    <n v="-32"/>
    <x v="899"/>
    <n v="1055"/>
    <n v="94"/>
    <x v="1"/>
    <x v="3"/>
    <n v="24"/>
    <x v="1"/>
    <x v="2"/>
    <x v="4"/>
    <x v="21"/>
    <x v="75"/>
    <x v="14"/>
    <n v="60"/>
    <n v="90"/>
    <n v="80"/>
    <n v="150"/>
    <n v="46"/>
    <x v="0"/>
    <n v="0.27586206896551724"/>
    <n v="0.54022988505747127"/>
    <n v="22"/>
  </r>
  <r>
    <n v="971"/>
    <x v="0"/>
    <n v="-55"/>
    <x v="900"/>
    <n v="503"/>
    <n v="71"/>
    <x v="1"/>
    <x v="3"/>
    <n v="46"/>
    <x v="1"/>
    <x v="3"/>
    <x v="6"/>
    <x v="0"/>
    <x v="0"/>
    <x v="11"/>
    <n v="70"/>
    <n v="100"/>
    <n v="50"/>
    <n v="170"/>
    <n v="76"/>
    <x v="1"/>
    <n v="-4.0983606557377046E-2"/>
    <n v="0.58196721311475408"/>
    <n v="30"/>
  </r>
  <r>
    <n v="435"/>
    <x v="28"/>
    <n v="-54"/>
    <x v="901"/>
    <n v="1053"/>
    <n v="77"/>
    <x v="1"/>
    <x v="3"/>
    <n v="20"/>
    <x v="1"/>
    <x v="3"/>
    <x v="6"/>
    <x v="18"/>
    <x v="64"/>
    <x v="8"/>
    <n v="90"/>
    <n v="110"/>
    <n v="90"/>
    <n v="200"/>
    <n v="41"/>
    <x v="1"/>
    <n v="0.25352112676056338"/>
    <n v="0.54225352112676062"/>
    <n v="21"/>
  </r>
  <r>
    <n v="971"/>
    <x v="12"/>
    <n v="-69"/>
    <x v="902"/>
    <n v="463"/>
    <n v="84"/>
    <x v="1"/>
    <x v="3"/>
    <n v="19"/>
    <x v="1"/>
    <x v="3"/>
    <x v="7"/>
    <x v="6"/>
    <x v="13"/>
    <x v="11"/>
    <n v="80"/>
    <n v="130"/>
    <n v="90"/>
    <n v="210"/>
    <n v="63"/>
    <x v="1"/>
    <n v="0.14583333333333334"/>
    <n v="0.58333333333333337"/>
    <n v="44"/>
  </r>
  <r>
    <n v="435"/>
    <x v="6"/>
    <n v="-58"/>
    <x v="903"/>
    <n v="375"/>
    <n v="64"/>
    <x v="1"/>
    <x v="3"/>
    <n v="15"/>
    <x v="1"/>
    <x v="3"/>
    <x v="7"/>
    <x v="57"/>
    <x v="6"/>
    <x v="8"/>
    <n v="50"/>
    <n v="100"/>
    <n v="80"/>
    <n v="150"/>
    <n v="42"/>
    <x v="1"/>
    <n v="0.1981981981981982"/>
    <n v="0.57657657657657657"/>
    <n v="27"/>
  </r>
  <r>
    <n v="206"/>
    <x v="33"/>
    <n v="-54"/>
    <x v="904"/>
    <n v="438"/>
    <n v="99"/>
    <x v="1"/>
    <x v="3"/>
    <n v="21"/>
    <x v="1"/>
    <x v="3"/>
    <x v="7"/>
    <x v="4"/>
    <x v="230"/>
    <x v="14"/>
    <n v="90"/>
    <n v="140"/>
    <n v="110"/>
    <n v="230"/>
    <n v="43"/>
    <x v="1"/>
    <n v="0.33532934131736525"/>
    <n v="0.59281437125748504"/>
    <n v="22"/>
  </r>
  <r>
    <n v="206"/>
    <x v="36"/>
    <n v="-10"/>
    <x v="905"/>
    <n v="573"/>
    <n v="29"/>
    <x v="1"/>
    <x v="3"/>
    <n v="7"/>
    <x v="1"/>
    <x v="2"/>
    <x v="9"/>
    <x v="44"/>
    <x v="77"/>
    <x v="14"/>
    <n v="10"/>
    <n v="20"/>
    <n v="20"/>
    <n v="30"/>
    <n v="19"/>
    <x v="1"/>
    <n v="0.19607843137254902"/>
    <n v="0.56862745098039214"/>
    <n v="12"/>
  </r>
  <r>
    <n v="702"/>
    <x v="50"/>
    <n v="-6"/>
    <x v="906"/>
    <n v="846"/>
    <n v="31"/>
    <x v="1"/>
    <x v="3"/>
    <n v="5"/>
    <x v="1"/>
    <x v="2"/>
    <x v="8"/>
    <x v="29"/>
    <x v="97"/>
    <x v="7"/>
    <n v="10"/>
    <n v="20"/>
    <n v="20"/>
    <n v="30"/>
    <n v="17"/>
    <x v="1"/>
    <n v="0.26923076923076922"/>
    <n v="0.59615384615384615"/>
    <n v="12"/>
  </r>
  <r>
    <n v="801"/>
    <x v="58"/>
    <n v="-23"/>
    <x v="907"/>
    <n v="564"/>
    <n v="133"/>
    <x v="1"/>
    <x v="3"/>
    <n v="33"/>
    <x v="1"/>
    <x v="2"/>
    <x v="8"/>
    <x v="100"/>
    <x v="126"/>
    <x v="8"/>
    <n v="80"/>
    <n v="130"/>
    <n v="110"/>
    <n v="210"/>
    <n v="46"/>
    <x v="1"/>
    <n v="0.36864406779661019"/>
    <n v="0.56355932203389836"/>
    <n v="13"/>
  </r>
  <r>
    <n v="775"/>
    <x v="71"/>
    <n v="-34"/>
    <x v="908"/>
    <n v="898"/>
    <n v="173"/>
    <x v="1"/>
    <x v="3"/>
    <n v="113"/>
    <x v="0"/>
    <x v="0"/>
    <x v="10"/>
    <x v="1"/>
    <x v="200"/>
    <x v="7"/>
    <n v="90"/>
    <n v="150"/>
    <n v="60"/>
    <n v="240"/>
    <n v="147"/>
    <x v="0"/>
    <n v="8.7248322147651006E-2"/>
    <n v="0.58053691275167785"/>
    <n v="34"/>
  </r>
  <r>
    <n v="206"/>
    <x v="71"/>
    <n v="-15"/>
    <x v="909"/>
    <n v="1119"/>
    <n v="188"/>
    <x v="1"/>
    <x v="3"/>
    <n v="41"/>
    <x v="0"/>
    <x v="0"/>
    <x v="10"/>
    <x v="125"/>
    <x v="154"/>
    <x v="14"/>
    <n v="90"/>
    <n v="160"/>
    <n v="130"/>
    <n v="250"/>
    <n v="73"/>
    <x v="0"/>
    <n v="0.36741214057507987"/>
    <n v="0.60063897763578278"/>
    <n v="32"/>
  </r>
  <r>
    <n v="702"/>
    <x v="91"/>
    <n v="0"/>
    <x v="910"/>
    <n v="1132"/>
    <n v="213"/>
    <x v="1"/>
    <x v="3"/>
    <n v="50"/>
    <x v="0"/>
    <x v="0"/>
    <x v="0"/>
    <x v="174"/>
    <x v="202"/>
    <x v="7"/>
    <n v="120"/>
    <n v="170"/>
    <n v="120"/>
    <n v="290"/>
    <n v="93"/>
    <x v="0"/>
    <n v="0.32697547683923706"/>
    <n v="0.5803814713896458"/>
    <n v="43"/>
  </r>
  <r>
    <n v="971"/>
    <x v="57"/>
    <n v="-17"/>
    <x v="911"/>
    <n v="572"/>
    <n v="115"/>
    <x v="1"/>
    <x v="3"/>
    <n v="29"/>
    <x v="0"/>
    <x v="0"/>
    <x v="0"/>
    <x v="59"/>
    <x v="17"/>
    <x v="11"/>
    <n v="60"/>
    <n v="100"/>
    <n v="90"/>
    <n v="160"/>
    <n v="42"/>
    <x v="0"/>
    <n v="0.35609756097560974"/>
    <n v="0.56097560975609762"/>
    <n v="13"/>
  </r>
  <r>
    <n v="702"/>
    <x v="90"/>
    <n v="-16"/>
    <x v="912"/>
    <n v="789"/>
    <n v="176"/>
    <x v="1"/>
    <x v="3"/>
    <n v="39"/>
    <x v="0"/>
    <x v="0"/>
    <x v="1"/>
    <x v="124"/>
    <x v="200"/>
    <x v="7"/>
    <n v="90"/>
    <n v="150"/>
    <n v="130"/>
    <n v="240"/>
    <n v="62"/>
    <x v="0"/>
    <n v="0.3825503355704698"/>
    <n v="0.59060402684563762"/>
    <n v="23"/>
  </r>
  <r>
    <n v="435"/>
    <x v="42"/>
    <n v="-27"/>
    <x v="913"/>
    <n v="1698"/>
    <n v="23"/>
    <x v="1"/>
    <x v="3"/>
    <n v="26"/>
    <x v="0"/>
    <x v="0"/>
    <x v="1"/>
    <x v="210"/>
    <x v="12"/>
    <x v="8"/>
    <n v="60"/>
    <n v="20"/>
    <n v="0"/>
    <n v="80"/>
    <n v="50"/>
    <x v="0"/>
    <n v="-0.24770642201834864"/>
    <n v="0.21100917431192662"/>
    <n v="24"/>
  </r>
  <r>
    <n v="702"/>
    <x v="92"/>
    <n v="94"/>
    <x v="914"/>
    <n v="1662"/>
    <n v="341"/>
    <x v="1"/>
    <x v="3"/>
    <n v="84"/>
    <x v="0"/>
    <x v="1"/>
    <x v="2"/>
    <x v="175"/>
    <x v="203"/>
    <x v="7"/>
    <n v="110"/>
    <n v="180"/>
    <n v="130"/>
    <n v="290"/>
    <n v="117"/>
    <x v="1"/>
    <n v="0.37458193979933108"/>
    <n v="0.57023411371237454"/>
    <n v="33"/>
  </r>
  <r>
    <n v="541"/>
    <x v="50"/>
    <n v="-4"/>
    <x v="915"/>
    <n v="480"/>
    <n v="32"/>
    <x v="1"/>
    <x v="3"/>
    <n v="5"/>
    <x v="0"/>
    <x v="1"/>
    <x v="2"/>
    <x v="38"/>
    <x v="112"/>
    <x v="11"/>
    <n v="0"/>
    <n v="20"/>
    <n v="20"/>
    <n v="20"/>
    <n v="16"/>
    <x v="1"/>
    <n v="0.30188679245283018"/>
    <n v="0.60377358490566035"/>
    <n v="11"/>
  </r>
  <r>
    <n v="775"/>
    <x v="55"/>
    <n v="69"/>
    <x v="916"/>
    <n v="1755"/>
    <n v="239"/>
    <x v="1"/>
    <x v="3"/>
    <n v="66"/>
    <x v="0"/>
    <x v="1"/>
    <x v="11"/>
    <x v="173"/>
    <x v="201"/>
    <x v="7"/>
    <n v="110"/>
    <n v="120"/>
    <n v="80"/>
    <n v="230"/>
    <n v="90"/>
    <x v="1"/>
    <n v="0.31171548117154813"/>
    <n v="0.5"/>
    <n v="24"/>
  </r>
  <r>
    <n v="702"/>
    <x v="76"/>
    <n v="-193"/>
    <x v="917"/>
    <n v="7058"/>
    <n v="-255"/>
    <x v="1"/>
    <x v="3"/>
    <n v="96"/>
    <x v="0"/>
    <x v="1"/>
    <x v="3"/>
    <x v="211"/>
    <x v="231"/>
    <x v="7"/>
    <n v="110"/>
    <n v="-110"/>
    <n v="-170"/>
    <n v="0"/>
    <n v="129"/>
    <x v="1"/>
    <n v="-17.285714285714285"/>
    <n v="-11.142857142857142"/>
    <n v="33"/>
  </r>
  <r>
    <n v="435"/>
    <x v="51"/>
    <n v="-22"/>
    <x v="918"/>
    <n v="209"/>
    <n v="31"/>
    <x v="1"/>
    <x v="3"/>
    <n v="9"/>
    <x v="0"/>
    <x v="1"/>
    <x v="3"/>
    <x v="55"/>
    <x v="82"/>
    <x v="8"/>
    <n v="0"/>
    <n v="20"/>
    <n v="10"/>
    <n v="20"/>
    <n v="43"/>
    <x v="1"/>
    <n v="-0.21428571428571427"/>
    <n v="0.5535714285714286"/>
    <n v="34"/>
  </r>
  <r>
    <n v="909"/>
    <x v="95"/>
    <n v="3"/>
    <x v="919"/>
    <n v="3909"/>
    <n v="-27"/>
    <x v="0"/>
    <x v="3"/>
    <n v="57"/>
    <x v="1"/>
    <x v="3"/>
    <x v="5"/>
    <x v="212"/>
    <x v="232"/>
    <x v="3"/>
    <n v="200"/>
    <n v="-30"/>
    <n v="-130"/>
    <n v="170"/>
    <n v="100"/>
    <x v="0"/>
    <n v="-0.86986301369863017"/>
    <n v="-0.18493150684931506"/>
    <n v="43"/>
  </r>
  <r>
    <n v="707"/>
    <x v="96"/>
    <n v="7"/>
    <x v="920"/>
    <n v="1691"/>
    <n v="304"/>
    <x v="0"/>
    <x v="3"/>
    <n v="75"/>
    <x v="1"/>
    <x v="2"/>
    <x v="4"/>
    <x v="111"/>
    <x v="209"/>
    <x v="3"/>
    <n v="220"/>
    <n v="290"/>
    <n v="190"/>
    <n v="510"/>
    <n v="107"/>
    <x v="0"/>
    <n v="0.37030075187969924"/>
    <n v="0.5714285714285714"/>
    <n v="32"/>
  </r>
  <r>
    <n v="619"/>
    <x v="94"/>
    <n v="-6"/>
    <x v="921"/>
    <n v="2758"/>
    <n v="3"/>
    <x v="0"/>
    <x v="3"/>
    <n v="36"/>
    <x v="1"/>
    <x v="3"/>
    <x v="6"/>
    <x v="213"/>
    <x v="52"/>
    <x v="3"/>
    <n v="130"/>
    <n v="0"/>
    <n v="-50"/>
    <n v="130"/>
    <n v="59"/>
    <x v="1"/>
    <n v="-0.48275862068965519"/>
    <n v="2.5862068965517241E-2"/>
    <n v="23"/>
  </r>
  <r>
    <n v="951"/>
    <x v="79"/>
    <n v="-75"/>
    <x v="922"/>
    <n v="2580"/>
    <n v="374"/>
    <x v="0"/>
    <x v="3"/>
    <n v="87"/>
    <x v="1"/>
    <x v="3"/>
    <x v="7"/>
    <x v="214"/>
    <x v="168"/>
    <x v="3"/>
    <n v="290"/>
    <n v="450"/>
    <n v="310"/>
    <n v="740"/>
    <n v="139"/>
    <x v="1"/>
    <n v="0.37720706260032105"/>
    <n v="0.6003210272873194"/>
    <n v="52"/>
  </r>
  <r>
    <n v="559"/>
    <x v="82"/>
    <n v="-11"/>
    <x v="923"/>
    <n v="1778"/>
    <n v="212"/>
    <x v="0"/>
    <x v="3"/>
    <n v="59"/>
    <x v="1"/>
    <x v="2"/>
    <x v="9"/>
    <x v="113"/>
    <x v="207"/>
    <x v="3"/>
    <n v="200"/>
    <n v="210"/>
    <n v="140"/>
    <n v="410"/>
    <n v="83"/>
    <x v="1"/>
    <n v="0.30496453900709219"/>
    <n v="0.50118203309692666"/>
    <n v="24"/>
  </r>
  <r>
    <n v="818"/>
    <x v="80"/>
    <n v="-14"/>
    <x v="924"/>
    <n v="912"/>
    <n v="168"/>
    <x v="0"/>
    <x v="3"/>
    <n v="109"/>
    <x v="1"/>
    <x v="2"/>
    <x v="8"/>
    <x v="1"/>
    <x v="156"/>
    <x v="3"/>
    <n v="110"/>
    <n v="170"/>
    <n v="40"/>
    <n v="280"/>
    <n v="142"/>
    <x v="1"/>
    <n v="8.9965397923875437E-2"/>
    <n v="0.58131487889273359"/>
    <n v="33"/>
  </r>
  <r>
    <n v="213"/>
    <x v="68"/>
    <n v="4"/>
    <x v="925"/>
    <n v="984"/>
    <n v="117"/>
    <x v="0"/>
    <x v="3"/>
    <n v="22"/>
    <x v="0"/>
    <x v="0"/>
    <x v="10"/>
    <x v="144"/>
    <x v="172"/>
    <x v="3"/>
    <n v="70"/>
    <n v="110"/>
    <n v="80"/>
    <n v="180"/>
    <n v="33"/>
    <x v="0"/>
    <n v="0.42424242424242425"/>
    <n v="0.59090909090909094"/>
    <n v="11"/>
  </r>
  <r>
    <n v="213"/>
    <x v="60"/>
    <n v="14"/>
    <x v="926"/>
    <n v="1272"/>
    <n v="265"/>
    <x v="0"/>
    <x v="3"/>
    <n v="69"/>
    <x v="0"/>
    <x v="0"/>
    <x v="0"/>
    <x v="101"/>
    <x v="128"/>
    <x v="3"/>
    <n v="210"/>
    <n v="240"/>
    <n v="160"/>
    <n v="450"/>
    <n v="91"/>
    <x v="0"/>
    <n v="0.35510204081632651"/>
    <n v="0.54081632653061229"/>
    <n v="22"/>
  </r>
  <r>
    <n v="213"/>
    <x v="61"/>
    <n v="18"/>
    <x v="927"/>
    <n v="930"/>
    <n v="172"/>
    <x v="0"/>
    <x v="3"/>
    <n v="33"/>
    <x v="0"/>
    <x v="1"/>
    <x v="2"/>
    <x v="179"/>
    <x v="129"/>
    <x v="3"/>
    <n v="80"/>
    <n v="130"/>
    <n v="110"/>
    <n v="210"/>
    <n v="44"/>
    <x v="1"/>
    <n v="0.44137931034482758"/>
    <n v="0.59310344827586203"/>
    <n v="11"/>
  </r>
  <r>
    <n v="801"/>
    <x v="16"/>
    <n v="-22"/>
    <x v="928"/>
    <n v="601"/>
    <n v="102"/>
    <x v="1"/>
    <x v="3"/>
    <n v="31"/>
    <x v="1"/>
    <x v="3"/>
    <x v="5"/>
    <x v="68"/>
    <x v="106"/>
    <x v="8"/>
    <n v="90"/>
    <n v="120"/>
    <n v="60"/>
    <n v="210"/>
    <n v="64"/>
    <x v="0"/>
    <n v="0.20652173913043478"/>
    <n v="0.55434782608695654"/>
    <n v="33"/>
  </r>
  <r>
    <n v="253"/>
    <x v="66"/>
    <n v="-24"/>
    <x v="929"/>
    <n v="694"/>
    <n v="130"/>
    <x v="1"/>
    <x v="3"/>
    <n v="85"/>
    <x v="1"/>
    <x v="3"/>
    <x v="5"/>
    <x v="38"/>
    <x v="134"/>
    <x v="14"/>
    <n v="110"/>
    <n v="150"/>
    <n v="40"/>
    <n v="260"/>
    <n v="114"/>
    <x v="0"/>
    <n v="7.1428571428571425E-2"/>
    <n v="0.5803571428571429"/>
    <n v="29"/>
  </r>
  <r>
    <n v="503"/>
    <x v="81"/>
    <n v="-12"/>
    <x v="930"/>
    <n v="1283"/>
    <n v="182"/>
    <x v="1"/>
    <x v="3"/>
    <n v="50"/>
    <x v="1"/>
    <x v="2"/>
    <x v="4"/>
    <x v="140"/>
    <x v="169"/>
    <x v="11"/>
    <n v="170"/>
    <n v="180"/>
    <n v="120"/>
    <n v="350"/>
    <n v="74"/>
    <x v="0"/>
    <n v="0.2975206611570248"/>
    <n v="0.50137741046831952"/>
    <n v="24"/>
  </r>
  <r>
    <n v="801"/>
    <x v="41"/>
    <n v="-11"/>
    <x v="931"/>
    <n v="1060"/>
    <n v="81"/>
    <x v="1"/>
    <x v="3"/>
    <n v="21"/>
    <x v="1"/>
    <x v="3"/>
    <x v="6"/>
    <x v="40"/>
    <x v="61"/>
    <x v="8"/>
    <n v="80"/>
    <n v="90"/>
    <n v="50"/>
    <n v="170"/>
    <n v="42"/>
    <x v="1"/>
    <n v="0.26"/>
    <n v="0.54"/>
    <n v="21"/>
  </r>
  <r>
    <n v="971"/>
    <x v="26"/>
    <n v="-26"/>
    <x v="932"/>
    <n v="470"/>
    <n v="75"/>
    <x v="1"/>
    <x v="3"/>
    <n v="17"/>
    <x v="1"/>
    <x v="3"/>
    <x v="7"/>
    <x v="29"/>
    <x v="51"/>
    <x v="11"/>
    <n v="60"/>
    <n v="90"/>
    <n v="40"/>
    <n v="150"/>
    <n v="61"/>
    <x v="1"/>
    <n v="0.109375"/>
    <n v="0.5859375"/>
    <n v="44"/>
  </r>
  <r>
    <n v="425"/>
    <x v="34"/>
    <n v="-20"/>
    <x v="933"/>
    <n v="446"/>
    <n v="93"/>
    <x v="1"/>
    <x v="3"/>
    <n v="20"/>
    <x v="1"/>
    <x v="3"/>
    <x v="7"/>
    <x v="35"/>
    <x v="233"/>
    <x v="14"/>
    <n v="70"/>
    <n v="110"/>
    <n v="70"/>
    <n v="180"/>
    <n v="43"/>
    <x v="1"/>
    <n v="0.32051282051282054"/>
    <n v="0.59615384615384615"/>
    <n v="23"/>
  </r>
  <r>
    <n v="775"/>
    <x v="52"/>
    <n v="-1"/>
    <x v="934"/>
    <n v="848"/>
    <n v="24"/>
    <x v="1"/>
    <x v="3"/>
    <n v="4"/>
    <x v="1"/>
    <x v="2"/>
    <x v="8"/>
    <x v="76"/>
    <x v="115"/>
    <x v="7"/>
    <n v="10"/>
    <n v="20"/>
    <n v="10"/>
    <n v="30"/>
    <n v="15"/>
    <x v="1"/>
    <n v="0.23076923076923078"/>
    <n v="0.61538461538461542"/>
    <n v="11"/>
  </r>
  <r>
    <n v="435"/>
    <x v="65"/>
    <n v="-5"/>
    <x v="935"/>
    <n v="552"/>
    <n v="130"/>
    <x v="1"/>
    <x v="3"/>
    <n v="33"/>
    <x v="1"/>
    <x v="2"/>
    <x v="8"/>
    <x v="74"/>
    <x v="133"/>
    <x v="8"/>
    <n v="90"/>
    <n v="130"/>
    <n v="90"/>
    <n v="220"/>
    <n v="45"/>
    <x v="1"/>
    <n v="0.36796536796536794"/>
    <n v="0.56277056277056281"/>
    <n v="12"/>
  </r>
  <r>
    <n v="775"/>
    <x v="80"/>
    <n v="6"/>
    <x v="936"/>
    <n v="912"/>
    <n v="168"/>
    <x v="1"/>
    <x v="3"/>
    <n v="109"/>
    <x v="0"/>
    <x v="0"/>
    <x v="10"/>
    <x v="1"/>
    <x v="156"/>
    <x v="7"/>
    <n v="110"/>
    <n v="150"/>
    <n v="20"/>
    <n v="260"/>
    <n v="142"/>
    <x v="0"/>
    <n v="8.9965397923875437E-2"/>
    <n v="0.58131487889273359"/>
    <n v="33"/>
  </r>
  <r>
    <n v="206"/>
    <x v="72"/>
    <n v="2"/>
    <x v="937"/>
    <n v="1134"/>
    <n v="195"/>
    <x v="1"/>
    <x v="3"/>
    <n v="42"/>
    <x v="0"/>
    <x v="0"/>
    <x v="10"/>
    <x v="126"/>
    <x v="155"/>
    <x v="14"/>
    <n v="120"/>
    <n v="180"/>
    <n v="120"/>
    <n v="300"/>
    <n v="73"/>
    <x v="0"/>
    <n v="0.37538461538461537"/>
    <n v="0.6"/>
    <n v="31"/>
  </r>
  <r>
    <n v="702"/>
    <x v="95"/>
    <n v="8"/>
    <x v="938"/>
    <n v="1150"/>
    <n v="239"/>
    <x v="1"/>
    <x v="3"/>
    <n v="57"/>
    <x v="0"/>
    <x v="0"/>
    <x v="0"/>
    <x v="215"/>
    <x v="208"/>
    <x v="7"/>
    <n v="160"/>
    <n v="220"/>
    <n v="130"/>
    <n v="380"/>
    <n v="101"/>
    <x v="0"/>
    <n v="0.33495145631067963"/>
    <n v="0.58009708737864074"/>
    <n v="44"/>
  </r>
  <r>
    <n v="971"/>
    <x v="63"/>
    <n v="0"/>
    <x v="939"/>
    <n v="561"/>
    <n v="112"/>
    <x v="1"/>
    <x v="3"/>
    <n v="29"/>
    <x v="0"/>
    <x v="0"/>
    <x v="0"/>
    <x v="50"/>
    <x v="131"/>
    <x v="11"/>
    <n v="80"/>
    <n v="100"/>
    <n v="70"/>
    <n v="180"/>
    <n v="42"/>
    <x v="0"/>
    <n v="0.35"/>
    <n v="0.56000000000000005"/>
    <n v="13"/>
  </r>
  <r>
    <n v="702"/>
    <x v="94"/>
    <n v="7"/>
    <x v="940"/>
    <n v="803"/>
    <n v="165"/>
    <x v="1"/>
    <x v="3"/>
    <n v="36"/>
    <x v="0"/>
    <x v="0"/>
    <x v="1"/>
    <x v="120"/>
    <x v="206"/>
    <x v="7"/>
    <n v="100"/>
    <n v="150"/>
    <n v="100"/>
    <n v="250"/>
    <n v="58"/>
    <x v="0"/>
    <n v="0.38489208633093525"/>
    <n v="0.59352517985611508"/>
    <n v="22"/>
  </r>
  <r>
    <n v="702"/>
    <x v="96"/>
    <n v="56"/>
    <x v="941"/>
    <n v="1691"/>
    <n v="304"/>
    <x v="1"/>
    <x v="3"/>
    <n v="75"/>
    <x v="0"/>
    <x v="1"/>
    <x v="2"/>
    <x v="181"/>
    <x v="209"/>
    <x v="7"/>
    <n v="160"/>
    <n v="220"/>
    <n v="140"/>
    <n v="380"/>
    <n v="108"/>
    <x v="1"/>
    <n v="0.36842105263157893"/>
    <n v="0.5714285714285714"/>
    <n v="33"/>
  </r>
  <r>
    <n v="702"/>
    <x v="82"/>
    <n v="48"/>
    <x v="942"/>
    <n v="1778"/>
    <n v="212"/>
    <x v="1"/>
    <x v="3"/>
    <n v="59"/>
    <x v="0"/>
    <x v="1"/>
    <x v="11"/>
    <x v="179"/>
    <x v="207"/>
    <x v="7"/>
    <n v="150"/>
    <n v="150"/>
    <n v="80"/>
    <n v="300"/>
    <n v="84"/>
    <x v="1"/>
    <n v="0.30260047281323876"/>
    <n v="0.50118203309692666"/>
    <n v="25"/>
  </r>
  <r>
    <n v="971"/>
    <x v="62"/>
    <n v="12"/>
    <x v="943"/>
    <n v="798"/>
    <n v="119"/>
    <x v="1"/>
    <x v="3"/>
    <n v="25"/>
    <x v="0"/>
    <x v="1"/>
    <x v="11"/>
    <x v="103"/>
    <x v="130"/>
    <x v="11"/>
    <n v="50"/>
    <n v="90"/>
    <n v="50"/>
    <n v="140"/>
    <n v="57"/>
    <x v="1"/>
    <n v="0.31472081218274112"/>
    <n v="0.60406091370558379"/>
    <n v="32"/>
  </r>
  <r>
    <n v="702"/>
    <x v="83"/>
    <n v="-60"/>
    <x v="944"/>
    <n v="7653"/>
    <n v="-245"/>
    <x v="1"/>
    <x v="3"/>
    <n v="93"/>
    <x v="0"/>
    <x v="1"/>
    <x v="3"/>
    <x v="216"/>
    <x v="234"/>
    <x v="7"/>
    <n v="180"/>
    <n v="-180"/>
    <n v="-280"/>
    <n v="0"/>
    <n v="127"/>
    <x v="1"/>
    <n v="-10.625"/>
    <n v="-6.65625"/>
    <n v="34"/>
  </r>
  <r>
    <n v="971"/>
    <x v="64"/>
    <n v="19"/>
    <x v="945"/>
    <n v="666"/>
    <n v="143"/>
    <x v="1"/>
    <x v="3"/>
    <n v="31"/>
    <x v="0"/>
    <x v="1"/>
    <x v="3"/>
    <x v="104"/>
    <x v="132"/>
    <x v="11"/>
    <n v="70"/>
    <n v="100"/>
    <n v="70"/>
    <n v="170"/>
    <n v="54"/>
    <x v="1"/>
    <n v="0.36326530612244901"/>
    <n v="0.58367346938775511"/>
    <n v="23"/>
  </r>
  <r>
    <n v="714"/>
    <x v="98"/>
    <n v="1"/>
    <x v="946"/>
    <n v="4216"/>
    <n v="-32"/>
    <x v="0"/>
    <x v="3"/>
    <n v="73"/>
    <x v="1"/>
    <x v="3"/>
    <x v="5"/>
    <x v="217"/>
    <x v="186"/>
    <x v="3"/>
    <n v="260"/>
    <n v="-40"/>
    <n v="-150"/>
    <n v="220"/>
    <n v="117"/>
    <x v="0"/>
    <n v="-0.77604166666666663"/>
    <n v="-0.16666666666666666"/>
    <n v="44"/>
  </r>
  <r>
    <n v="209"/>
    <x v="99"/>
    <n v="6"/>
    <x v="947"/>
    <n v="1744"/>
    <n v="329"/>
    <x v="0"/>
    <x v="3"/>
    <n v="81"/>
    <x v="1"/>
    <x v="2"/>
    <x v="4"/>
    <x v="185"/>
    <x v="171"/>
    <x v="3"/>
    <n v="240"/>
    <n v="310"/>
    <n v="210"/>
    <n v="550"/>
    <n v="113"/>
    <x v="0"/>
    <n v="0.375"/>
    <n v="0.57118055555555558"/>
    <n v="32"/>
  </r>
  <r>
    <n v="951"/>
    <x v="97"/>
    <n v="2"/>
    <x v="948"/>
    <n v="2947"/>
    <n v="-25"/>
    <x v="0"/>
    <x v="3"/>
    <n v="40"/>
    <x v="1"/>
    <x v="3"/>
    <x v="6"/>
    <x v="218"/>
    <x v="235"/>
    <x v="3"/>
    <n v="150"/>
    <n v="-30"/>
    <n v="-90"/>
    <n v="120"/>
    <n v="63"/>
    <x v="1"/>
    <n v="-0.86274509803921573"/>
    <n v="-0.24509803921568626"/>
    <n v="23"/>
  </r>
  <r>
    <n v="707"/>
    <x v="85"/>
    <n v="-79"/>
    <x v="949"/>
    <n v="2642"/>
    <n v="420"/>
    <x v="0"/>
    <x v="3"/>
    <n v="97"/>
    <x v="1"/>
    <x v="3"/>
    <x v="7"/>
    <x v="146"/>
    <x v="175"/>
    <x v="3"/>
    <n v="330"/>
    <n v="500"/>
    <n v="350"/>
    <n v="830"/>
    <n v="149"/>
    <x v="1"/>
    <n v="0.38769670958512159"/>
    <n v="0.60085836909871249"/>
    <n v="52"/>
  </r>
  <r>
    <n v="916"/>
    <x v="88"/>
    <n v="-3"/>
    <x v="950"/>
    <n v="1820"/>
    <n v="251"/>
    <x v="0"/>
    <x v="3"/>
    <n v="70"/>
    <x v="1"/>
    <x v="2"/>
    <x v="9"/>
    <x v="183"/>
    <x v="212"/>
    <x v="3"/>
    <n v="240"/>
    <n v="240"/>
    <n v="160"/>
    <n v="480"/>
    <n v="94"/>
    <x v="1"/>
    <n v="0.31337325349301398"/>
    <n v="0.50099800399201599"/>
    <n v="24"/>
  </r>
  <r>
    <n v="530"/>
    <x v="86"/>
    <n v="-9"/>
    <x v="951"/>
    <n v="940"/>
    <n v="187"/>
    <x v="0"/>
    <x v="3"/>
    <n v="122"/>
    <x v="1"/>
    <x v="2"/>
    <x v="8"/>
    <x v="5"/>
    <x v="141"/>
    <x v="3"/>
    <n v="130"/>
    <n v="180"/>
    <n v="40"/>
    <n v="310"/>
    <n v="156"/>
    <x v="1"/>
    <n v="9.627329192546584E-2"/>
    <n v="0.58074534161490687"/>
    <n v="34"/>
  </r>
  <r>
    <n v="626"/>
    <x v="42"/>
    <n v="9"/>
    <x v="952"/>
    <n v="1003"/>
    <n v="124"/>
    <x v="0"/>
    <x v="3"/>
    <n v="24"/>
    <x v="0"/>
    <x v="0"/>
    <x v="10"/>
    <x v="104"/>
    <x v="145"/>
    <x v="3"/>
    <n v="80"/>
    <n v="110"/>
    <n v="80"/>
    <n v="190"/>
    <n v="35"/>
    <x v="0"/>
    <n v="0.4238095238095238"/>
    <n v="0.59047619047619049"/>
    <n v="11"/>
  </r>
  <r>
    <n v="415"/>
    <x v="67"/>
    <n v="18"/>
    <x v="953"/>
    <n v="1321"/>
    <n v="284"/>
    <x v="0"/>
    <x v="3"/>
    <n v="74"/>
    <x v="0"/>
    <x v="0"/>
    <x v="0"/>
    <x v="105"/>
    <x v="135"/>
    <x v="3"/>
    <n v="220"/>
    <n v="260"/>
    <n v="170"/>
    <n v="480"/>
    <n v="96"/>
    <x v="0"/>
    <n v="0.35809523809523808"/>
    <n v="0.54095238095238096"/>
    <n v="22"/>
  </r>
  <r>
    <n v="916"/>
    <x v="56"/>
    <n v="24"/>
    <x v="954"/>
    <n v="959"/>
    <n v="179"/>
    <x v="0"/>
    <x v="3"/>
    <n v="34"/>
    <x v="0"/>
    <x v="1"/>
    <x v="2"/>
    <x v="136"/>
    <x v="125"/>
    <x v="3"/>
    <n v="90"/>
    <n v="130"/>
    <n v="110"/>
    <n v="220"/>
    <n v="45"/>
    <x v="1"/>
    <n v="0.44370860927152317"/>
    <n v="0.5927152317880795"/>
    <n v="11"/>
  </r>
  <r>
    <n v="435"/>
    <x v="33"/>
    <n v="-24"/>
    <x v="955"/>
    <n v="619"/>
    <n v="85"/>
    <x v="1"/>
    <x v="3"/>
    <n v="25"/>
    <x v="1"/>
    <x v="3"/>
    <x v="5"/>
    <x v="1"/>
    <x v="43"/>
    <x v="8"/>
    <n v="80"/>
    <n v="100"/>
    <n v="50"/>
    <n v="180"/>
    <n v="59"/>
    <x v="0"/>
    <n v="0.16993464052287582"/>
    <n v="0.55555555555555558"/>
    <n v="34"/>
  </r>
  <r>
    <n v="509"/>
    <x v="70"/>
    <n v="-30"/>
    <x v="956"/>
    <n v="716"/>
    <n v="145"/>
    <x v="1"/>
    <x v="3"/>
    <n v="95"/>
    <x v="1"/>
    <x v="3"/>
    <x v="5"/>
    <x v="30"/>
    <x v="139"/>
    <x v="14"/>
    <n v="120"/>
    <n v="170"/>
    <n v="50"/>
    <n v="290"/>
    <n v="125"/>
    <x v="0"/>
    <n v="0.08"/>
    <n v="0.57999999999999996"/>
    <n v="30"/>
  </r>
  <r>
    <n v="971"/>
    <x v="87"/>
    <n v="7"/>
    <x v="957"/>
    <n v="1319"/>
    <n v="153"/>
    <x v="1"/>
    <x v="3"/>
    <n v="42"/>
    <x v="1"/>
    <x v="2"/>
    <x v="4"/>
    <x v="100"/>
    <x v="176"/>
    <x v="11"/>
    <n v="150"/>
    <n v="140"/>
    <n v="80"/>
    <n v="290"/>
    <n v="66"/>
    <x v="0"/>
    <n v="0.28431372549019607"/>
    <n v="0.5"/>
    <n v="24"/>
  </r>
  <r>
    <n v="253"/>
    <x v="29"/>
    <n v="-9"/>
    <x v="958"/>
    <n v="1079"/>
    <n v="96"/>
    <x v="1"/>
    <x v="3"/>
    <n v="24"/>
    <x v="1"/>
    <x v="2"/>
    <x v="4"/>
    <x v="94"/>
    <x v="37"/>
    <x v="14"/>
    <n v="70"/>
    <n v="100"/>
    <n v="60"/>
    <n v="170"/>
    <n v="45"/>
    <x v="0"/>
    <n v="0.28977272727272729"/>
    <n v="0.54545454545454541"/>
    <n v="21"/>
  </r>
  <r>
    <n v="435"/>
    <x v="34"/>
    <n v="-14"/>
    <x v="959"/>
    <n v="1075"/>
    <n v="76"/>
    <x v="1"/>
    <x v="3"/>
    <n v="19"/>
    <x v="1"/>
    <x v="3"/>
    <x v="6"/>
    <x v="18"/>
    <x v="44"/>
    <x v="8"/>
    <n v="70"/>
    <n v="90"/>
    <n v="50"/>
    <n v="160"/>
    <n v="40"/>
    <x v="1"/>
    <n v="0.25899280575539568"/>
    <n v="0.5467625899280576"/>
    <n v="21"/>
  </r>
  <r>
    <n v="253"/>
    <x v="4"/>
    <n v="-22"/>
    <x v="960"/>
    <n v="461"/>
    <n v="104"/>
    <x v="1"/>
    <x v="3"/>
    <n v="23"/>
    <x v="1"/>
    <x v="3"/>
    <x v="7"/>
    <x v="85"/>
    <x v="37"/>
    <x v="14"/>
    <n v="80"/>
    <n v="120"/>
    <n v="80"/>
    <n v="200"/>
    <n v="46"/>
    <x v="1"/>
    <n v="0.32954545454545453"/>
    <n v="0.59090909090909094"/>
    <n v="23"/>
  </r>
  <r>
    <n v="775"/>
    <x v="53"/>
    <n v="0"/>
    <x v="961"/>
    <n v="851"/>
    <n v="25"/>
    <x v="1"/>
    <x v="3"/>
    <n v="4"/>
    <x v="1"/>
    <x v="2"/>
    <x v="8"/>
    <x v="44"/>
    <x v="116"/>
    <x v="7"/>
    <n v="10"/>
    <n v="20"/>
    <n v="10"/>
    <n v="30"/>
    <n v="15"/>
    <x v="1"/>
    <n v="0.24390243902439024"/>
    <n v="0.6097560975609756"/>
    <n v="11"/>
  </r>
  <r>
    <n v="435"/>
    <x v="66"/>
    <n v="7"/>
    <x v="962"/>
    <n v="540"/>
    <n v="120"/>
    <x v="1"/>
    <x v="3"/>
    <n v="31"/>
    <x v="1"/>
    <x v="2"/>
    <x v="8"/>
    <x v="61"/>
    <x v="138"/>
    <x v="8"/>
    <n v="90"/>
    <n v="110"/>
    <n v="70"/>
    <n v="200"/>
    <n v="43"/>
    <x v="1"/>
    <n v="0.35981308411214952"/>
    <n v="0.56074766355140182"/>
    <n v="12"/>
  </r>
  <r>
    <n v="702"/>
    <x v="86"/>
    <n v="2"/>
    <x v="963"/>
    <n v="940"/>
    <n v="187"/>
    <x v="1"/>
    <x v="3"/>
    <n v="122"/>
    <x v="0"/>
    <x v="0"/>
    <x v="10"/>
    <x v="71"/>
    <x v="141"/>
    <x v="7"/>
    <n v="120"/>
    <n v="170"/>
    <n v="30"/>
    <n v="290"/>
    <n v="155"/>
    <x v="0"/>
    <n v="9.9378881987577633E-2"/>
    <n v="0.58074534161490687"/>
    <n v="33"/>
  </r>
  <r>
    <n v="509"/>
    <x v="73"/>
    <n v="-5"/>
    <x v="964"/>
    <n v="1166"/>
    <n v="174"/>
    <x v="1"/>
    <x v="3"/>
    <n v="37"/>
    <x v="0"/>
    <x v="0"/>
    <x v="10"/>
    <x v="116"/>
    <x v="156"/>
    <x v="14"/>
    <n v="100"/>
    <n v="160"/>
    <n v="110"/>
    <n v="260"/>
    <n v="69"/>
    <x v="0"/>
    <n v="0.36332179930795849"/>
    <n v="0.60207612456747406"/>
    <n v="32"/>
  </r>
  <r>
    <n v="775"/>
    <x v="98"/>
    <n v="24"/>
    <x v="965"/>
    <n v="1191"/>
    <n v="310"/>
    <x v="1"/>
    <x v="3"/>
    <n v="73"/>
    <x v="0"/>
    <x v="0"/>
    <x v="0"/>
    <x v="184"/>
    <x v="213"/>
    <x v="7"/>
    <n v="210"/>
    <n v="280"/>
    <n v="170"/>
    <n v="490"/>
    <n v="116"/>
    <x v="0"/>
    <n v="0.36329588014981273"/>
    <n v="0.58052434456928836"/>
    <n v="43"/>
  </r>
  <r>
    <n v="541"/>
    <x v="68"/>
    <n v="-4"/>
    <x v="966"/>
    <n v="551"/>
    <n v="104"/>
    <x v="1"/>
    <x v="3"/>
    <n v="26"/>
    <x v="0"/>
    <x v="0"/>
    <x v="0"/>
    <x v="107"/>
    <x v="86"/>
    <x v="11"/>
    <n v="70"/>
    <n v="100"/>
    <n v="70"/>
    <n v="170"/>
    <n v="38"/>
    <x v="0"/>
    <n v="0.35675675675675678"/>
    <n v="0.56216216216216219"/>
    <n v="12"/>
  </r>
  <r>
    <n v="775"/>
    <x v="97"/>
    <n v="2"/>
    <x v="967"/>
    <n v="830"/>
    <n v="185"/>
    <x v="1"/>
    <x v="3"/>
    <n v="40"/>
    <x v="0"/>
    <x v="0"/>
    <x v="1"/>
    <x v="126"/>
    <x v="211"/>
    <x v="7"/>
    <n v="120"/>
    <n v="170"/>
    <n v="120"/>
    <n v="290"/>
    <n v="63"/>
    <x v="0"/>
    <n v="0.39102564102564102"/>
    <n v="0.59294871794871795"/>
    <n v="23"/>
  </r>
  <r>
    <n v="702"/>
    <x v="99"/>
    <n v="65"/>
    <x v="968"/>
    <n v="1744"/>
    <n v="329"/>
    <x v="1"/>
    <x v="3"/>
    <n v="81"/>
    <x v="0"/>
    <x v="1"/>
    <x v="2"/>
    <x v="219"/>
    <x v="171"/>
    <x v="7"/>
    <n v="180"/>
    <n v="240"/>
    <n v="150"/>
    <n v="420"/>
    <n v="114"/>
    <x v="1"/>
    <n v="0.3732638888888889"/>
    <n v="0.57118055555555558"/>
    <n v="33"/>
  </r>
  <r>
    <n v="702"/>
    <x v="88"/>
    <n v="57"/>
    <x v="969"/>
    <n v="1820"/>
    <n v="251"/>
    <x v="1"/>
    <x v="3"/>
    <n v="70"/>
    <x v="0"/>
    <x v="1"/>
    <x v="11"/>
    <x v="183"/>
    <x v="212"/>
    <x v="7"/>
    <n v="180"/>
    <n v="180"/>
    <n v="100"/>
    <n v="360"/>
    <n v="94"/>
    <x v="1"/>
    <n v="0.31337325349301398"/>
    <n v="0.50099800399201599"/>
    <n v="24"/>
  </r>
  <r>
    <n v="971"/>
    <x v="63"/>
    <n v="13"/>
    <x v="970"/>
    <n v="817"/>
    <n v="133"/>
    <x v="1"/>
    <x v="3"/>
    <n v="29"/>
    <x v="0"/>
    <x v="1"/>
    <x v="11"/>
    <x v="59"/>
    <x v="136"/>
    <x v="11"/>
    <n v="60"/>
    <n v="100"/>
    <n v="60"/>
    <n v="160"/>
    <n v="60"/>
    <x v="1"/>
    <n v="0.33031674208144796"/>
    <n v="0.60180995475113119"/>
    <n v="31"/>
  </r>
  <r>
    <n v="775"/>
    <x v="89"/>
    <n v="-88"/>
    <x v="971"/>
    <n v="8252"/>
    <n v="-294"/>
    <x v="1"/>
    <x v="3"/>
    <n v="111"/>
    <x v="0"/>
    <x v="1"/>
    <x v="3"/>
    <x v="220"/>
    <x v="236"/>
    <x v="7"/>
    <n v="210"/>
    <n v="-210"/>
    <n v="-320"/>
    <n v="0"/>
    <n v="145"/>
    <x v="1"/>
    <n v="-13.161290322580646"/>
    <n v="-8.4838709677419359"/>
    <n v="34"/>
  </r>
  <r>
    <n v="503"/>
    <x v="69"/>
    <n v="21"/>
    <x v="972"/>
    <n v="690"/>
    <n v="186"/>
    <x v="1"/>
    <x v="3"/>
    <n v="41"/>
    <x v="0"/>
    <x v="1"/>
    <x v="3"/>
    <x v="109"/>
    <x v="137"/>
    <x v="11"/>
    <n v="90"/>
    <n v="140"/>
    <n v="100"/>
    <n v="230"/>
    <n v="65"/>
    <x v="1"/>
    <n v="0.37812499999999999"/>
    <n v="0.58125000000000004"/>
    <n v="24"/>
  </r>
  <r>
    <n v="435"/>
    <x v="54"/>
    <n v="-15"/>
    <x v="973"/>
    <n v="218"/>
    <n v="25"/>
    <x v="1"/>
    <x v="3"/>
    <n v="7"/>
    <x v="0"/>
    <x v="1"/>
    <x v="3"/>
    <x v="108"/>
    <x v="117"/>
    <x v="8"/>
    <n v="10"/>
    <n v="20"/>
    <n v="0"/>
    <n v="30"/>
    <n v="40"/>
    <x v="1"/>
    <n v="-0.33333333333333331"/>
    <n v="0.55555555555555558"/>
    <n v="33"/>
  </r>
  <r>
    <n v="650"/>
    <x v="91"/>
    <n v="-74"/>
    <x v="974"/>
    <n v="3654"/>
    <n v="-24"/>
    <x v="0"/>
    <x v="3"/>
    <n v="50"/>
    <x v="1"/>
    <x v="3"/>
    <x v="5"/>
    <x v="221"/>
    <x v="44"/>
    <x v="3"/>
    <n v="220"/>
    <n v="-30"/>
    <n v="-100"/>
    <n v="190"/>
    <n v="93"/>
    <x v="0"/>
    <n v="-1.2517985611510791"/>
    <n v="-0.1079136690647482"/>
    <n v="43"/>
  </r>
  <r>
    <n v="415"/>
    <x v="92"/>
    <n v="94"/>
    <x v="975"/>
    <n v="1662"/>
    <n v="341"/>
    <x v="0"/>
    <x v="3"/>
    <n v="84"/>
    <x v="1"/>
    <x v="2"/>
    <x v="4"/>
    <x v="222"/>
    <x v="219"/>
    <x v="3"/>
    <n v="230"/>
    <n v="320"/>
    <n v="240"/>
    <n v="550"/>
    <n v="116"/>
    <x v="0"/>
    <n v="0.52433281004709575"/>
    <n v="0.59654631083202514"/>
    <n v="32"/>
  </r>
  <r>
    <n v="909"/>
    <x v="90"/>
    <n v="-50"/>
    <x v="976"/>
    <n v="2555"/>
    <n v="-13"/>
    <x v="0"/>
    <x v="3"/>
    <n v="39"/>
    <x v="1"/>
    <x v="3"/>
    <x v="6"/>
    <x v="223"/>
    <x v="52"/>
    <x v="3"/>
    <n v="170"/>
    <n v="-20"/>
    <n v="-60"/>
    <n v="150"/>
    <n v="61"/>
    <x v="1"/>
    <n v="-0.94827586206896552"/>
    <n v="-5.1724137931034482E-2"/>
    <n v="22"/>
  </r>
  <r>
    <n v="818"/>
    <x v="74"/>
    <n v="-103"/>
    <x v="977"/>
    <n v="2548"/>
    <n v="390"/>
    <x v="0"/>
    <x v="3"/>
    <n v="91"/>
    <x v="1"/>
    <x v="3"/>
    <x v="7"/>
    <x v="152"/>
    <x v="181"/>
    <x v="3"/>
    <n v="380"/>
    <n v="580"/>
    <n v="470"/>
    <n v="960"/>
    <n v="143"/>
    <x v="1"/>
    <n v="0.5295815295815296"/>
    <n v="0.62481962481962483"/>
    <n v="52"/>
  </r>
  <r>
    <n v="714"/>
    <x v="55"/>
    <n v="61"/>
    <x v="978"/>
    <n v="1755"/>
    <n v="239"/>
    <x v="0"/>
    <x v="3"/>
    <n v="66"/>
    <x v="1"/>
    <x v="2"/>
    <x v="9"/>
    <x v="189"/>
    <x v="217"/>
    <x v="3"/>
    <n v="210"/>
    <n v="220"/>
    <n v="160"/>
    <n v="430"/>
    <n v="90"/>
    <x v="1"/>
    <n v="0.43418467583497056"/>
    <n v="0.53045186640471509"/>
    <n v="24"/>
  </r>
  <r>
    <n v="805"/>
    <x v="71"/>
    <n v="-10"/>
    <x v="979"/>
    <n v="898"/>
    <n v="173"/>
    <x v="0"/>
    <x v="3"/>
    <n v="113"/>
    <x v="1"/>
    <x v="2"/>
    <x v="8"/>
    <x v="54"/>
    <x v="216"/>
    <x v="3"/>
    <n v="110"/>
    <n v="160"/>
    <n v="50"/>
    <n v="270"/>
    <n v="146"/>
    <x v="1"/>
    <n v="0.12578616352201258"/>
    <n v="0.60691823899371067"/>
    <n v="33"/>
  </r>
  <r>
    <n v="925"/>
    <x v="77"/>
    <n v="51"/>
    <x v="980"/>
    <n v="971"/>
    <n v="157"/>
    <x v="0"/>
    <x v="3"/>
    <n v="30"/>
    <x v="0"/>
    <x v="0"/>
    <x v="10"/>
    <x v="127"/>
    <x v="185"/>
    <x v="3"/>
    <n v="80"/>
    <n v="130"/>
    <n v="120"/>
    <n v="210"/>
    <n v="42"/>
    <x v="0"/>
    <n v="0.6063829787234043"/>
    <n v="0.61702127659574468"/>
    <n v="12"/>
  </r>
  <r>
    <n v="951"/>
    <x v="55"/>
    <n v="106"/>
    <x v="981"/>
    <n v="1246"/>
    <n v="281"/>
    <x v="0"/>
    <x v="3"/>
    <n v="74"/>
    <x v="0"/>
    <x v="0"/>
    <x v="0"/>
    <x v="224"/>
    <x v="140"/>
    <x v="3"/>
    <n v="190"/>
    <n v="220"/>
    <n v="170"/>
    <n v="410"/>
    <n v="95"/>
    <x v="0"/>
    <n v="0.49819494584837543"/>
    <n v="0.56859205776173283"/>
    <n v="21"/>
  </r>
  <r>
    <n v="831"/>
    <x v="56"/>
    <n v="119"/>
    <x v="982"/>
    <n v="915"/>
    <n v="179"/>
    <x v="0"/>
    <x v="3"/>
    <n v="34"/>
    <x v="0"/>
    <x v="1"/>
    <x v="2"/>
    <x v="158"/>
    <x v="141"/>
    <x v="3"/>
    <n v="50"/>
    <n v="90"/>
    <n v="80"/>
    <n v="140"/>
    <n v="45"/>
    <x v="1"/>
    <n v="0.61801242236024845"/>
    <n v="0.61801242236024845"/>
    <n v="11"/>
  </r>
  <r>
    <n v="971"/>
    <x v="2"/>
    <n v="-37"/>
    <x v="983"/>
    <n v="419"/>
    <n v="64"/>
    <x v="1"/>
    <x v="3"/>
    <n v="13"/>
    <x v="1"/>
    <x v="3"/>
    <x v="5"/>
    <x v="58"/>
    <x v="11"/>
    <x v="11"/>
    <n v="50"/>
    <n v="100"/>
    <n v="80"/>
    <n v="150"/>
    <n v="35"/>
    <x v="0"/>
    <n v="0.37719298245614036"/>
    <n v="0.6228070175438597"/>
    <n v="22"/>
  </r>
  <r>
    <n v="435"/>
    <x v="38"/>
    <n v="-70"/>
    <x v="984"/>
    <n v="593"/>
    <n v="98"/>
    <x v="1"/>
    <x v="3"/>
    <n v="30"/>
    <x v="1"/>
    <x v="3"/>
    <x v="5"/>
    <x v="35"/>
    <x v="90"/>
    <x v="8"/>
    <n v="100"/>
    <n v="160"/>
    <n v="120"/>
    <n v="260"/>
    <n v="64"/>
    <x v="0"/>
    <n v="0.26455026455026454"/>
    <n v="0.58201058201058198"/>
    <n v="34"/>
  </r>
  <r>
    <n v="206"/>
    <x v="59"/>
    <n v="-75"/>
    <x v="985"/>
    <n v="683"/>
    <n v="134"/>
    <x v="1"/>
    <x v="3"/>
    <n v="87"/>
    <x v="1"/>
    <x v="3"/>
    <x v="5"/>
    <x v="65"/>
    <x v="132"/>
    <x v="14"/>
    <n v="140"/>
    <n v="190"/>
    <n v="100"/>
    <n v="330"/>
    <n v="117"/>
    <x v="0"/>
    <n v="0.10204081632653061"/>
    <n v="0.60816326530612241"/>
    <n v="30"/>
  </r>
  <r>
    <n v="503"/>
    <x v="75"/>
    <n v="25"/>
    <x v="986"/>
    <n v="1267"/>
    <n v="161"/>
    <x v="1"/>
    <x v="3"/>
    <n v="45"/>
    <x v="1"/>
    <x v="2"/>
    <x v="4"/>
    <x v="225"/>
    <x v="182"/>
    <x v="11"/>
    <n v="140"/>
    <n v="150"/>
    <n v="110"/>
    <n v="290"/>
    <n v="70"/>
    <x v="0"/>
    <n v="0.39358600583090381"/>
    <n v="0.53061224489795922"/>
    <n v="25"/>
  </r>
  <r>
    <n v="360"/>
    <x v="29"/>
    <n v="-9"/>
    <x v="987"/>
    <n v="1055"/>
    <n v="94"/>
    <x v="1"/>
    <x v="3"/>
    <n v="24"/>
    <x v="1"/>
    <x v="2"/>
    <x v="4"/>
    <x v="53"/>
    <x v="86"/>
    <x v="14"/>
    <n v="60"/>
    <n v="90"/>
    <n v="80"/>
    <n v="150"/>
    <n v="46"/>
    <x v="0"/>
    <n v="0.38378378378378381"/>
    <n v="0.56756756756756754"/>
    <n v="22"/>
  </r>
  <r>
    <n v="503"/>
    <x v="0"/>
    <n v="-57"/>
    <x v="988"/>
    <n v="503"/>
    <n v="71"/>
    <x v="1"/>
    <x v="3"/>
    <n v="46"/>
    <x v="1"/>
    <x v="3"/>
    <x v="6"/>
    <x v="11"/>
    <x v="45"/>
    <x v="11"/>
    <n v="70"/>
    <n v="100"/>
    <n v="50"/>
    <n v="170"/>
    <n v="76"/>
    <x v="1"/>
    <n v="-5.3846153846153849E-2"/>
    <n v="0.60769230769230764"/>
    <n v="30"/>
  </r>
  <r>
    <n v="435"/>
    <x v="28"/>
    <n v="-37"/>
    <x v="989"/>
    <n v="1053"/>
    <n v="77"/>
    <x v="1"/>
    <x v="3"/>
    <n v="20"/>
    <x v="1"/>
    <x v="3"/>
    <x v="6"/>
    <x v="36"/>
    <x v="91"/>
    <x v="8"/>
    <n v="90"/>
    <n v="110"/>
    <n v="90"/>
    <n v="200"/>
    <n v="41"/>
    <x v="1"/>
    <n v="0.35099337748344372"/>
    <n v="0.56953642384105962"/>
    <n v="21"/>
  </r>
  <r>
    <n v="503"/>
    <x v="12"/>
    <n v="-59"/>
    <x v="990"/>
    <n v="463"/>
    <n v="84"/>
    <x v="1"/>
    <x v="3"/>
    <n v="19"/>
    <x v="1"/>
    <x v="3"/>
    <x v="7"/>
    <x v="5"/>
    <x v="43"/>
    <x v="11"/>
    <n v="80"/>
    <n v="130"/>
    <n v="90"/>
    <n v="210"/>
    <n v="63"/>
    <x v="1"/>
    <n v="0.20261437908496732"/>
    <n v="0.60784313725490191"/>
    <n v="44"/>
  </r>
  <r>
    <n v="435"/>
    <x v="6"/>
    <n v="-47"/>
    <x v="991"/>
    <n v="375"/>
    <n v="64"/>
    <x v="1"/>
    <x v="3"/>
    <n v="15"/>
    <x v="1"/>
    <x v="3"/>
    <x v="7"/>
    <x v="9"/>
    <x v="15"/>
    <x v="8"/>
    <n v="50"/>
    <n v="100"/>
    <n v="80"/>
    <n v="150"/>
    <n v="42"/>
    <x v="1"/>
    <n v="0.27966101694915252"/>
    <n v="0.60169491525423724"/>
    <n v="27"/>
  </r>
  <r>
    <n v="360"/>
    <x v="33"/>
    <n v="-27"/>
    <x v="992"/>
    <n v="438"/>
    <n v="99"/>
    <x v="1"/>
    <x v="3"/>
    <n v="21"/>
    <x v="1"/>
    <x v="3"/>
    <x v="7"/>
    <x v="42"/>
    <x v="237"/>
    <x v="14"/>
    <n v="90"/>
    <n v="140"/>
    <n v="110"/>
    <n v="230"/>
    <n v="43"/>
    <x v="1"/>
    <n v="0.46629213483146065"/>
    <n v="0.6179775280898876"/>
    <n v="22"/>
  </r>
  <r>
    <n v="206"/>
    <x v="36"/>
    <n v="-5"/>
    <x v="993"/>
    <n v="573"/>
    <n v="29"/>
    <x v="1"/>
    <x v="3"/>
    <n v="7"/>
    <x v="1"/>
    <x v="2"/>
    <x v="9"/>
    <x v="25"/>
    <x v="88"/>
    <x v="14"/>
    <n v="10"/>
    <n v="20"/>
    <n v="20"/>
    <n v="30"/>
    <n v="19"/>
    <x v="1"/>
    <n v="0.27777777777777779"/>
    <n v="0.59259259259259256"/>
    <n v="12"/>
  </r>
  <r>
    <n v="775"/>
    <x v="50"/>
    <n v="1"/>
    <x v="994"/>
    <n v="846"/>
    <n v="31"/>
    <x v="1"/>
    <x v="3"/>
    <n v="5"/>
    <x v="1"/>
    <x v="2"/>
    <x v="8"/>
    <x v="6"/>
    <x v="103"/>
    <x v="7"/>
    <n v="10"/>
    <n v="20"/>
    <n v="20"/>
    <n v="30"/>
    <n v="17"/>
    <x v="1"/>
    <n v="0.38181818181818183"/>
    <n v="0.61818181818181817"/>
    <n v="12"/>
  </r>
  <r>
    <n v="435"/>
    <x v="58"/>
    <n v="19"/>
    <x v="995"/>
    <n v="564"/>
    <n v="133"/>
    <x v="1"/>
    <x v="3"/>
    <n v="33"/>
    <x v="1"/>
    <x v="2"/>
    <x v="8"/>
    <x v="113"/>
    <x v="142"/>
    <x v="8"/>
    <n v="80"/>
    <n v="130"/>
    <n v="110"/>
    <n v="210"/>
    <n v="46"/>
    <x v="1"/>
    <n v="0.51394422310756971"/>
    <n v="0.58964143426294824"/>
    <n v="13"/>
  </r>
  <r>
    <n v="702"/>
    <x v="71"/>
    <n v="-21"/>
    <x v="996"/>
    <n v="898"/>
    <n v="173"/>
    <x v="1"/>
    <x v="3"/>
    <n v="113"/>
    <x v="0"/>
    <x v="0"/>
    <x v="10"/>
    <x v="40"/>
    <x v="216"/>
    <x v="7"/>
    <n v="90"/>
    <n v="150"/>
    <n v="60"/>
    <n v="240"/>
    <n v="147"/>
    <x v="0"/>
    <n v="0.12264150943396226"/>
    <n v="0.60691823899371067"/>
    <n v="34"/>
  </r>
  <r>
    <n v="360"/>
    <x v="71"/>
    <n v="41"/>
    <x v="997"/>
    <n v="1119"/>
    <n v="188"/>
    <x v="1"/>
    <x v="3"/>
    <n v="41"/>
    <x v="0"/>
    <x v="0"/>
    <x v="10"/>
    <x v="127"/>
    <x v="157"/>
    <x v="14"/>
    <n v="90"/>
    <n v="160"/>
    <n v="130"/>
    <n v="250"/>
    <n v="73"/>
    <x v="0"/>
    <n v="0.5119760479041916"/>
    <n v="0.62574850299401197"/>
    <n v="32"/>
  </r>
  <r>
    <n v="775"/>
    <x v="91"/>
    <n v="58"/>
    <x v="998"/>
    <n v="1132"/>
    <n v="213"/>
    <x v="1"/>
    <x v="3"/>
    <n v="50"/>
    <x v="0"/>
    <x v="0"/>
    <x v="0"/>
    <x v="190"/>
    <x v="218"/>
    <x v="7"/>
    <n v="120"/>
    <n v="170"/>
    <n v="120"/>
    <n v="290"/>
    <n v="93"/>
    <x v="0"/>
    <n v="0.45524296675191817"/>
    <n v="0.60613810741687979"/>
    <n v="43"/>
  </r>
  <r>
    <n v="541"/>
    <x v="57"/>
    <n v="18"/>
    <x v="999"/>
    <n v="572"/>
    <n v="115"/>
    <x v="1"/>
    <x v="3"/>
    <n v="29"/>
    <x v="0"/>
    <x v="0"/>
    <x v="0"/>
    <x v="140"/>
    <x v="18"/>
    <x v="11"/>
    <n v="60"/>
    <n v="100"/>
    <n v="90"/>
    <n v="160"/>
    <n v="42"/>
    <x v="0"/>
    <n v="0.49541284403669728"/>
    <n v="0.58715596330275233"/>
    <n v="13"/>
  </r>
  <r>
    <n v="775"/>
    <x v="90"/>
    <n v="39"/>
    <x v="1000"/>
    <n v="789"/>
    <n v="176"/>
    <x v="1"/>
    <x v="3"/>
    <n v="39"/>
    <x v="0"/>
    <x v="0"/>
    <x v="1"/>
    <x v="193"/>
    <x v="216"/>
    <x v="7"/>
    <n v="90"/>
    <n v="150"/>
    <n v="130"/>
    <n v="240"/>
    <n v="62"/>
    <x v="0"/>
    <n v="0.53144654088050314"/>
    <n v="0.61635220125786161"/>
    <n v="23"/>
  </r>
  <r>
    <n v="435"/>
    <x v="42"/>
    <n v="-40"/>
    <x v="1001"/>
    <n v="1698"/>
    <n v="23"/>
    <x v="1"/>
    <x v="3"/>
    <n v="26"/>
    <x v="0"/>
    <x v="0"/>
    <x v="1"/>
    <x v="226"/>
    <x v="52"/>
    <x v="8"/>
    <n v="60"/>
    <n v="20"/>
    <n v="0"/>
    <n v="80"/>
    <n v="50"/>
    <x v="0"/>
    <n v="-0.34482758620689657"/>
    <n v="0.25862068965517243"/>
    <n v="24"/>
  </r>
  <r>
    <n v="775"/>
    <x v="92"/>
    <n v="202"/>
    <x v="1002"/>
    <n v="1662"/>
    <n v="341"/>
    <x v="1"/>
    <x v="3"/>
    <n v="84"/>
    <x v="0"/>
    <x v="1"/>
    <x v="2"/>
    <x v="191"/>
    <x v="219"/>
    <x v="7"/>
    <n v="110"/>
    <n v="180"/>
    <n v="130"/>
    <n v="290"/>
    <n v="117"/>
    <x v="1"/>
    <n v="0.52119309262166402"/>
    <n v="0.59654631083202514"/>
    <n v="33"/>
  </r>
  <r>
    <n v="971"/>
    <x v="50"/>
    <n v="4"/>
    <x v="1003"/>
    <n v="480"/>
    <n v="32"/>
    <x v="1"/>
    <x v="3"/>
    <n v="5"/>
    <x v="0"/>
    <x v="1"/>
    <x v="2"/>
    <x v="10"/>
    <x v="82"/>
    <x v="11"/>
    <n v="0"/>
    <n v="20"/>
    <n v="20"/>
    <n v="20"/>
    <n v="16"/>
    <x v="1"/>
    <n v="0.42857142857142855"/>
    <n v="0.625"/>
    <n v="11"/>
  </r>
  <r>
    <n v="775"/>
    <x v="55"/>
    <n v="141"/>
    <x v="1004"/>
    <n v="1755"/>
    <n v="239"/>
    <x v="1"/>
    <x v="3"/>
    <n v="66"/>
    <x v="0"/>
    <x v="1"/>
    <x v="11"/>
    <x v="189"/>
    <x v="217"/>
    <x v="7"/>
    <n v="110"/>
    <n v="120"/>
    <n v="80"/>
    <n v="230"/>
    <n v="90"/>
    <x v="1"/>
    <n v="0.43418467583497056"/>
    <n v="0.53045186640471509"/>
    <n v="24"/>
  </r>
  <r>
    <n v="702"/>
    <x v="76"/>
    <n v="-369"/>
    <x v="1005"/>
    <n v="7058"/>
    <n v="-255"/>
    <x v="1"/>
    <x v="3"/>
    <n v="96"/>
    <x v="0"/>
    <x v="1"/>
    <x v="3"/>
    <x v="227"/>
    <x v="238"/>
    <x v="7"/>
    <n v="110"/>
    <n v="-110"/>
    <n v="-170"/>
    <n v="0"/>
    <n v="129"/>
    <x v="1"/>
    <n v="-24.5"/>
    <n v="-10.590909090909092"/>
    <n v="33"/>
  </r>
  <r>
    <n v="435"/>
    <x v="51"/>
    <n v="-28"/>
    <x v="1006"/>
    <n v="209"/>
    <n v="31"/>
    <x v="1"/>
    <x v="3"/>
    <n v="9"/>
    <x v="0"/>
    <x v="1"/>
    <x v="3"/>
    <x v="90"/>
    <x v="94"/>
    <x v="8"/>
    <n v="0"/>
    <n v="20"/>
    <n v="10"/>
    <n v="20"/>
    <n v="43"/>
    <x v="1"/>
    <n v="-0.3"/>
    <n v="0.58333333333333337"/>
    <n v="34"/>
  </r>
  <r>
    <n v="626"/>
    <x v="95"/>
    <n v="-58"/>
    <x v="1007"/>
    <n v="3909"/>
    <n v="-27"/>
    <x v="0"/>
    <x v="3"/>
    <n v="57"/>
    <x v="1"/>
    <x v="3"/>
    <x v="5"/>
    <x v="228"/>
    <x v="233"/>
    <x v="3"/>
    <n v="200"/>
    <n v="-30"/>
    <n v="-130"/>
    <n v="170"/>
    <n v="100"/>
    <x v="0"/>
    <n v="-1.2051282051282051"/>
    <n v="-0.10897435897435898"/>
    <n v="43"/>
  </r>
  <r>
    <n v="213"/>
    <x v="96"/>
    <n v="102"/>
    <x v="1008"/>
    <n v="1691"/>
    <n v="304"/>
    <x v="0"/>
    <x v="3"/>
    <n v="75"/>
    <x v="1"/>
    <x v="2"/>
    <x v="4"/>
    <x v="229"/>
    <x v="205"/>
    <x v="3"/>
    <n v="220"/>
    <n v="290"/>
    <n v="190"/>
    <n v="510"/>
    <n v="107"/>
    <x v="0"/>
    <n v="0.5149911816578483"/>
    <n v="0.59788359788359791"/>
    <n v="32"/>
  </r>
  <r>
    <n v="916"/>
    <x v="94"/>
    <n v="-33"/>
    <x v="1009"/>
    <n v="2758"/>
    <n v="3"/>
    <x v="0"/>
    <x v="3"/>
    <n v="36"/>
    <x v="1"/>
    <x v="3"/>
    <x v="6"/>
    <x v="230"/>
    <x v="21"/>
    <x v="3"/>
    <n v="130"/>
    <n v="0"/>
    <n v="-50"/>
    <n v="130"/>
    <n v="59"/>
    <x v="1"/>
    <n v="-0.66935483870967738"/>
    <n v="8.8709677419354843E-2"/>
    <n v="23"/>
  </r>
  <r>
    <n v="213"/>
    <x v="79"/>
    <n v="39"/>
    <x v="1010"/>
    <n v="2580"/>
    <n v="374"/>
    <x v="0"/>
    <x v="3"/>
    <n v="87"/>
    <x v="1"/>
    <x v="3"/>
    <x v="7"/>
    <x v="231"/>
    <x v="188"/>
    <x v="3"/>
    <n v="290"/>
    <n v="450"/>
    <n v="310"/>
    <n v="740"/>
    <n v="139"/>
    <x v="1"/>
    <n v="0.5256024096385542"/>
    <n v="0.625"/>
    <n v="52"/>
  </r>
  <r>
    <n v="951"/>
    <x v="82"/>
    <n v="51"/>
    <x v="1011"/>
    <n v="1778"/>
    <n v="212"/>
    <x v="0"/>
    <x v="3"/>
    <n v="59"/>
    <x v="1"/>
    <x v="2"/>
    <x v="9"/>
    <x v="156"/>
    <x v="223"/>
    <x v="3"/>
    <n v="200"/>
    <n v="210"/>
    <n v="140"/>
    <n v="410"/>
    <n v="83"/>
    <x v="1"/>
    <n v="0.42350332594235035"/>
    <n v="0.53215077605321504"/>
    <n v="24"/>
  </r>
  <r>
    <n v="916"/>
    <x v="80"/>
    <n v="-1"/>
    <x v="1012"/>
    <n v="912"/>
    <n v="168"/>
    <x v="0"/>
    <x v="3"/>
    <n v="109"/>
    <x v="1"/>
    <x v="2"/>
    <x v="8"/>
    <x v="40"/>
    <x v="159"/>
    <x v="3"/>
    <n v="110"/>
    <n v="170"/>
    <n v="40"/>
    <n v="280"/>
    <n v="142"/>
    <x v="1"/>
    <n v="0.12662337662337661"/>
    <n v="0.6071428571428571"/>
    <n v="33"/>
  </r>
  <r>
    <n v="760"/>
    <x v="68"/>
    <n v="45"/>
    <x v="1013"/>
    <n v="984"/>
    <n v="117"/>
    <x v="0"/>
    <x v="3"/>
    <n v="22"/>
    <x v="0"/>
    <x v="0"/>
    <x v="10"/>
    <x v="166"/>
    <x v="192"/>
    <x v="3"/>
    <n v="70"/>
    <n v="110"/>
    <n v="80"/>
    <n v="180"/>
    <n v="33"/>
    <x v="0"/>
    <n v="0.59241706161137442"/>
    <n v="0.61611374407582942"/>
    <n v="11"/>
  </r>
  <r>
    <n v="510"/>
    <x v="60"/>
    <n v="98"/>
    <x v="1014"/>
    <n v="1272"/>
    <n v="265"/>
    <x v="0"/>
    <x v="3"/>
    <n v="69"/>
    <x v="0"/>
    <x v="0"/>
    <x v="0"/>
    <x v="114"/>
    <x v="143"/>
    <x v="3"/>
    <n v="210"/>
    <n v="240"/>
    <n v="160"/>
    <n v="450"/>
    <n v="91"/>
    <x v="0"/>
    <n v="0.4942528735632184"/>
    <n v="0.56896551724137934"/>
    <n v="22"/>
  </r>
  <r>
    <n v="805"/>
    <x v="61"/>
    <n v="80"/>
    <x v="1015"/>
    <n v="930"/>
    <n v="172"/>
    <x v="0"/>
    <x v="3"/>
    <n v="33"/>
    <x v="0"/>
    <x v="1"/>
    <x v="2"/>
    <x v="195"/>
    <x v="144"/>
    <x v="3"/>
    <n v="80"/>
    <n v="130"/>
    <n v="110"/>
    <n v="210"/>
    <n v="44"/>
    <x v="1"/>
    <n v="0.61488673139158578"/>
    <n v="0.6181229773462783"/>
    <n v="11"/>
  </r>
  <r>
    <n v="435"/>
    <x v="16"/>
    <n v="-4"/>
    <x v="1016"/>
    <n v="601"/>
    <n v="102"/>
    <x v="1"/>
    <x v="3"/>
    <n v="31"/>
    <x v="1"/>
    <x v="3"/>
    <x v="5"/>
    <x v="4"/>
    <x v="109"/>
    <x v="8"/>
    <n v="90"/>
    <n v="120"/>
    <n v="60"/>
    <n v="210"/>
    <n v="64"/>
    <x v="0"/>
    <n v="0.2857142857142857"/>
    <n v="0.58163265306122447"/>
    <n v="33"/>
  </r>
  <r>
    <n v="509"/>
    <x v="66"/>
    <n v="-16"/>
    <x v="1017"/>
    <n v="694"/>
    <n v="130"/>
    <x v="1"/>
    <x v="3"/>
    <n v="85"/>
    <x v="1"/>
    <x v="3"/>
    <x v="5"/>
    <x v="10"/>
    <x v="149"/>
    <x v="14"/>
    <n v="110"/>
    <n v="150"/>
    <n v="40"/>
    <n v="260"/>
    <n v="114"/>
    <x v="0"/>
    <n v="0.100418410041841"/>
    <n v="0.60669456066945604"/>
    <n v="29"/>
  </r>
  <r>
    <n v="971"/>
    <x v="81"/>
    <n v="40"/>
    <x v="1018"/>
    <n v="1283"/>
    <n v="182"/>
    <x v="1"/>
    <x v="3"/>
    <n v="50"/>
    <x v="1"/>
    <x v="2"/>
    <x v="4"/>
    <x v="162"/>
    <x v="189"/>
    <x v="11"/>
    <n v="170"/>
    <n v="180"/>
    <n v="120"/>
    <n v="350"/>
    <n v="74"/>
    <x v="0"/>
    <n v="0.41343669250645992"/>
    <n v="0.53229974160206717"/>
    <n v="24"/>
  </r>
  <r>
    <n v="435"/>
    <x v="41"/>
    <n v="8"/>
    <x v="1019"/>
    <n v="1060"/>
    <n v="81"/>
    <x v="1"/>
    <x v="3"/>
    <n v="21"/>
    <x v="1"/>
    <x v="3"/>
    <x v="6"/>
    <x v="85"/>
    <x v="42"/>
    <x v="8"/>
    <n v="80"/>
    <n v="90"/>
    <n v="50"/>
    <n v="170"/>
    <n v="42"/>
    <x v="1"/>
    <n v="0.36249999999999999"/>
    <n v="0.56874999999999998"/>
    <n v="21"/>
  </r>
  <r>
    <n v="541"/>
    <x v="26"/>
    <n v="-19"/>
    <x v="1020"/>
    <n v="470"/>
    <n v="75"/>
    <x v="1"/>
    <x v="3"/>
    <n v="17"/>
    <x v="1"/>
    <x v="3"/>
    <x v="7"/>
    <x v="6"/>
    <x v="239"/>
    <x v="11"/>
    <n v="60"/>
    <n v="90"/>
    <n v="40"/>
    <n v="150"/>
    <n v="61"/>
    <x v="1"/>
    <n v="0.15441176470588236"/>
    <n v="0.61029411764705888"/>
    <n v="44"/>
  </r>
  <r>
    <n v="253"/>
    <x v="34"/>
    <n v="4"/>
    <x v="1021"/>
    <n v="446"/>
    <n v="93"/>
    <x v="1"/>
    <x v="3"/>
    <n v="20"/>
    <x v="1"/>
    <x v="3"/>
    <x v="7"/>
    <x v="62"/>
    <x v="240"/>
    <x v="14"/>
    <n v="70"/>
    <n v="110"/>
    <n v="70"/>
    <n v="180"/>
    <n v="43"/>
    <x v="1"/>
    <n v="0.44578313253012047"/>
    <n v="0.62048192771084343"/>
    <n v="23"/>
  </r>
  <r>
    <n v="775"/>
    <x v="52"/>
    <n v="3"/>
    <x v="1022"/>
    <n v="848"/>
    <n v="24"/>
    <x v="1"/>
    <x v="3"/>
    <n v="4"/>
    <x v="1"/>
    <x v="2"/>
    <x v="8"/>
    <x v="32"/>
    <x v="120"/>
    <x v="7"/>
    <n v="10"/>
    <n v="20"/>
    <n v="10"/>
    <n v="30"/>
    <n v="15"/>
    <x v="1"/>
    <n v="0.30952380952380953"/>
    <n v="0.6428571428571429"/>
    <n v="11"/>
  </r>
  <r>
    <n v="801"/>
    <x v="65"/>
    <n v="36"/>
    <x v="1023"/>
    <n v="552"/>
    <n v="130"/>
    <x v="1"/>
    <x v="3"/>
    <n v="33"/>
    <x v="1"/>
    <x v="2"/>
    <x v="8"/>
    <x v="118"/>
    <x v="148"/>
    <x v="8"/>
    <n v="90"/>
    <n v="130"/>
    <n v="90"/>
    <n v="220"/>
    <n v="45"/>
    <x v="1"/>
    <n v="0.51219512195121952"/>
    <n v="0.58943089430894313"/>
    <n v="12"/>
  </r>
  <r>
    <n v="702"/>
    <x v="80"/>
    <n v="19"/>
    <x v="1024"/>
    <n v="912"/>
    <n v="168"/>
    <x v="1"/>
    <x v="3"/>
    <n v="109"/>
    <x v="0"/>
    <x v="0"/>
    <x v="10"/>
    <x v="40"/>
    <x v="159"/>
    <x v="7"/>
    <n v="110"/>
    <n v="150"/>
    <n v="20"/>
    <n v="260"/>
    <n v="142"/>
    <x v="0"/>
    <n v="0.12662337662337661"/>
    <n v="0.6071428571428571"/>
    <n v="33"/>
  </r>
  <r>
    <n v="206"/>
    <x v="72"/>
    <n v="61"/>
    <x v="1025"/>
    <n v="1134"/>
    <n v="195"/>
    <x v="1"/>
    <x v="3"/>
    <n v="42"/>
    <x v="0"/>
    <x v="0"/>
    <x v="10"/>
    <x v="128"/>
    <x v="158"/>
    <x v="14"/>
    <n v="120"/>
    <n v="180"/>
    <n v="120"/>
    <n v="300"/>
    <n v="73"/>
    <x v="0"/>
    <n v="0.52312138728323698"/>
    <n v="0.62427745664739887"/>
    <n v="31"/>
  </r>
  <r>
    <n v="702"/>
    <x v="95"/>
    <n v="75"/>
    <x v="1026"/>
    <n v="1150"/>
    <n v="239"/>
    <x v="1"/>
    <x v="3"/>
    <n v="57"/>
    <x v="0"/>
    <x v="0"/>
    <x v="0"/>
    <x v="232"/>
    <x v="224"/>
    <x v="7"/>
    <n v="160"/>
    <n v="220"/>
    <n v="130"/>
    <n v="380"/>
    <n v="101"/>
    <x v="0"/>
    <n v="0.46697038724373574"/>
    <n v="0.60592255125284733"/>
    <n v="44"/>
  </r>
  <r>
    <n v="541"/>
    <x v="63"/>
    <n v="34"/>
    <x v="1027"/>
    <n v="561"/>
    <n v="112"/>
    <x v="1"/>
    <x v="3"/>
    <n v="29"/>
    <x v="0"/>
    <x v="0"/>
    <x v="0"/>
    <x v="199"/>
    <x v="146"/>
    <x v="11"/>
    <n v="80"/>
    <n v="100"/>
    <n v="70"/>
    <n v="180"/>
    <n v="42"/>
    <x v="0"/>
    <n v="0.48826291079812206"/>
    <n v="0.58685446009389675"/>
    <n v="13"/>
  </r>
  <r>
    <n v="775"/>
    <x v="94"/>
    <n v="59"/>
    <x v="1028"/>
    <n v="803"/>
    <n v="165"/>
    <x v="1"/>
    <x v="3"/>
    <n v="36"/>
    <x v="0"/>
    <x v="0"/>
    <x v="1"/>
    <x v="198"/>
    <x v="222"/>
    <x v="7"/>
    <n v="100"/>
    <n v="150"/>
    <n v="100"/>
    <n v="250"/>
    <n v="58"/>
    <x v="0"/>
    <n v="0.53716216216216217"/>
    <n v="0.6182432432432432"/>
    <n v="22"/>
  </r>
  <r>
    <n v="775"/>
    <x v="96"/>
    <n v="151"/>
    <x v="1029"/>
    <n v="1691"/>
    <n v="304"/>
    <x v="1"/>
    <x v="3"/>
    <n v="75"/>
    <x v="0"/>
    <x v="1"/>
    <x v="2"/>
    <x v="197"/>
    <x v="205"/>
    <x v="7"/>
    <n v="160"/>
    <n v="220"/>
    <n v="140"/>
    <n v="380"/>
    <n v="108"/>
    <x v="1"/>
    <n v="0.51322751322751325"/>
    <n v="0.59788359788359791"/>
    <n v="33"/>
  </r>
  <r>
    <n v="702"/>
    <x v="82"/>
    <n v="110"/>
    <x v="1030"/>
    <n v="1778"/>
    <n v="212"/>
    <x v="1"/>
    <x v="3"/>
    <n v="59"/>
    <x v="0"/>
    <x v="1"/>
    <x v="11"/>
    <x v="195"/>
    <x v="223"/>
    <x v="7"/>
    <n v="150"/>
    <n v="150"/>
    <n v="80"/>
    <n v="300"/>
    <n v="84"/>
    <x v="1"/>
    <n v="0.42128603104212858"/>
    <n v="0.53215077605321504"/>
    <n v="25"/>
  </r>
  <r>
    <n v="503"/>
    <x v="62"/>
    <n v="42"/>
    <x v="1031"/>
    <n v="798"/>
    <n v="119"/>
    <x v="1"/>
    <x v="3"/>
    <n v="25"/>
    <x v="0"/>
    <x v="1"/>
    <x v="11"/>
    <x v="115"/>
    <x v="145"/>
    <x v="11"/>
    <n v="50"/>
    <n v="90"/>
    <n v="50"/>
    <n v="140"/>
    <n v="57"/>
    <x v="1"/>
    <n v="0.43809523809523809"/>
    <n v="0.62857142857142856"/>
    <n v="32"/>
  </r>
  <r>
    <n v="775"/>
    <x v="83"/>
    <n v="-225"/>
    <x v="1032"/>
    <n v="7653"/>
    <n v="-245"/>
    <x v="1"/>
    <x v="3"/>
    <n v="93"/>
    <x v="0"/>
    <x v="1"/>
    <x v="3"/>
    <x v="233"/>
    <x v="241"/>
    <x v="7"/>
    <n v="180"/>
    <n v="-180"/>
    <n v="-280"/>
    <n v="0"/>
    <n v="127"/>
    <x v="1"/>
    <n v="-14.852941176470589"/>
    <n v="-6.2058823529411766"/>
    <n v="34"/>
  </r>
  <r>
    <n v="971"/>
    <x v="64"/>
    <n v="62"/>
    <x v="1033"/>
    <n v="666"/>
    <n v="143"/>
    <x v="1"/>
    <x v="3"/>
    <n v="31"/>
    <x v="0"/>
    <x v="1"/>
    <x v="3"/>
    <x v="117"/>
    <x v="147"/>
    <x v="11"/>
    <n v="70"/>
    <n v="100"/>
    <n v="70"/>
    <n v="170"/>
    <n v="54"/>
    <x v="1"/>
    <n v="0.50574712643678166"/>
    <n v="0.60919540229885061"/>
    <n v="23"/>
  </r>
  <r>
    <n v="951"/>
    <x v="98"/>
    <n v="-71"/>
    <x v="1034"/>
    <n v="4216"/>
    <n v="-32"/>
    <x v="0"/>
    <x v="3"/>
    <n v="73"/>
    <x v="1"/>
    <x v="3"/>
    <x v="5"/>
    <x v="234"/>
    <x v="17"/>
    <x v="3"/>
    <n v="260"/>
    <n v="-40"/>
    <n v="-150"/>
    <n v="220"/>
    <n v="117"/>
    <x v="0"/>
    <n v="-1.0780487804878049"/>
    <n v="-9.2682926829268292E-2"/>
    <n v="44"/>
  </r>
  <r>
    <n v="209"/>
    <x v="99"/>
    <n v="111"/>
    <x v="1035"/>
    <n v="1744"/>
    <n v="329"/>
    <x v="0"/>
    <x v="3"/>
    <n v="81"/>
    <x v="1"/>
    <x v="2"/>
    <x v="4"/>
    <x v="204"/>
    <x v="191"/>
    <x v="3"/>
    <n v="240"/>
    <n v="310"/>
    <n v="210"/>
    <n v="550"/>
    <n v="113"/>
    <x v="0"/>
    <n v="0.5228013029315961"/>
    <n v="0.59771986970684043"/>
    <n v="32"/>
  </r>
  <r>
    <n v="209"/>
    <x v="97"/>
    <n v="-41"/>
    <x v="1036"/>
    <n v="2947"/>
    <n v="-25"/>
    <x v="0"/>
    <x v="3"/>
    <n v="40"/>
    <x v="1"/>
    <x v="3"/>
    <x v="6"/>
    <x v="235"/>
    <x v="12"/>
    <x v="3"/>
    <n v="150"/>
    <n v="-30"/>
    <n v="-90"/>
    <n v="120"/>
    <n v="63"/>
    <x v="1"/>
    <n v="-1.201834862385321"/>
    <n v="-0.16513761467889909"/>
    <n v="23"/>
  </r>
  <r>
    <n v="530"/>
    <x v="85"/>
    <n v="52"/>
    <x v="1037"/>
    <n v="2642"/>
    <n v="420"/>
    <x v="0"/>
    <x v="3"/>
    <n v="97"/>
    <x v="1"/>
    <x v="3"/>
    <x v="7"/>
    <x v="168"/>
    <x v="195"/>
    <x v="3"/>
    <n v="330"/>
    <n v="500"/>
    <n v="350"/>
    <n v="830"/>
    <n v="149"/>
    <x v="1"/>
    <n v="0.53959731543624156"/>
    <n v="0.62550335570469795"/>
    <n v="52"/>
  </r>
  <r>
    <n v="949"/>
    <x v="88"/>
    <n v="73"/>
    <x v="1038"/>
    <n v="1820"/>
    <n v="251"/>
    <x v="0"/>
    <x v="3"/>
    <n v="70"/>
    <x v="1"/>
    <x v="2"/>
    <x v="9"/>
    <x v="202"/>
    <x v="213"/>
    <x v="3"/>
    <n v="240"/>
    <n v="240"/>
    <n v="160"/>
    <n v="480"/>
    <n v="94"/>
    <x v="1"/>
    <n v="0.43632958801498128"/>
    <n v="0.53183520599250933"/>
    <n v="24"/>
  </r>
  <r>
    <n v="530"/>
    <x v="86"/>
    <n v="6"/>
    <x v="1039"/>
    <n v="940"/>
    <n v="187"/>
    <x v="0"/>
    <x v="3"/>
    <n v="122"/>
    <x v="1"/>
    <x v="2"/>
    <x v="8"/>
    <x v="43"/>
    <x v="182"/>
    <x v="3"/>
    <n v="130"/>
    <n v="180"/>
    <n v="40"/>
    <n v="310"/>
    <n v="156"/>
    <x v="1"/>
    <n v="0.13411078717201166"/>
    <n v="0.60641399416909625"/>
    <n v="34"/>
  </r>
  <r>
    <n v="916"/>
    <x v="42"/>
    <n v="52"/>
    <x v="1040"/>
    <n v="1003"/>
    <n v="124"/>
    <x v="0"/>
    <x v="3"/>
    <n v="24"/>
    <x v="0"/>
    <x v="0"/>
    <x v="10"/>
    <x v="117"/>
    <x v="134"/>
    <x v="3"/>
    <n v="80"/>
    <n v="110"/>
    <n v="80"/>
    <n v="190"/>
    <n v="35"/>
    <x v="0"/>
    <n v="0.5892857142857143"/>
    <n v="0.6160714285714286"/>
    <n v="11"/>
  </r>
  <r>
    <n v="661"/>
    <x v="67"/>
    <n v="109"/>
    <x v="1041"/>
    <n v="1321"/>
    <n v="284"/>
    <x v="0"/>
    <x v="3"/>
    <n v="74"/>
    <x v="0"/>
    <x v="0"/>
    <x v="0"/>
    <x v="119"/>
    <x v="150"/>
    <x v="3"/>
    <n v="220"/>
    <n v="260"/>
    <n v="170"/>
    <n v="480"/>
    <n v="96"/>
    <x v="0"/>
    <n v="0.49910554561717352"/>
    <n v="0.56887298747763859"/>
    <n v="22"/>
  </r>
  <r>
    <n v="323"/>
    <x v="56"/>
    <n v="89"/>
    <x v="1042"/>
    <n v="959"/>
    <n v="179"/>
    <x v="0"/>
    <x v="3"/>
    <n v="34"/>
    <x v="0"/>
    <x v="1"/>
    <x v="2"/>
    <x v="158"/>
    <x v="141"/>
    <x v="3"/>
    <n v="90"/>
    <n v="130"/>
    <n v="110"/>
    <n v="220"/>
    <n v="45"/>
    <x v="1"/>
    <n v="0.61801242236024845"/>
    <n v="0.61801242236024845"/>
    <n v="11"/>
  </r>
  <r>
    <n v="801"/>
    <x v="33"/>
    <n v="-11"/>
    <x v="1043"/>
    <n v="619"/>
    <n v="85"/>
    <x v="1"/>
    <x v="3"/>
    <n v="25"/>
    <x v="1"/>
    <x v="3"/>
    <x v="5"/>
    <x v="40"/>
    <x v="73"/>
    <x v="8"/>
    <n v="80"/>
    <n v="100"/>
    <n v="50"/>
    <n v="180"/>
    <n v="59"/>
    <x v="0"/>
    <n v="0.2392638036809816"/>
    <n v="0.58282208588957052"/>
    <n v="34"/>
  </r>
  <r>
    <n v="206"/>
    <x v="70"/>
    <n v="-20"/>
    <x v="1044"/>
    <n v="716"/>
    <n v="145"/>
    <x v="1"/>
    <x v="3"/>
    <n v="95"/>
    <x v="1"/>
    <x v="3"/>
    <x v="5"/>
    <x v="27"/>
    <x v="153"/>
    <x v="14"/>
    <n v="120"/>
    <n v="170"/>
    <n v="50"/>
    <n v="290"/>
    <n v="125"/>
    <x v="0"/>
    <n v="0.11278195488721804"/>
    <n v="0.60526315789473684"/>
    <n v="30"/>
  </r>
  <r>
    <n v="971"/>
    <x v="87"/>
    <n v="49"/>
    <x v="1045"/>
    <n v="1319"/>
    <n v="153"/>
    <x v="1"/>
    <x v="3"/>
    <n v="42"/>
    <x v="1"/>
    <x v="2"/>
    <x v="4"/>
    <x v="113"/>
    <x v="196"/>
    <x v="11"/>
    <n v="150"/>
    <n v="140"/>
    <n v="80"/>
    <n v="290"/>
    <n v="66"/>
    <x v="0"/>
    <n v="0.39570552147239263"/>
    <n v="0.53067484662576692"/>
    <n v="24"/>
  </r>
  <r>
    <n v="360"/>
    <x v="29"/>
    <n v="16"/>
    <x v="1046"/>
    <n v="1079"/>
    <n v="96"/>
    <x v="1"/>
    <x v="3"/>
    <n v="24"/>
    <x v="1"/>
    <x v="2"/>
    <x v="4"/>
    <x v="20"/>
    <x v="67"/>
    <x v="14"/>
    <n v="70"/>
    <n v="100"/>
    <n v="60"/>
    <n v="170"/>
    <n v="45"/>
    <x v="0"/>
    <n v="0.40425531914893614"/>
    <n v="0.57446808510638303"/>
    <n v="21"/>
  </r>
  <r>
    <n v="435"/>
    <x v="34"/>
    <n v="3"/>
    <x v="1047"/>
    <n v="1075"/>
    <n v="76"/>
    <x v="1"/>
    <x v="3"/>
    <n v="19"/>
    <x v="1"/>
    <x v="3"/>
    <x v="6"/>
    <x v="36"/>
    <x v="74"/>
    <x v="8"/>
    <n v="70"/>
    <n v="90"/>
    <n v="50"/>
    <n v="160"/>
    <n v="40"/>
    <x v="1"/>
    <n v="0.35810810810810811"/>
    <n v="0.57432432432432434"/>
    <n v="21"/>
  </r>
  <r>
    <n v="360"/>
    <x v="4"/>
    <n v="6"/>
    <x v="1048"/>
    <n v="461"/>
    <n v="104"/>
    <x v="1"/>
    <x v="3"/>
    <n v="23"/>
    <x v="1"/>
    <x v="3"/>
    <x v="7"/>
    <x v="89"/>
    <x v="67"/>
    <x v="14"/>
    <n v="80"/>
    <n v="120"/>
    <n v="80"/>
    <n v="200"/>
    <n v="46"/>
    <x v="1"/>
    <n v="0.45744680851063829"/>
    <n v="0.61702127659574468"/>
    <n v="23"/>
  </r>
  <r>
    <n v="775"/>
    <x v="53"/>
    <n v="5"/>
    <x v="1049"/>
    <n v="851"/>
    <n v="25"/>
    <x v="1"/>
    <x v="3"/>
    <n v="4"/>
    <x v="1"/>
    <x v="2"/>
    <x v="8"/>
    <x v="25"/>
    <x v="121"/>
    <x v="7"/>
    <n v="10"/>
    <n v="20"/>
    <n v="10"/>
    <n v="30"/>
    <n v="15"/>
    <x v="1"/>
    <n v="0.34090909090909088"/>
    <n v="0.63636363636363635"/>
    <n v="11"/>
  </r>
  <r>
    <n v="435"/>
    <x v="66"/>
    <n v="44"/>
    <x v="1050"/>
    <n v="540"/>
    <n v="120"/>
    <x v="1"/>
    <x v="3"/>
    <n v="31"/>
    <x v="1"/>
    <x v="2"/>
    <x v="8"/>
    <x v="124"/>
    <x v="152"/>
    <x v="8"/>
    <n v="90"/>
    <n v="110"/>
    <n v="70"/>
    <n v="200"/>
    <n v="43"/>
    <x v="1"/>
    <n v="0.5"/>
    <n v="0.58771929824561409"/>
    <n v="12"/>
  </r>
  <r>
    <n v="702"/>
    <x v="86"/>
    <n v="17"/>
    <x v="1051"/>
    <n v="940"/>
    <n v="187"/>
    <x v="1"/>
    <x v="3"/>
    <n v="122"/>
    <x v="0"/>
    <x v="0"/>
    <x v="10"/>
    <x v="17"/>
    <x v="182"/>
    <x v="7"/>
    <n v="120"/>
    <n v="170"/>
    <n v="30"/>
    <n v="290"/>
    <n v="155"/>
    <x v="0"/>
    <n v="0.13702623906705538"/>
    <n v="0.60641399416909625"/>
    <n v="33"/>
  </r>
  <r>
    <n v="253"/>
    <x v="73"/>
    <n v="46"/>
    <x v="1052"/>
    <n v="1166"/>
    <n v="174"/>
    <x v="1"/>
    <x v="3"/>
    <n v="37"/>
    <x v="0"/>
    <x v="0"/>
    <x v="10"/>
    <x v="129"/>
    <x v="159"/>
    <x v="14"/>
    <n v="100"/>
    <n v="160"/>
    <n v="110"/>
    <n v="260"/>
    <n v="69"/>
    <x v="0"/>
    <n v="0.50649350649350644"/>
    <n v="0.62662337662337664"/>
    <n v="32"/>
  </r>
  <r>
    <n v="702"/>
    <x v="98"/>
    <n v="118"/>
    <x v="1053"/>
    <n v="1191"/>
    <n v="310"/>
    <x v="1"/>
    <x v="3"/>
    <n v="73"/>
    <x v="0"/>
    <x v="0"/>
    <x v="0"/>
    <x v="203"/>
    <x v="227"/>
    <x v="7"/>
    <n v="210"/>
    <n v="280"/>
    <n v="170"/>
    <n v="490"/>
    <n v="116"/>
    <x v="0"/>
    <n v="0.5061511423550088"/>
    <n v="0.60632688927943756"/>
    <n v="43"/>
  </r>
  <r>
    <n v="503"/>
    <x v="68"/>
    <n v="28"/>
    <x v="1054"/>
    <n v="551"/>
    <n v="104"/>
    <x v="1"/>
    <x v="3"/>
    <n v="26"/>
    <x v="0"/>
    <x v="0"/>
    <x v="0"/>
    <x v="121"/>
    <x v="130"/>
    <x v="11"/>
    <n v="70"/>
    <n v="100"/>
    <n v="70"/>
    <n v="170"/>
    <n v="38"/>
    <x v="0"/>
    <n v="0.49746192893401014"/>
    <n v="0.58883248730964466"/>
    <n v="12"/>
  </r>
  <r>
    <n v="775"/>
    <x v="97"/>
    <n v="61"/>
    <x v="1055"/>
    <n v="830"/>
    <n v="185"/>
    <x v="1"/>
    <x v="3"/>
    <n v="40"/>
    <x v="0"/>
    <x v="0"/>
    <x v="1"/>
    <x v="128"/>
    <x v="226"/>
    <x v="7"/>
    <n v="120"/>
    <n v="170"/>
    <n v="120"/>
    <n v="290"/>
    <n v="63"/>
    <x v="0"/>
    <n v="0.54518072289156627"/>
    <n v="0.61746987951807231"/>
    <n v="23"/>
  </r>
  <r>
    <n v="775"/>
    <x v="99"/>
    <n v="169"/>
    <x v="1056"/>
    <n v="1744"/>
    <n v="329"/>
    <x v="1"/>
    <x v="3"/>
    <n v="81"/>
    <x v="0"/>
    <x v="1"/>
    <x v="2"/>
    <x v="236"/>
    <x v="191"/>
    <x v="7"/>
    <n v="180"/>
    <n v="240"/>
    <n v="150"/>
    <n v="420"/>
    <n v="114"/>
    <x v="1"/>
    <n v="0.51954397394136809"/>
    <n v="0.59771986970684043"/>
    <n v="33"/>
  </r>
  <r>
    <n v="775"/>
    <x v="88"/>
    <n v="133"/>
    <x v="1057"/>
    <n v="1820"/>
    <n v="251"/>
    <x v="1"/>
    <x v="3"/>
    <n v="70"/>
    <x v="0"/>
    <x v="1"/>
    <x v="11"/>
    <x v="202"/>
    <x v="213"/>
    <x v="7"/>
    <n v="180"/>
    <n v="180"/>
    <n v="100"/>
    <n v="360"/>
    <n v="94"/>
    <x v="1"/>
    <n v="0.43632958801498128"/>
    <n v="0.53183520599250933"/>
    <n v="24"/>
  </r>
  <r>
    <n v="971"/>
    <x v="63"/>
    <n v="48"/>
    <x v="1058"/>
    <n v="817"/>
    <n v="133"/>
    <x v="1"/>
    <x v="3"/>
    <n v="29"/>
    <x v="0"/>
    <x v="1"/>
    <x v="11"/>
    <x v="140"/>
    <x v="126"/>
    <x v="11"/>
    <n v="60"/>
    <n v="100"/>
    <n v="60"/>
    <n v="160"/>
    <n v="60"/>
    <x v="1"/>
    <n v="0.4576271186440678"/>
    <n v="0.6271186440677966"/>
    <n v="31"/>
  </r>
  <r>
    <n v="775"/>
    <x v="89"/>
    <n v="-285"/>
    <x v="1059"/>
    <n v="8252"/>
    <n v="-294"/>
    <x v="1"/>
    <x v="3"/>
    <n v="111"/>
    <x v="0"/>
    <x v="1"/>
    <x v="3"/>
    <x v="237"/>
    <x v="242"/>
    <x v="7"/>
    <n v="210"/>
    <n v="-210"/>
    <n v="-320"/>
    <n v="0"/>
    <n v="145"/>
    <x v="1"/>
    <n v="-18.333333333333332"/>
    <n v="-7.9090909090909092"/>
    <n v="34"/>
  </r>
  <r>
    <n v="503"/>
    <x v="69"/>
    <n v="80"/>
    <x v="1060"/>
    <n v="690"/>
    <n v="186"/>
    <x v="1"/>
    <x v="3"/>
    <n v="41"/>
    <x v="0"/>
    <x v="1"/>
    <x v="3"/>
    <x v="123"/>
    <x v="151"/>
    <x v="11"/>
    <n v="90"/>
    <n v="140"/>
    <n v="100"/>
    <n v="230"/>
    <n v="65"/>
    <x v="1"/>
    <n v="0.52785923753665687"/>
    <n v="0.60703812316715544"/>
    <n v="24"/>
  </r>
  <r>
    <n v="435"/>
    <x v="54"/>
    <n v="-22"/>
    <x v="1061"/>
    <n v="218"/>
    <n v="25"/>
    <x v="1"/>
    <x v="3"/>
    <n v="7"/>
    <x v="0"/>
    <x v="1"/>
    <x v="3"/>
    <x v="122"/>
    <x v="122"/>
    <x v="8"/>
    <n v="10"/>
    <n v="20"/>
    <n v="0"/>
    <n v="30"/>
    <n v="40"/>
    <x v="1"/>
    <n v="-0.45833333333333331"/>
    <n v="0.58333333333333337"/>
    <n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AD5E948-7E00-4AC5-80E0-B6515D579CB5}"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9:B10" firstHeaderRow="0" firstDataRow="1" firstDataCol="0"/>
  <pivotFields count="29">
    <pivotField showAll="0"/>
    <pivotField showAll="0"/>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showAll="0"/>
    <pivotField showAll="0">
      <items count="5">
        <item x="0"/>
        <item x="2"/>
        <item x="1"/>
        <item x="3"/>
        <item t="default"/>
      </items>
    </pivotField>
    <pivotField showAll="0"/>
    <pivotField showAll="0">
      <items count="3">
        <item x="1"/>
        <item x="0"/>
        <item t="default"/>
      </items>
    </pivotField>
    <pivotField showAll="0">
      <items count="5">
        <item x="3"/>
        <item x="2"/>
        <item x="0"/>
        <item x="1"/>
        <item t="default"/>
      </items>
    </pivotField>
    <pivotField showAll="0"/>
    <pivotField showAll="0"/>
    <pivotField showAll="0"/>
    <pivotField showAll="0"/>
    <pivotField showAll="0"/>
    <pivotField showAll="0"/>
    <pivotField showAll="0"/>
    <pivotField showAll="0"/>
    <pivotField showAll="0"/>
    <pivotField showAll="0">
      <items count="3">
        <item x="0"/>
        <item x="1"/>
        <item t="default"/>
      </items>
    </pivotField>
    <pivotField dataField="1" numFmtId="9" showAll="0"/>
    <pivotField numFmtId="9"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ataField="1" dragToRow="0" dragToCol="0" dragToPage="0" showAll="0" defaultSubtotal="0"/>
  </pivotFields>
  <rowItems count="1">
    <i/>
  </rowItems>
  <colFields count="1">
    <field x="-2"/>
  </colFields>
  <colItems count="2">
    <i>
      <x/>
    </i>
    <i i="1">
      <x v="1"/>
    </i>
  </colItems>
  <dataFields count="2">
    <dataField name="Average of Net Margin%" fld="21" subtotal="average" baseField="0" baseItem="0" numFmtId="9"/>
    <dataField name="Overallnetmargin" fld="28" baseField="0"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A9D4EC6-9097-450A-9D55-CFDE7B656DD8}" name="PivotTable10"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E3:F10" firstHeaderRow="1" firstDataRow="1" firstDataCol="1"/>
  <pivotFields count="29">
    <pivotField showAll="0"/>
    <pivotField showAll="0"/>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showAll="0"/>
    <pivotField showAll="0">
      <items count="5">
        <item x="0"/>
        <item x="2"/>
        <item x="1"/>
        <item x="3"/>
        <item t="default"/>
      </items>
    </pivotField>
    <pivotField showAll="0"/>
    <pivotField showAll="0">
      <items count="3">
        <item x="1"/>
        <item x="0"/>
        <item t="default"/>
      </items>
    </pivotField>
    <pivotField showAll="0">
      <items count="5">
        <item x="3"/>
        <item x="2"/>
        <item x="0"/>
        <item x="1"/>
        <item t="default"/>
      </items>
    </pivotField>
    <pivotField axis="axisRow" showAll="0" measureFilter="1" sortType="descending">
      <items count="14">
        <item x="6"/>
        <item x="9"/>
        <item x="8"/>
        <item x="10"/>
        <item x="7"/>
        <item x="2"/>
        <item x="4"/>
        <item x="5"/>
        <item x="11"/>
        <item x="3"/>
        <item x="0"/>
        <item x="1"/>
        <item x="12"/>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pivotField showAll="0"/>
    <pivotField showAll="0"/>
    <pivotField showAll="0">
      <items count="3">
        <item x="0"/>
        <item x="1"/>
        <item t="default"/>
      </items>
    </pivotField>
    <pivotField numFmtId="9" showAll="0"/>
    <pivotField numFmtId="9"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Fields count="1">
    <field x="11"/>
  </rowFields>
  <rowItems count="7">
    <i>
      <x v="4"/>
    </i>
    <i>
      <x v="10"/>
    </i>
    <i>
      <x v="2"/>
    </i>
    <i>
      <x v="3"/>
    </i>
    <i>
      <x v="6"/>
    </i>
    <i>
      <x v="5"/>
    </i>
    <i t="grand">
      <x/>
    </i>
  </rowItems>
  <colItems count="1">
    <i/>
  </colItems>
  <dataFields count="1">
    <dataField name="Sum of Sales" fld="13" baseField="0" baseItem="0" numFmtId="164"/>
  </dataFields>
  <chartFormats count="9">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1" count="1" selected="0">
            <x v="10"/>
          </reference>
        </references>
      </pivotArea>
    </chartFormat>
    <chartFormat chart="4" format="4">
      <pivotArea type="data" outline="0" fieldPosition="0">
        <references count="2">
          <reference field="4294967294" count="1" selected="0">
            <x v="0"/>
          </reference>
          <reference field="11" count="1" selected="0">
            <x v="6"/>
          </reference>
        </references>
      </pivotArea>
    </chartFormat>
    <chartFormat chart="4" format="5">
      <pivotArea type="data" outline="0" fieldPosition="0">
        <references count="2">
          <reference field="4294967294" count="1" selected="0">
            <x v="0"/>
          </reference>
          <reference field="11" count="1" selected="0">
            <x v="5"/>
          </reference>
        </references>
      </pivotArea>
    </chartFormat>
    <chartFormat chart="4" format="6">
      <pivotArea type="data" outline="0" fieldPosition="0">
        <references count="2">
          <reference field="4294967294" count="1" selected="0">
            <x v="0"/>
          </reference>
          <reference field="11" count="1" selected="0">
            <x v="4"/>
          </reference>
        </references>
      </pivotArea>
    </chartFormat>
    <chartFormat chart="4" format="7">
      <pivotArea type="data" outline="0" fieldPosition="0">
        <references count="2">
          <reference field="4294967294" count="1" selected="0">
            <x v="0"/>
          </reference>
          <reference field="11" count="1" selected="0">
            <x v="3"/>
          </reference>
        </references>
      </pivotArea>
    </chartFormat>
    <chartFormat chart="4" format="8">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filters count="1">
    <filter fld="11" type="count" evalOrder="-1" id="1"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75FDEF-B38F-4B8D-8A71-F40184D749EA}" name="PivotTable4"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12:A13" firstHeaderRow="1" firstDataRow="1" firstDataCol="0"/>
  <pivotFields count="29">
    <pivotField showAll="0"/>
    <pivotField dataField="1" showAll="0"/>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showAll="0"/>
    <pivotField showAll="0">
      <items count="5">
        <item x="0"/>
        <item x="2"/>
        <item x="1"/>
        <item x="3"/>
        <item t="default"/>
      </items>
    </pivotField>
    <pivotField showAll="0"/>
    <pivotField showAll="0">
      <items count="3">
        <item x="1"/>
        <item x="0"/>
        <item t="default"/>
      </items>
    </pivotField>
    <pivotField showAll="0">
      <items count="5">
        <item x="3"/>
        <item x="2"/>
        <item x="0"/>
        <item x="1"/>
        <item t="default"/>
      </items>
    </pivotField>
    <pivotField showAll="0"/>
    <pivotField showAll="0"/>
    <pivotField showAll="0"/>
    <pivotField showAll="0"/>
    <pivotField showAll="0"/>
    <pivotField showAll="0"/>
    <pivotField showAll="0"/>
    <pivotField showAll="0"/>
    <pivotField showAll="0"/>
    <pivotField showAll="0">
      <items count="3">
        <item x="0"/>
        <item x="1"/>
        <item t="default"/>
      </items>
    </pivotField>
    <pivotField numFmtId="9" showAll="0"/>
    <pivotField numFmtId="9"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Items count="1">
    <i/>
  </rowItems>
  <colItems count="1">
    <i/>
  </colItems>
  <dataFields count="1">
    <dataField name="Sum of Cogs" fld="1"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CA5EF9-2C75-473F-9874-EB20483046CC}"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7">
  <location ref="A15:C20" firstHeaderRow="0" firstDataRow="1" firstDataCol="1"/>
  <pivotFields count="29">
    <pivotField showAll="0"/>
    <pivotField showAll="0"/>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showAll="0"/>
    <pivotField showAll="0">
      <items count="5">
        <item x="0"/>
        <item x="2"/>
        <item x="1"/>
        <item x="3"/>
        <item t="default"/>
      </items>
    </pivotField>
    <pivotField showAll="0"/>
    <pivotField showAll="0">
      <items count="3">
        <item x="1"/>
        <item x="0"/>
        <item t="default"/>
      </items>
    </pivotField>
    <pivotField axis="axisRow" showAll="0" sortType="descending">
      <items count="5">
        <item x="3"/>
        <item x="2"/>
        <item x="0"/>
        <item x="1"/>
        <item t="default"/>
      </items>
      <autoSortScope>
        <pivotArea dataOnly="0" outline="0" fieldPosition="0">
          <references count="1">
            <reference field="4294967294" count="1" selected="0">
              <x v="0"/>
            </reference>
          </references>
        </pivotArea>
      </autoSortScope>
    </pivotField>
    <pivotField showAll="0" sortType="ascending"/>
    <pivotField dataField="1" showAll="0"/>
    <pivotField dataField="1" showAll="0"/>
    <pivotField showAll="0"/>
    <pivotField showAll="0"/>
    <pivotField showAll="0"/>
    <pivotField showAll="0"/>
    <pivotField showAll="0"/>
    <pivotField showAll="0"/>
    <pivotField showAll="0">
      <items count="3">
        <item x="0"/>
        <item x="1"/>
        <item t="default"/>
      </items>
    </pivotField>
    <pivotField numFmtId="9" showAll="0"/>
    <pivotField numFmtId="9"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Fields count="1">
    <field x="10"/>
  </rowFields>
  <rowItems count="5">
    <i>
      <x v="1"/>
    </i>
    <i>
      <x/>
    </i>
    <i>
      <x v="2"/>
    </i>
    <i>
      <x v="3"/>
    </i>
    <i t="grand">
      <x/>
    </i>
  </rowItems>
  <colFields count="1">
    <field x="-2"/>
  </colFields>
  <colItems count="2">
    <i>
      <x/>
    </i>
    <i i="1">
      <x v="1"/>
    </i>
  </colItems>
  <dataFields count="2">
    <dataField name="Sum of Sales" fld="13" baseField="0" baseItem="0" numFmtId="164"/>
    <dataField name="Sum of Profit" fld="12" baseField="0" baseItem="0" numFmtId="164"/>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36C3B5-9807-47F6-8574-DA93571872E2}" name="PivotTable1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E20:F27" firstHeaderRow="1" firstDataRow="1" firstDataCol="1"/>
  <pivotFields count="29">
    <pivotField showAll="0"/>
    <pivotField showAll="0"/>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showAll="0"/>
    <pivotField showAll="0">
      <items count="5">
        <item x="0"/>
        <item x="2"/>
        <item x="1"/>
        <item x="3"/>
        <item t="default"/>
      </items>
    </pivotField>
    <pivotField showAll="0"/>
    <pivotField showAll="0">
      <items count="3">
        <item x="1"/>
        <item x="0"/>
        <item t="default"/>
      </items>
    </pivotField>
    <pivotField showAll="0">
      <items count="5">
        <item x="3"/>
        <item x="2"/>
        <item x="0"/>
        <item x="1"/>
        <item t="default"/>
      </items>
    </pivotField>
    <pivotField axis="axisRow" showAll="0" measureFilter="1" sortType="ascending">
      <items count="14">
        <item x="12"/>
        <item x="1"/>
        <item x="0"/>
        <item x="3"/>
        <item x="11"/>
        <item x="5"/>
        <item x="4"/>
        <item x="2"/>
        <item x="7"/>
        <item x="10"/>
        <item x="8"/>
        <item x="9"/>
        <item x="6"/>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pivotField showAll="0"/>
    <pivotField showAll="0"/>
    <pivotField showAll="0"/>
    <pivotField showAll="0"/>
    <pivotField showAll="0">
      <items count="3">
        <item x="0"/>
        <item x="1"/>
        <item t="default"/>
      </items>
    </pivotField>
    <pivotField numFmtId="9" showAll="0"/>
    <pivotField numFmtId="9"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Fields count="1">
    <field x="11"/>
  </rowFields>
  <rowItems count="7">
    <i>
      <x v="4"/>
    </i>
    <i>
      <x v="7"/>
    </i>
    <i>
      <x v="9"/>
    </i>
    <i>
      <x v="6"/>
    </i>
    <i>
      <x v="2"/>
    </i>
    <i>
      <x v="8"/>
    </i>
    <i t="grand">
      <x/>
    </i>
  </rowItems>
  <colItems count="1">
    <i/>
  </colItems>
  <dataFields count="1">
    <dataField name="Sum of Profit" fld="12" baseField="0" baseItem="0" numFmtId="164"/>
  </dataFields>
  <chartFormats count="6">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1" count="1" selected="0">
            <x v="9"/>
          </reference>
        </references>
      </pivotArea>
    </chartFormat>
    <chartFormat chart="3" format="4">
      <pivotArea type="data" outline="0" fieldPosition="0">
        <references count="2">
          <reference field="4294967294" count="1" selected="0">
            <x v="0"/>
          </reference>
          <reference field="11" count="1" selected="0">
            <x v="8"/>
          </reference>
        </references>
      </pivotArea>
    </chartFormat>
    <chartFormat chart="3" format="5">
      <pivotArea type="data" outline="0" fieldPosition="0">
        <references count="2">
          <reference field="4294967294" count="1" selected="0">
            <x v="0"/>
          </reference>
          <reference field="11" count="1" selected="0">
            <x v="7"/>
          </reference>
        </references>
      </pivotArea>
    </chartFormat>
    <chartFormat chart="3" format="6">
      <pivotArea type="data" outline="0" fieldPosition="0">
        <references count="2">
          <reference field="4294967294" count="1" selected="0">
            <x v="0"/>
          </reference>
          <reference field="11" count="1" selected="0">
            <x v="4"/>
          </reference>
        </references>
      </pivotArea>
    </chartFormat>
    <chartFormat chart="3" format="7">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filters count="1">
    <filter fld="11" type="count" evalOrder="-1" id="1"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F0657B9-CE82-4F28-8B6B-8681CBA072BB}"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6:A7" firstHeaderRow="1" firstDataRow="1" firstDataCol="0"/>
  <pivotFields count="29">
    <pivotField showAll="0"/>
    <pivotField showAll="0"/>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showAll="0"/>
    <pivotField showAll="0">
      <items count="5">
        <item x="0"/>
        <item x="2"/>
        <item x="1"/>
        <item x="3"/>
        <item t="default"/>
      </items>
    </pivotField>
    <pivotField showAll="0"/>
    <pivotField showAll="0">
      <items count="3">
        <item x="1"/>
        <item x="0"/>
        <item t="default"/>
      </items>
    </pivotField>
    <pivotField showAll="0">
      <items count="5">
        <item x="3"/>
        <item x="2"/>
        <item x="0"/>
        <item x="1"/>
        <item t="default"/>
      </items>
    </pivotField>
    <pivotField showAll="0"/>
    <pivotField dataField="1" showAll="0"/>
    <pivotField showAll="0"/>
    <pivotField showAll="0"/>
    <pivotField showAll="0"/>
    <pivotField showAll="0"/>
    <pivotField showAll="0"/>
    <pivotField showAll="0"/>
    <pivotField showAll="0"/>
    <pivotField showAll="0">
      <items count="3">
        <item x="0"/>
        <item x="1"/>
        <item t="default"/>
      </items>
    </pivotField>
    <pivotField numFmtId="9" showAll="0"/>
    <pivotField numFmtId="9"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Items count="1">
    <i/>
  </rowItems>
  <colItems count="1">
    <i/>
  </colItems>
  <dataFields count="1">
    <dataField name="Sum of Profit" fld="12"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AF25AF3-A431-46C4-833F-23D5E8807962}" name="PivotTable7"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compact="0" compactData="0" multipleFieldFilters="0">
  <location ref="A31:E34" firstHeaderRow="0" firstDataRow="1" firstDataCol="1"/>
  <pivotFields count="29">
    <pivotField compact="0" outline="0" showAll="0"/>
    <pivotField compact="0" outline="0" showAll="0"/>
    <pivotField compact="0" outline="0" showAll="0"/>
    <pivotField compact="0" numFmtId="14" outline="0"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compact="0" outline="0" showAll="0"/>
    <pivotField compact="0" outline="0" showAll="0"/>
    <pivotField compact="0" outline="0" showAll="0"/>
    <pivotField compact="0" outline="0" showAll="0">
      <items count="5">
        <item x="0"/>
        <item x="2"/>
        <item x="1"/>
        <item x="3"/>
        <item t="default"/>
      </items>
    </pivotField>
    <pivotField compact="0" outline="0" showAll="0"/>
    <pivotField compact="0" outline="0" showAll="0">
      <items count="3">
        <item x="1"/>
        <item x="0"/>
        <item t="default"/>
      </items>
    </pivotField>
    <pivotField compact="0" outline="0" showAll="0">
      <items count="5">
        <item x="3"/>
        <item x="2"/>
        <item x="0"/>
        <item x="1"/>
        <item t="default"/>
      </items>
    </pivotField>
    <pivotField compact="0" outline="0" showAll="0" sortType="ascending"/>
    <pivotField dataField="1" compact="0" outline="0" showAll="0"/>
    <pivotField dataField="1" compact="0" outline="0" showAll="0"/>
    <pivotField compact="0" outline="0" showAll="0"/>
    <pivotField compact="0" outline="0" showAll="0"/>
    <pivotField compact="0" outline="0" showAll="0"/>
    <pivotField dataField="1" compact="0" outline="0" showAll="0"/>
    <pivotField dataField="1" compact="0" outline="0" showAll="0"/>
    <pivotField compact="0" outline="0" showAll="0"/>
    <pivotField compact="0" outline="0" showAll="0">
      <items count="3">
        <item x="0"/>
        <item x="1"/>
        <item t="default"/>
      </items>
    </pivotField>
    <pivotField compact="0" numFmtId="9" outline="0" showAll="0"/>
    <pivotField compact="0" numFmtId="9"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items count="7">
        <item x="0"/>
        <item x="1"/>
        <item x="2"/>
        <item x="3"/>
        <item x="4"/>
        <item x="5"/>
        <item t="default"/>
      </items>
    </pivotField>
    <pivotField axis="axisRow" compact="0" outline="0" showAll="0">
      <items count="6">
        <item x="0"/>
        <item x="1"/>
        <item x="2"/>
        <item x="3"/>
        <item x="4"/>
        <item t="default"/>
      </items>
    </pivotField>
    <pivotField compact="0" outline="0" dragToRow="0" dragToCol="0" dragToPage="0" showAll="0" defaultSubtotal="0"/>
    <pivotField compact="0" outline="0" dragToRow="0" dragToCol="0" dragToPage="0" showAll="0" defaultSubtotal="0"/>
  </pivotFields>
  <rowFields count="1">
    <field x="26"/>
  </rowFields>
  <rowItems count="3">
    <i>
      <x v="1"/>
    </i>
    <i>
      <x v="2"/>
    </i>
    <i>
      <x v="3"/>
    </i>
  </rowItems>
  <colFields count="1">
    <field x="-2"/>
  </colFields>
  <colItems count="4">
    <i>
      <x/>
    </i>
    <i i="1">
      <x v="1"/>
    </i>
    <i i="2">
      <x v="2"/>
    </i>
    <i i="3">
      <x v="3"/>
    </i>
  </colItems>
  <dataFields count="4">
    <dataField name=" Sales" fld="13" baseField="26" baseItem="1" numFmtId="164"/>
    <dataField name=" Profit" fld="12" baseField="26" baseItem="1" numFmtId="164"/>
    <dataField name="Target sales" fld="18" baseField="26" baseItem="1" numFmtId="165"/>
    <dataField name="Target Profit" fld="17" baseField="26"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6501E3C-EF47-4ED1-8E80-FF650FAAD15E}"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0">
  <location ref="M3:O16" firstHeaderRow="0" firstDataRow="1" firstDataCol="1"/>
  <pivotFields count="29">
    <pivotField showAll="0"/>
    <pivotField showAll="0"/>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showAll="0"/>
    <pivotField showAll="0">
      <items count="5">
        <item x="0"/>
        <item x="2"/>
        <item x="1"/>
        <item x="3"/>
        <item t="default"/>
      </items>
    </pivotField>
    <pivotField showAll="0"/>
    <pivotField showAll="0">
      <items count="3">
        <item x="1"/>
        <item x="0"/>
        <item t="default"/>
      </items>
    </pivotField>
    <pivotField showAll="0">
      <items count="5">
        <item x="3"/>
        <item x="2"/>
        <item x="0"/>
        <item x="1"/>
        <item t="default"/>
      </items>
    </pivotField>
    <pivotField showAll="0"/>
    <pivotField dataField="1" showAll="0"/>
    <pivotField dataField="1" showAll="0"/>
    <pivotField showAll="0"/>
    <pivotField showAll="0"/>
    <pivotField showAll="0"/>
    <pivotField showAll="0"/>
    <pivotField showAll="0"/>
    <pivotField showAll="0"/>
    <pivotField showAll="0">
      <items count="3">
        <item x="0"/>
        <item x="1"/>
        <item t="default"/>
      </items>
    </pivotField>
    <pivotField numFmtId="9" showAll="0"/>
    <pivotField numFmtId="9"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x="1"/>
        <item x="2"/>
        <item x="3"/>
        <item sd="0" x="4"/>
        <item t="default"/>
      </items>
    </pivotField>
    <pivotField dragToRow="0" dragToCol="0" dragToPage="0" showAll="0" defaultSubtotal="0"/>
    <pivotField dragToRow="0" dragToCol="0" dragToPage="0" showAll="0" defaultSubtotal="0"/>
  </pivotFields>
  <rowFields count="1">
    <field x="24"/>
  </rowFields>
  <rowItems count="13">
    <i>
      <x v="1"/>
    </i>
    <i>
      <x v="2"/>
    </i>
    <i>
      <x v="3"/>
    </i>
    <i>
      <x v="4"/>
    </i>
    <i>
      <x v="5"/>
    </i>
    <i>
      <x v="6"/>
    </i>
    <i>
      <x v="7"/>
    </i>
    <i>
      <x v="8"/>
    </i>
    <i>
      <x v="9"/>
    </i>
    <i>
      <x v="10"/>
    </i>
    <i>
      <x v="11"/>
    </i>
    <i>
      <x v="12"/>
    </i>
    <i t="grand">
      <x/>
    </i>
  </rowItems>
  <colFields count="1">
    <field x="-2"/>
  </colFields>
  <colItems count="2">
    <i>
      <x/>
    </i>
    <i i="1">
      <x v="1"/>
    </i>
  </colItems>
  <dataFields count="2">
    <dataField name="Sum of Sales" fld="13" baseField="0" baseItem="0" numFmtId="164"/>
    <dataField name="Sum of Profit" fld="12" baseField="0" baseItem="0" numFmtId="164"/>
  </dataFields>
  <chartFormats count="4">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7" format="6">
      <pivotArea type="data" outline="0" fieldPosition="0">
        <references count="2">
          <reference field="4294967294" count="1" selected="0">
            <x v="1"/>
          </reference>
          <reference field="24" count="1" selected="0">
            <x v="4"/>
          </reference>
        </references>
      </pivotArea>
    </chartFormat>
    <chartFormat chart="7" format="7">
      <pivotArea type="data" outline="0" fieldPosition="0">
        <references count="2">
          <reference field="4294967294" count="1" selected="0">
            <x v="1"/>
          </reference>
          <reference field="24"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061998B-EDDB-4E76-A8C5-4D1F106A86ED}"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I3:K24" firstHeaderRow="0" firstDataRow="1" firstDataCol="1"/>
  <pivotFields count="29">
    <pivotField showAll="0"/>
    <pivotField showAll="0"/>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showAll="0"/>
    <pivotField showAll="0">
      <items count="5">
        <item x="0"/>
        <item x="2"/>
        <item x="1"/>
        <item x="3"/>
        <item t="default"/>
      </items>
    </pivotField>
    <pivotField showAll="0"/>
    <pivotField showAll="0">
      <items count="3">
        <item x="1"/>
        <item x="0"/>
        <item t="default"/>
      </items>
    </pivotField>
    <pivotField showAll="0">
      <items count="5">
        <item x="3"/>
        <item x="2"/>
        <item x="0"/>
        <item x="1"/>
        <item t="default"/>
      </items>
    </pivotField>
    <pivotField showAll="0"/>
    <pivotField dataField="1" showAll="0"/>
    <pivotField dataField="1" showAll="0"/>
    <pivotField axis="axisRow" showAll="0">
      <items count="21">
        <item x="3"/>
        <item x="0"/>
        <item x="5"/>
        <item x="2"/>
        <item x="16"/>
        <item x="4"/>
        <item x="10"/>
        <item x="15"/>
        <item x="12"/>
        <item x="7"/>
        <item x="9"/>
        <item x="17"/>
        <item x="19"/>
        <item x="18"/>
        <item x="6"/>
        <item x="11"/>
        <item x="1"/>
        <item x="8"/>
        <item x="14"/>
        <item x="13"/>
        <item t="default"/>
      </items>
    </pivotField>
    <pivotField showAll="0"/>
    <pivotField showAll="0"/>
    <pivotField showAll="0"/>
    <pivotField showAll="0"/>
    <pivotField showAll="0"/>
    <pivotField showAll="0">
      <items count="3">
        <item x="0"/>
        <item x="1"/>
        <item t="default"/>
      </items>
    </pivotField>
    <pivotField numFmtId="9" showAll="0"/>
    <pivotField numFmtId="9"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Fields count="1">
    <field x="14"/>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2">
    <i>
      <x/>
    </i>
    <i i="1">
      <x v="1"/>
    </i>
  </colItems>
  <dataFields count="2">
    <dataField name="Sum of Sales" fld="13" baseField="0" baseItem="0" numFmtId="164"/>
    <dataField name="Sum of Profit" fld="12"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1DC7AD8-EC98-42C4-B51B-69CD9342D6AB}"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A4" firstHeaderRow="1" firstDataRow="1" firstDataCol="0"/>
  <pivotFields count="29">
    <pivotField showAll="0"/>
    <pivotField showAll="0"/>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showAll="0"/>
    <pivotField showAll="0">
      <items count="5">
        <item x="0"/>
        <item x="2"/>
        <item x="1"/>
        <item x="3"/>
        <item t="default"/>
      </items>
    </pivotField>
    <pivotField showAll="0"/>
    <pivotField showAll="0">
      <items count="3">
        <item x="1"/>
        <item x="0"/>
        <item t="default"/>
      </items>
    </pivotField>
    <pivotField showAll="0">
      <items count="5">
        <item x="3"/>
        <item x="2"/>
        <item x="0"/>
        <item x="1"/>
        <item t="default"/>
      </items>
    </pivotField>
    <pivotField showAll="0"/>
    <pivotField showAll="0"/>
    <pivotField dataField="1" showAll="0"/>
    <pivotField showAll="0"/>
    <pivotField showAll="0"/>
    <pivotField showAll="0"/>
    <pivotField showAll="0"/>
    <pivotField showAll="0"/>
    <pivotField showAll="0"/>
    <pivotField showAll="0">
      <items count="3">
        <item x="0"/>
        <item x="1"/>
        <item t="default"/>
      </items>
    </pivotField>
    <pivotField numFmtId="9" showAll="0"/>
    <pivotField numFmtId="9"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 dragToRow="0" dragToCol="0" dragToPage="0" showAll="0" defaultSubtotal="0"/>
    <pivotField dragToRow="0" dragToCol="0" dragToPage="0" showAll="0" defaultSubtotal="0"/>
  </pivotFields>
  <rowItems count="1">
    <i/>
  </rowItems>
  <colItems count="1">
    <i/>
  </colItems>
  <dataFields count="1">
    <dataField name="Sum of Sales" fld="13"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DF29A4A-0DFE-4E81-8FAF-6EF26CE76118}" name="PivotTable2"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16:E19" firstHeaderRow="0" firstDataRow="1" firstDataCol="1"/>
  <pivotFields count="29">
    <pivotField showAll="0"/>
    <pivotField showAll="0"/>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axis="axisRow" showAll="0">
      <items count="3">
        <item sd="0" x="0"/>
        <item sd="0" x="1"/>
        <item t="default"/>
      </items>
    </pivotField>
    <pivotField axis="axisRow" showAll="0">
      <items count="5">
        <item x="0"/>
        <item x="2"/>
        <item x="1"/>
        <item x="3"/>
        <item t="default"/>
      </items>
    </pivotField>
    <pivotField showAll="0"/>
    <pivotField showAll="0">
      <items count="3">
        <item x="1"/>
        <item x="0"/>
        <item t="default"/>
      </items>
    </pivotField>
    <pivotField showAll="0">
      <items count="5">
        <item x="3"/>
        <item x="2"/>
        <item x="0"/>
        <item x="1"/>
        <item t="default"/>
      </items>
    </pivotField>
    <pivotField showAll="0"/>
    <pivotField dataField="1" showAll="0"/>
    <pivotField dataField="1" showAll="0"/>
    <pivotField showAll="0">
      <items count="21">
        <item x="3"/>
        <item x="0"/>
        <item x="5"/>
        <item x="2"/>
        <item x="16"/>
        <item x="4"/>
        <item x="10"/>
        <item x="15"/>
        <item x="12"/>
        <item x="7"/>
        <item x="9"/>
        <item x="17"/>
        <item x="19"/>
        <item x="18"/>
        <item x="6"/>
        <item x="11"/>
        <item x="1"/>
        <item x="8"/>
        <item x="14"/>
        <item x="13"/>
        <item t="default"/>
      </items>
    </pivotField>
    <pivotField showAll="0"/>
    <pivotField showAll="0"/>
    <pivotField dataField="1" showAll="0"/>
    <pivotField dataField="1" showAll="0"/>
    <pivotField showAll="0"/>
    <pivotField showAll="0">
      <items count="3">
        <item x="0"/>
        <item x="1"/>
        <item t="default"/>
      </items>
    </pivotField>
    <pivotField numFmtId="9" showAll="0"/>
    <pivotField numFmtId="9" showAll="0"/>
    <pivotField showAll="0"/>
    <pivotField showAll="0" defaultSubtotal="0"/>
    <pivotField showAll="0" defaultSubtotal="0"/>
    <pivotField showAll="0" defaultSubtotal="0">
      <items count="5">
        <item x="0"/>
        <item x="1"/>
        <item x="2"/>
        <item x="3"/>
        <item x="4"/>
      </items>
    </pivotField>
    <pivotField dragToRow="0" dragToCol="0" dragToPage="0" showAll="0" defaultSubtotal="0"/>
    <pivotField dragToRow="0" dragToCol="0" dragToPage="0" showAll="0" defaultSubtotal="0"/>
  </pivotFields>
  <rowFields count="2">
    <field x="6"/>
    <field x="7"/>
  </rowFields>
  <rowItems count="3">
    <i>
      <x/>
    </i>
    <i>
      <x v="1"/>
    </i>
    <i t="grand">
      <x/>
    </i>
  </rowItems>
  <colFields count="1">
    <field x="-2"/>
  </colFields>
  <colItems count="4">
    <i>
      <x/>
    </i>
    <i i="1">
      <x v="1"/>
    </i>
    <i i="2">
      <x v="2"/>
    </i>
    <i i="3">
      <x v="3"/>
    </i>
  </colItems>
  <dataFields count="4">
    <dataField name="Sum of Profit" fld="12" baseField="0" baseItem="0"/>
    <dataField name="Sum of Sales" fld="13" baseField="0" baseItem="0"/>
    <dataField name="Sum of Target_profit" fld="17" baseField="0" baseItem="0"/>
    <dataField name="Sum of Target_sales " fld="1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50988E8-0815-4C9E-995B-B4BC2E1E3E05}"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11:B14" firstHeaderRow="1" firstDataRow="1" firstDataCol="1"/>
  <pivotFields count="29">
    <pivotField showAll="0"/>
    <pivotField showAll="0"/>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showAll="0"/>
    <pivotField showAll="0">
      <items count="5">
        <item x="0"/>
        <item x="2"/>
        <item x="1"/>
        <item x="3"/>
        <item t="default"/>
      </items>
    </pivotField>
    <pivotField showAll="0"/>
    <pivotField showAll="0">
      <items count="3">
        <item x="1"/>
        <item x="0"/>
        <item t="default"/>
      </items>
    </pivotField>
    <pivotField showAll="0">
      <items count="5">
        <item x="3"/>
        <item x="2"/>
        <item x="0"/>
        <item x="1"/>
        <item t="default"/>
      </items>
    </pivotField>
    <pivotField showAll="0"/>
    <pivotField dataField="1" showAll="0"/>
    <pivotField showAll="0"/>
    <pivotField showAll="0">
      <items count="21">
        <item x="3"/>
        <item x="0"/>
        <item x="5"/>
        <item x="2"/>
        <item x="16"/>
        <item x="4"/>
        <item x="10"/>
        <item x="15"/>
        <item x="12"/>
        <item x="7"/>
        <item x="9"/>
        <item x="17"/>
        <item x="19"/>
        <item x="18"/>
        <item x="6"/>
        <item x="11"/>
        <item x="1"/>
        <item x="8"/>
        <item x="14"/>
        <item x="13"/>
        <item t="default"/>
      </items>
    </pivotField>
    <pivotField showAll="0"/>
    <pivotField showAll="0"/>
    <pivotField showAll="0"/>
    <pivotField showAll="0"/>
    <pivotField showAll="0"/>
    <pivotField axis="axisRow" showAll="0">
      <items count="3">
        <item x="0"/>
        <item x="1"/>
        <item t="default"/>
      </items>
    </pivotField>
    <pivotField numFmtId="9" showAll="0"/>
    <pivotField numFmtId="9" showAll="0"/>
    <pivotField showAll="0"/>
    <pivotField showAll="0" defaultSubtotal="0"/>
    <pivotField showAll="0" defaultSubtotal="0"/>
    <pivotField showAll="0" defaultSubtotal="0">
      <items count="5">
        <item x="0"/>
        <item x="1"/>
        <item x="2"/>
        <item x="3"/>
        <item x="4"/>
      </items>
    </pivotField>
    <pivotField dragToRow="0" dragToCol="0" dragToPage="0" showAll="0" defaultSubtotal="0"/>
    <pivotField dragToRow="0" dragToCol="0" dragToPage="0" showAll="0" defaultSubtotal="0"/>
  </pivotFields>
  <rowFields count="1">
    <field x="20"/>
  </rowFields>
  <rowItems count="3">
    <i>
      <x/>
    </i>
    <i>
      <x v="1"/>
    </i>
    <i t="grand">
      <x/>
    </i>
  </rowItems>
  <colItems count="1">
    <i/>
  </colItems>
  <dataFields count="1">
    <dataField name="Sum of Profit" fld="1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793D533B-65EC-4EA8-AE69-17ECF82CB45D}" name="PivotTable16"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5">
  <location ref="A6:B9" firstHeaderRow="1" firstDataRow="1" firstDataCol="1"/>
  <pivotFields count="29">
    <pivotField showAll="0"/>
    <pivotField showAll="0"/>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showAll="0"/>
    <pivotField showAll="0">
      <items count="5">
        <item x="0"/>
        <item x="2"/>
        <item x="1"/>
        <item x="3"/>
        <item t="default"/>
      </items>
    </pivotField>
    <pivotField showAll="0"/>
    <pivotField showAll="0">
      <items count="3">
        <item x="1"/>
        <item x="0"/>
        <item t="default"/>
      </items>
    </pivotField>
    <pivotField showAll="0">
      <items count="5">
        <item x="3"/>
        <item x="2"/>
        <item x="0"/>
        <item x="1"/>
        <item t="default"/>
      </items>
    </pivotField>
    <pivotField showAll="0"/>
    <pivotField showAll="0"/>
    <pivotField dataField="1" showAll="0"/>
    <pivotField showAll="0">
      <items count="21">
        <item x="3"/>
        <item x="0"/>
        <item x="5"/>
        <item x="2"/>
        <item x="16"/>
        <item x="4"/>
        <item x="10"/>
        <item x="15"/>
        <item x="12"/>
        <item x="7"/>
        <item x="9"/>
        <item x="17"/>
        <item x="19"/>
        <item x="18"/>
        <item x="6"/>
        <item x="11"/>
        <item x="1"/>
        <item x="8"/>
        <item x="14"/>
        <item x="13"/>
        <item t="default"/>
      </items>
    </pivotField>
    <pivotField showAll="0"/>
    <pivotField showAll="0"/>
    <pivotField showAll="0"/>
    <pivotField showAll="0"/>
    <pivotField showAll="0"/>
    <pivotField axis="axisRow" showAll="0">
      <items count="3">
        <item x="0"/>
        <item x="1"/>
        <item t="default"/>
      </items>
    </pivotField>
    <pivotField numFmtId="9" showAll="0"/>
    <pivotField numFmtId="9" showAll="0"/>
    <pivotField showAll="0"/>
    <pivotField showAll="0" defaultSubtotal="0"/>
    <pivotField showAll="0" defaultSubtotal="0"/>
    <pivotField showAll="0" defaultSubtotal="0">
      <items count="5">
        <item x="0"/>
        <item x="1"/>
        <item x="2"/>
        <item x="3"/>
        <item x="4"/>
      </items>
    </pivotField>
    <pivotField dragToRow="0" dragToCol="0" dragToPage="0" showAll="0" defaultSubtotal="0"/>
    <pivotField dragToRow="0" dragToCol="0" dragToPage="0" showAll="0" defaultSubtotal="0"/>
  </pivotFields>
  <rowFields count="1">
    <field x="20"/>
  </rowFields>
  <rowItems count="3">
    <i>
      <x/>
    </i>
    <i>
      <x v="1"/>
    </i>
    <i t="grand">
      <x/>
    </i>
  </rowItems>
  <colItems count="1">
    <i/>
  </colItems>
  <dataFields count="1">
    <dataField name="Sum of Sales" fld="13" baseField="0" baseItem="0"/>
  </dataField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20" count="1" selected="0">
            <x v="0"/>
          </reference>
        </references>
      </pivotArea>
    </chartFormat>
    <chartFormat chart="3" format="6">
      <pivotArea type="data" outline="0" fieldPosition="0">
        <references count="2">
          <reference field="4294967294" count="1" selected="0">
            <x v="0"/>
          </reference>
          <reference field="2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A82F934B-05BE-450E-8C41-B82905F06C17}" name="PivotTable1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H3:J4" firstHeaderRow="0" firstDataRow="1" firstDataCol="0"/>
  <pivotFields count="29">
    <pivotField showAll="0"/>
    <pivotField dataField="1" showAll="0">
      <items count="101">
        <item x="5"/>
        <item x="93"/>
        <item x="52"/>
        <item x="53"/>
        <item x="54"/>
        <item x="50"/>
        <item x="36"/>
        <item x="37"/>
        <item x="43"/>
        <item x="51"/>
        <item x="7"/>
        <item x="39"/>
        <item x="45"/>
        <item x="46"/>
        <item x="8"/>
        <item x="40"/>
        <item x="24"/>
        <item x="13"/>
        <item x="44"/>
        <item x="23"/>
        <item x="3"/>
        <item x="31"/>
        <item x="9"/>
        <item x="30"/>
        <item x="2"/>
        <item x="25"/>
        <item x="11"/>
        <item x="20"/>
        <item x="6"/>
        <item x="15"/>
        <item x="10"/>
        <item x="18"/>
        <item x="0"/>
        <item x="1"/>
        <item x="26"/>
        <item x="14"/>
        <item x="21"/>
        <item x="47"/>
        <item x="22"/>
        <item x="48"/>
        <item x="12"/>
        <item x="27"/>
        <item x="34"/>
        <item x="28"/>
        <item x="49"/>
        <item x="33"/>
        <item x="41"/>
        <item x="4"/>
        <item x="19"/>
        <item x="35"/>
        <item x="78"/>
        <item x="62"/>
        <item x="38"/>
        <item x="29"/>
        <item x="68"/>
        <item x="16"/>
        <item x="84"/>
        <item x="42"/>
        <item x="63"/>
        <item x="57"/>
        <item x="17"/>
        <item x="32"/>
        <item x="66"/>
        <item x="59"/>
        <item x="65"/>
        <item x="64"/>
        <item x="58"/>
        <item x="70"/>
        <item x="77"/>
        <item x="94"/>
        <item x="73"/>
        <item x="61"/>
        <item x="80"/>
        <item x="90"/>
        <item x="56"/>
        <item x="71"/>
        <item x="97"/>
        <item x="72"/>
        <item x="69"/>
        <item x="86"/>
        <item x="87"/>
        <item x="91"/>
        <item x="75"/>
        <item x="95"/>
        <item x="81"/>
        <item x="82"/>
        <item x="98"/>
        <item x="60"/>
        <item x="96"/>
        <item x="55"/>
        <item x="67"/>
        <item x="83"/>
        <item x="99"/>
        <item x="79"/>
        <item x="88"/>
        <item x="76"/>
        <item x="92"/>
        <item x="74"/>
        <item x="85"/>
        <item x="89"/>
        <item t="default"/>
      </items>
    </pivotField>
    <pivotField showAll="0"/>
    <pivotField numFmtId="14" showAll="0">
      <items count="10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t="default"/>
      </items>
    </pivotField>
    <pivotField showAll="0"/>
    <pivotField showAll="0"/>
    <pivotField showAll="0"/>
    <pivotField showAll="0">
      <items count="5">
        <item x="0"/>
        <item x="2"/>
        <item x="1"/>
        <item x="3"/>
        <item t="default"/>
      </items>
    </pivotField>
    <pivotField dataField="1" showAll="0"/>
    <pivotField showAll="0">
      <items count="3">
        <item x="1"/>
        <item x="0"/>
        <item t="default"/>
      </items>
    </pivotField>
    <pivotField showAll="0">
      <items count="5">
        <item x="3"/>
        <item x="2"/>
        <item x="0"/>
        <item x="1"/>
        <item t="default"/>
      </items>
    </pivotField>
    <pivotField showAll="0"/>
    <pivotField showAll="0"/>
    <pivotField showAll="0"/>
    <pivotField showAll="0"/>
    <pivotField showAll="0"/>
    <pivotField showAll="0"/>
    <pivotField showAll="0"/>
    <pivotField showAll="0"/>
    <pivotField showAll="0"/>
    <pivotField showAll="0">
      <items count="3">
        <item x="0"/>
        <item x="1"/>
        <item t="default"/>
      </items>
    </pivotField>
    <pivotField numFmtId="9" showAll="0"/>
    <pivotField numFmtId="9" showAll="0"/>
    <pivotField dataField="1" showAll="0"/>
    <pivotField showAll="0" defaultSubtotal="0"/>
    <pivotField showAll="0" defaultSubtotal="0"/>
    <pivotField showAll="0" defaultSubtotal="0">
      <items count="5">
        <item x="0"/>
        <item x="1"/>
        <item x="2"/>
        <item x="3"/>
        <item x="4"/>
      </items>
    </pivotField>
    <pivotField dragToRow="0" dragToCol="0" dragToPage="0" showAll="0" defaultSubtotal="0"/>
    <pivotField dragToRow="0" dragToCol="0" dragToPage="0" showAll="0" defaultSubtotal="0"/>
  </pivotFields>
  <rowItems count="1">
    <i/>
  </rowItems>
  <colFields count="1">
    <field x="-2"/>
  </colFields>
  <colItems count="3">
    <i>
      <x/>
    </i>
    <i i="1">
      <x v="1"/>
    </i>
    <i i="2">
      <x v="2"/>
    </i>
  </colItems>
  <dataFields count="3">
    <dataField name="Sum of Cogs" fld="1" baseField="0" baseItem="0"/>
    <dataField name="Sum of Marketing" fld="8" baseField="0" baseItem="0"/>
    <dataField name="Sum of Other_expenses"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DBB4C1E-E608-405A-9C03-EDD41FFB87E4}" autoFormatId="16" applyNumberFormats="0" applyBorderFormats="0" applyFontFormats="0" applyPatternFormats="0" applyAlignmentFormats="0" applyWidthHeightFormats="0">
  <queryTableRefresh nextId="25">
    <queryTableFields count="24">
      <queryTableField id="1" name="Area Code" tableColumnId="1"/>
      <queryTableField id="2" name="Cogs" tableColumnId="2"/>
      <queryTableField id="3" name="DifferenceBetweenActualandTargetProfit" tableColumnId="3"/>
      <queryTableField id="4" name="Date" tableColumnId="4"/>
      <queryTableField id="5" name="Inventory Margin" tableColumnId="5"/>
      <queryTableField id="6" name="Gross Margin" tableColumnId="6"/>
      <queryTableField id="7" name="Market_size" tableColumnId="7"/>
      <queryTableField id="8" name="Market" tableColumnId="8"/>
      <queryTableField id="9" name="Marketing" tableColumnId="9"/>
      <queryTableField id="10" name="Product_line" tableColumnId="10"/>
      <queryTableField id="11" name="Product_type" tableColumnId="11"/>
      <queryTableField id="12" name="Product" tableColumnId="12"/>
      <queryTableField id="13" name="Profit" tableColumnId="13"/>
      <queryTableField id="14" name="Sales" tableColumnId="14"/>
      <queryTableField id="15" name="State" tableColumnId="15"/>
      <queryTableField id="16" name="Target_cogs" tableColumnId="16"/>
      <queryTableField id="17" name="Target_margin" tableColumnId="17"/>
      <queryTableField id="18" name="Target_profit" tableColumnId="18"/>
      <queryTableField id="19" name="Target_sales " tableColumnId="19"/>
      <queryTableField id="20" name="Total_expenses" tableColumnId="20"/>
      <queryTableField id="21" name="Type" tableColumnId="21"/>
      <queryTableField id="22" name="Net Margin%" tableColumnId="22"/>
      <queryTableField id="23" name="Gross Margin%" tableColumnId="23"/>
      <queryTableField id="24" name="Other_expenses"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115F3B70-D293-4AD8-8A20-7C866BE2F276}" sourceName="Product_type">
  <pivotTables>
    <pivotTable tabId="3" name="PivotTable1"/>
    <pivotTable tabId="3" name="PivotTable10"/>
    <pivotTable tabId="3" name="PivotTable11"/>
    <pivotTable tabId="3" name="PivotTable2"/>
    <pivotTable tabId="3" name="PivotTable3"/>
    <pivotTable tabId="3" name="PivotTable4"/>
    <pivotTable tabId="3" name="PivotTable5"/>
    <pivotTable tabId="3" name="PivotTable7"/>
    <pivotTable tabId="3" name="PivotTable8"/>
    <pivotTable tabId="3" name="PivotTable9"/>
    <pivotTable tabId="4" name="PivotTable1"/>
    <pivotTable tabId="4" name="PivotTable13"/>
    <pivotTable tabId="4" name="PivotTable16"/>
    <pivotTable tabId="4" name="PivotTable2"/>
  </pivotTables>
  <data>
    <tabular pivotCacheId="1994801545">
      <items count="4">
        <i x="3" s="1"/>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 xr10:uid="{DA53F456-FC22-40BF-A29C-F6332083A4E6}" sourceName="Market">
  <pivotTables>
    <pivotTable tabId="3" name="PivotTable1"/>
    <pivotTable tabId="3" name="PivotTable10"/>
    <pivotTable tabId="3" name="PivotTable11"/>
    <pivotTable tabId="3" name="PivotTable2"/>
    <pivotTable tabId="3" name="PivotTable3"/>
    <pivotTable tabId="3" name="PivotTable4"/>
    <pivotTable tabId="3" name="PivotTable5"/>
    <pivotTable tabId="3" name="PivotTable7"/>
    <pivotTable tabId="3" name="PivotTable8"/>
    <pivotTable tabId="3" name="PivotTable9"/>
    <pivotTable tabId="4" name="PivotTable1"/>
    <pivotTable tabId="4" name="PivotTable13"/>
    <pivotTable tabId="4" name="PivotTable16"/>
    <pivotTable tabId="4" name="PivotTable2"/>
  </pivotTables>
  <data>
    <tabular pivotCacheId="1994801545">
      <items count="4">
        <i x="0"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3F4146EB-681A-4C81-89C5-46B0CF85B039}" sourceName="Product_line">
  <pivotTables>
    <pivotTable tabId="3" name="PivotTable1"/>
    <pivotTable tabId="3" name="PivotTable10"/>
    <pivotTable tabId="3" name="PivotTable11"/>
    <pivotTable tabId="3" name="PivotTable2"/>
    <pivotTable tabId="3" name="PivotTable3"/>
    <pivotTable tabId="3" name="PivotTable4"/>
    <pivotTable tabId="3" name="PivotTable5"/>
    <pivotTable tabId="3" name="PivotTable7"/>
    <pivotTable tabId="3" name="PivotTable8"/>
    <pivotTable tabId="3" name="PivotTable9"/>
    <pivotTable tabId="4" name="PivotTable1"/>
    <pivotTable tabId="4" name="PivotTable13"/>
    <pivotTable tabId="4" name="PivotTable16"/>
    <pivotTable tabId="4" name="PivotTable2"/>
  </pivotTables>
  <data>
    <tabular pivotCacheId="1994801545">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FB0CC08B-5122-4143-AA8B-396B29704120}" sourceName="Type">
  <pivotTables>
    <pivotTable tabId="3" name="PivotTable1"/>
    <pivotTable tabId="3" name="PivotTable10"/>
    <pivotTable tabId="3" name="PivotTable11"/>
    <pivotTable tabId="3" name="PivotTable2"/>
    <pivotTable tabId="3" name="PivotTable3"/>
    <pivotTable tabId="3" name="PivotTable4"/>
    <pivotTable tabId="3" name="PivotTable5"/>
    <pivotTable tabId="3" name="PivotTable7"/>
    <pivotTable tabId="3" name="PivotTable8"/>
    <pivotTable tabId="3" name="PivotTable9"/>
    <pivotTable tabId="4" name="PivotTable1"/>
    <pivotTable tabId="4" name="PivotTable13"/>
    <pivotTable tabId="4" name="PivotTable16"/>
    <pivotTable tabId="4" name="PivotTable2"/>
  </pivotTables>
  <data>
    <tabular pivotCacheId="1994801545">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type" xr10:uid="{8E8120D0-7041-4F70-A7BC-C1D8977F50DB}" cache="Slicer_Product_type" caption="Product_type" columnCount="2" style="Slicer Style 1" rowHeight="234950"/>
  <slicer name="Market" xr10:uid="{93A6F206-D605-41A7-94B8-EDFF4CF1C650}" cache="Slicer_Market" caption="Market" columnCount="2" style="Slicer Style 1" rowHeight="234950"/>
  <slicer name="Product_line" xr10:uid="{3287578F-ACC7-40C9-BAF0-DBD2FFA1B4F4}" cache="Slicer_Product_line" caption="Product_line" style="Slicer Style 1" rowHeight="234950"/>
  <slicer name="Type" xr10:uid="{ABB992D2-7DA5-45EF-8243-B886D4FB06DE}" cache="Slicer_Type" caption="Type" style="Slicer Style 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6386A12-F161-4DE4-9593-73ADE6B6CC72}" name="Coffee_Chain_Sales" displayName="Coffee_Chain_Sales" ref="A1:X1063" tableType="queryTable" totalsRowShown="0">
  <autoFilter ref="A1:X1063" xr:uid="{C6386A12-F161-4DE4-9593-73ADE6B6CC72}"/>
  <tableColumns count="24">
    <tableColumn id="1" xr3:uid="{C49B9FC8-E5DD-4298-A49F-6E9AC473549A}" uniqueName="1" name="Area Code" queryTableFieldId="1"/>
    <tableColumn id="2" xr3:uid="{3F5A462B-4B73-4030-A4FA-E47A988B719F}" uniqueName="2" name="Cogs" queryTableFieldId="2"/>
    <tableColumn id="3" xr3:uid="{93EAE89A-E8EC-4064-91DC-B5CB99ED966A}" uniqueName="3" name="DifferenceBetweenActualandTargetProfit" queryTableFieldId="3"/>
    <tableColumn id="4" xr3:uid="{CFCA3ED6-FFCA-457B-A272-567DD138B7CF}" uniqueName="4" name="Date" queryTableFieldId="4" dataDxfId="9"/>
    <tableColumn id="5" xr3:uid="{DDAD66F6-7A4B-45BF-86F3-49477B95B414}" uniqueName="5" name="Inventory Margin" queryTableFieldId="5"/>
    <tableColumn id="6" xr3:uid="{EFC97A7A-446B-4B72-83F8-D3965FE34E1A}" uniqueName="6" name="Gross Margin" queryTableFieldId="6"/>
    <tableColumn id="7" xr3:uid="{E9538597-3B55-4FE8-AAE2-6092C327AFC6}" uniqueName="7" name="Market_size" queryTableFieldId="7" dataDxfId="8"/>
    <tableColumn id="8" xr3:uid="{475C6ACC-E359-408B-B06D-51E407724E22}" uniqueName="8" name="Market" queryTableFieldId="8" dataDxfId="7"/>
    <tableColumn id="9" xr3:uid="{0E3EE8B3-C051-49C1-99C6-E9032156E185}" uniqueName="9" name="Marketing" queryTableFieldId="9"/>
    <tableColumn id="10" xr3:uid="{FCBB4B4E-0955-42A1-B234-D4BBBAAB76F1}" uniqueName="10" name="Product_line" queryTableFieldId="10" dataDxfId="6"/>
    <tableColumn id="11" xr3:uid="{EC302BB2-6902-4D3C-B1DF-B2D779E837C4}" uniqueName="11" name="Product_type" queryTableFieldId="11" dataDxfId="5"/>
    <tableColumn id="12" xr3:uid="{67F13A36-0BCE-4F06-BE4A-D0E1545FA7CD}" uniqueName="12" name="Product" queryTableFieldId="12" dataDxfId="4"/>
    <tableColumn id="13" xr3:uid="{C4665004-28B9-4D02-A73D-2BC94EA9EC46}" uniqueName="13" name="Profit" queryTableFieldId="13"/>
    <tableColumn id="14" xr3:uid="{04766CE8-9F7D-43FC-A81C-4F47E98096A9}" uniqueName="14" name="Sales" queryTableFieldId="14"/>
    <tableColumn id="15" xr3:uid="{0AA0D25B-DA46-4CE4-9BC3-3F2A15ABFED3}" uniqueName="15" name="State" queryTableFieldId="15" dataDxfId="3"/>
    <tableColumn id="16" xr3:uid="{276E6E3D-6098-46C3-BE08-9BF7588A896E}" uniqueName="16" name="Target_cogs" queryTableFieldId="16"/>
    <tableColumn id="17" xr3:uid="{576BDB9F-1785-4398-8C89-339C3D6FC6F4}" uniqueName="17" name="Target_margin" queryTableFieldId="17"/>
    <tableColumn id="18" xr3:uid="{FCCE7992-772B-4DC6-BC99-99C3AB39418A}" uniqueName="18" name="Target_profit" queryTableFieldId="18"/>
    <tableColumn id="19" xr3:uid="{E9CF9DC8-7C3F-411B-8D83-6CC8C1C2BE45}" uniqueName="19" name="Target_sales " queryTableFieldId="19"/>
    <tableColumn id="20" xr3:uid="{ECD14DD2-F866-495A-AC21-713BA80C7A1D}" uniqueName="20" name="Total_expenses" queryTableFieldId="20"/>
    <tableColumn id="21" xr3:uid="{91A679E9-89F7-464F-994C-4DD3AC261922}" uniqueName="21" name="Type" queryTableFieldId="21" dataDxfId="2"/>
    <tableColumn id="22" xr3:uid="{49FC243F-466B-43D2-B4EA-3881E7A7E8A9}" uniqueName="22" name="Net Margin%" queryTableFieldId="22" dataDxfId="1" dataCellStyle="Percent"/>
    <tableColumn id="23" xr3:uid="{A294BC6A-C7F8-4BF9-B9D1-D9AFF95D323F}" uniqueName="23" name="Gross Margin%" queryTableFieldId="23" dataDxfId="0" dataCellStyle="Percent"/>
    <tableColumn id="24" xr3:uid="{0071D253-B26D-4F41-891D-BF3197D5BFA2}" uniqueName="24" name="Other_expenses" queryTableFieldId="24" dataCellStyle="Percent"/>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AEB47458-BED6-4C19-8EDD-53405BA21636}" sourceName="Date">
  <pivotTables>
    <pivotTable tabId="3" name="PivotTable1"/>
    <pivotTable tabId="3" name="PivotTable10"/>
    <pivotTable tabId="3" name="PivotTable11"/>
    <pivotTable tabId="3" name="PivotTable2"/>
    <pivotTable tabId="3" name="PivotTable3"/>
    <pivotTable tabId="3" name="PivotTable4"/>
    <pivotTable tabId="3" name="PivotTable5"/>
    <pivotTable tabId="3" name="PivotTable8"/>
    <pivotTable tabId="3" name="PivotTable9"/>
    <pivotTable tabId="4" name="PivotTable1"/>
    <pivotTable tabId="4" name="PivotTable13"/>
    <pivotTable tabId="4" name="PivotTable16"/>
    <pivotTable tabId="4" name="PivotTable2"/>
    <pivotTable tabId="3" name="PivotTable7"/>
  </pivotTables>
  <state minimalRefreshVersion="6" lastRefreshVersion="6" pivotCacheId="1994801545" filterType="unknown">
    <bounds startDate="2012-01-01T00:00:00" endDate="201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FE832FD3-B0F9-4950-BC32-7FE9B7122B84}" cache="NativeTimeline_Date" caption="Date" showSelectionLabel="0" showHorizontalScrollbar="0" level="2" selectionLevel="2" scrollPosition="2012-01-01T00:00:00" style="Timeline Style 1"/>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microsoft.com/office/2011/relationships/timeline" Target="../timelines/timelin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4" Type="http://schemas.openxmlformats.org/officeDocument/2006/relationships/pivotTable" Target="../pivotTables/pivot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031E5A-F238-446E-96A6-C9879F0A239B}">
  <sheetPr codeName="Sheet1"/>
  <dimension ref="A1"/>
  <sheetViews>
    <sheetView showGridLines="0" tabSelected="1" zoomScale="65" zoomScaleNormal="98" workbookViewId="0">
      <selection activeCell="AN30" sqref="AN30"/>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Option Button 4">
              <controlPr defaultSize="0" autoFill="0" autoLine="0" autoPict="0" altText="SALES">
                <anchor moveWithCells="1">
                  <from>
                    <xdr:col>24</xdr:col>
                    <xdr:colOff>266700</xdr:colOff>
                    <xdr:row>15</xdr:row>
                    <xdr:rowOff>129540</xdr:rowOff>
                  </from>
                  <to>
                    <xdr:col>25</xdr:col>
                    <xdr:colOff>487680</xdr:colOff>
                    <xdr:row>17</xdr:row>
                    <xdr:rowOff>160020</xdr:rowOff>
                  </to>
                </anchor>
              </controlPr>
            </control>
          </mc:Choice>
        </mc:AlternateContent>
        <mc:AlternateContent xmlns:mc="http://schemas.openxmlformats.org/markup-compatibility/2006">
          <mc:Choice Requires="x14">
            <control shapeId="1029" r:id="rId5" name="Option Button 5">
              <controlPr defaultSize="0" autoFill="0" autoLine="0" autoPict="0" altText="SALES">
                <anchor moveWithCells="1">
                  <from>
                    <xdr:col>25</xdr:col>
                    <xdr:colOff>327660</xdr:colOff>
                    <xdr:row>15</xdr:row>
                    <xdr:rowOff>83820</xdr:rowOff>
                  </from>
                  <to>
                    <xdr:col>27</xdr:col>
                    <xdr:colOff>152400</xdr:colOff>
                    <xdr:row>17</xdr:row>
                    <xdr:rowOff>182880</xdr:rowOff>
                  </to>
                </anchor>
              </controlPr>
            </control>
          </mc:Choice>
        </mc:AlternateContent>
      </controls>
    </mc:Choice>
  </mc:AlternateContent>
  <extLst>
    <ext xmlns:x14="http://schemas.microsoft.com/office/spreadsheetml/2009/9/main" uri="{A8765BA9-456A-4dab-B4F3-ACF838C121DE}">
      <x14:slicerList>
        <x14:slicer r:id="rId6"/>
      </x14:slicerList>
    </ext>
    <ext xmlns:x15="http://schemas.microsoft.com/office/spreadsheetml/2010/11/main" uri="{7E03D99C-DC04-49d9-9315-930204A7B6E9}">
      <x15:timelineRefs>
        <x15:timelineRef r:id="rId7"/>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6E72B-F443-4DA3-BF9A-70E65DBB87CF}">
  <sheetPr codeName="Sheet4"/>
  <dimension ref="A1:X1063"/>
  <sheetViews>
    <sheetView zoomScale="75" workbookViewId="0">
      <selection activeCell="K2" sqref="K2"/>
    </sheetView>
  </sheetViews>
  <sheetFormatPr defaultRowHeight="14.4" x14ac:dyDescent="0.3"/>
  <cols>
    <col min="1" max="1" width="12.5546875" bestFit="1" customWidth="1"/>
    <col min="2" max="2" width="7.44140625" bestFit="1" customWidth="1"/>
    <col min="3" max="3" width="40.77734375" bestFit="1" customWidth="1"/>
    <col min="4" max="4" width="10.44140625" bestFit="1" customWidth="1"/>
    <col min="5" max="5" width="19.109375" bestFit="1" customWidth="1"/>
    <col min="6" max="6" width="15.109375" bestFit="1" customWidth="1"/>
    <col min="7" max="7" width="14.109375" bestFit="1" customWidth="1"/>
    <col min="8" max="8" width="9.88671875" bestFit="1" customWidth="1"/>
    <col min="9" max="9" width="12.6640625" bestFit="1" customWidth="1"/>
    <col min="10" max="10" width="14.88671875" bestFit="1" customWidth="1"/>
    <col min="11" max="11" width="15.6640625" bestFit="1" customWidth="1"/>
    <col min="12" max="12" width="16" bestFit="1" customWidth="1"/>
    <col min="13" max="13" width="8.5546875" bestFit="1" customWidth="1"/>
    <col min="14" max="14" width="7.88671875" bestFit="1" customWidth="1"/>
    <col min="15" max="15" width="14.33203125" bestFit="1" customWidth="1"/>
    <col min="16" max="16" width="14.109375" bestFit="1" customWidth="1"/>
    <col min="17" max="17" width="16.5546875" bestFit="1" customWidth="1"/>
    <col min="18" max="18" width="15.21875" bestFit="1" customWidth="1"/>
    <col min="19" max="19" width="14.88671875" bestFit="1" customWidth="1"/>
    <col min="20" max="20" width="17" bestFit="1" customWidth="1"/>
    <col min="21" max="21" width="7.77734375" bestFit="1" customWidth="1"/>
    <col min="22" max="22" width="15.109375" style="2" bestFit="1" customWidth="1"/>
    <col min="23" max="23" width="16.77734375" style="2" bestFit="1" customWidth="1"/>
    <col min="24" max="24" width="17.6640625" style="2" bestFit="1" customWidth="1"/>
  </cols>
  <sheetData>
    <row r="1" spans="1:24"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s="2" t="s">
        <v>21</v>
      </c>
      <c r="W1" s="2" t="s">
        <v>73</v>
      </c>
      <c r="X1" t="s">
        <v>88</v>
      </c>
    </row>
    <row r="2" spans="1:24" x14ac:dyDescent="0.3">
      <c r="A2">
        <v>303</v>
      </c>
      <c r="B2">
        <v>51</v>
      </c>
      <c r="C2">
        <v>-35</v>
      </c>
      <c r="D2" s="1">
        <v>40918</v>
      </c>
      <c r="E2">
        <v>503</v>
      </c>
      <c r="F2">
        <v>71</v>
      </c>
      <c r="G2" t="s">
        <v>22</v>
      </c>
      <c r="H2" t="s">
        <v>23</v>
      </c>
      <c r="I2">
        <v>46</v>
      </c>
      <c r="J2" t="s">
        <v>24</v>
      </c>
      <c r="K2" t="s">
        <v>25</v>
      </c>
      <c r="L2" t="s">
        <v>26</v>
      </c>
      <c r="M2">
        <v>-5</v>
      </c>
      <c r="N2">
        <v>122</v>
      </c>
      <c r="O2" t="s">
        <v>27</v>
      </c>
      <c r="P2">
        <v>30</v>
      </c>
      <c r="Q2">
        <v>60</v>
      </c>
      <c r="R2">
        <v>30</v>
      </c>
      <c r="S2">
        <v>90</v>
      </c>
      <c r="T2">
        <v>76</v>
      </c>
      <c r="U2" t="s">
        <v>28</v>
      </c>
      <c r="V2" s="2">
        <v>-4.0983606557377046E-2</v>
      </c>
      <c r="W2" s="2">
        <v>0.58196721311475408</v>
      </c>
      <c r="X2">
        <v>30</v>
      </c>
    </row>
    <row r="3" spans="1:24" x14ac:dyDescent="0.3">
      <c r="A3">
        <v>970</v>
      </c>
      <c r="B3">
        <v>52</v>
      </c>
      <c r="C3">
        <v>-24</v>
      </c>
      <c r="D3" s="1">
        <v>40919</v>
      </c>
      <c r="E3">
        <v>405</v>
      </c>
      <c r="F3">
        <v>71</v>
      </c>
      <c r="G3" t="s">
        <v>22</v>
      </c>
      <c r="H3" t="s">
        <v>23</v>
      </c>
      <c r="I3">
        <v>17</v>
      </c>
      <c r="J3" t="s">
        <v>24</v>
      </c>
      <c r="K3" t="s">
        <v>25</v>
      </c>
      <c r="L3" t="s">
        <v>29</v>
      </c>
      <c r="M3">
        <v>26</v>
      </c>
      <c r="N3">
        <v>123</v>
      </c>
      <c r="O3" t="s">
        <v>27</v>
      </c>
      <c r="P3">
        <v>30</v>
      </c>
      <c r="Q3">
        <v>60</v>
      </c>
      <c r="R3">
        <v>50</v>
      </c>
      <c r="S3">
        <v>90</v>
      </c>
      <c r="T3">
        <v>45</v>
      </c>
      <c r="U3" t="s">
        <v>28</v>
      </c>
      <c r="V3" s="2">
        <v>0.21138211382113822</v>
      </c>
      <c r="W3" s="2">
        <v>0.57723577235772361</v>
      </c>
      <c r="X3">
        <v>28</v>
      </c>
    </row>
    <row r="4" spans="1:24" x14ac:dyDescent="0.3">
      <c r="A4">
        <v>409</v>
      </c>
      <c r="B4">
        <v>43</v>
      </c>
      <c r="C4">
        <v>-22</v>
      </c>
      <c r="D4" s="1">
        <v>40920</v>
      </c>
      <c r="E4">
        <v>419</v>
      </c>
      <c r="F4">
        <v>64</v>
      </c>
      <c r="G4" t="s">
        <v>22</v>
      </c>
      <c r="H4" t="s">
        <v>30</v>
      </c>
      <c r="I4">
        <v>13</v>
      </c>
      <c r="J4" t="s">
        <v>24</v>
      </c>
      <c r="K4" t="s">
        <v>25</v>
      </c>
      <c r="L4" t="s">
        <v>26</v>
      </c>
      <c r="M4">
        <v>28</v>
      </c>
      <c r="N4">
        <v>107</v>
      </c>
      <c r="O4" t="s">
        <v>31</v>
      </c>
      <c r="P4">
        <v>30</v>
      </c>
      <c r="Q4">
        <v>60</v>
      </c>
      <c r="R4">
        <v>50</v>
      </c>
      <c r="S4">
        <v>90</v>
      </c>
      <c r="T4">
        <v>36</v>
      </c>
      <c r="U4" t="s">
        <v>28</v>
      </c>
      <c r="V4" s="2">
        <v>0.26168224299065418</v>
      </c>
      <c r="W4" s="2">
        <v>0.59813084112149528</v>
      </c>
      <c r="X4">
        <v>23</v>
      </c>
    </row>
    <row r="5" spans="1:24" x14ac:dyDescent="0.3">
      <c r="A5">
        <v>850</v>
      </c>
      <c r="B5">
        <v>38</v>
      </c>
      <c r="C5">
        <v>-15</v>
      </c>
      <c r="D5" s="1">
        <v>40921</v>
      </c>
      <c r="E5">
        <v>871</v>
      </c>
      <c r="F5">
        <v>56</v>
      </c>
      <c r="G5" t="s">
        <v>22</v>
      </c>
      <c r="H5" t="s">
        <v>32</v>
      </c>
      <c r="I5">
        <v>10</v>
      </c>
      <c r="J5" t="s">
        <v>24</v>
      </c>
      <c r="K5" t="s">
        <v>33</v>
      </c>
      <c r="L5" t="s">
        <v>34</v>
      </c>
      <c r="M5">
        <v>35</v>
      </c>
      <c r="N5">
        <v>94</v>
      </c>
      <c r="O5" t="s">
        <v>35</v>
      </c>
      <c r="P5">
        <v>40</v>
      </c>
      <c r="Q5">
        <v>60</v>
      </c>
      <c r="R5">
        <v>50</v>
      </c>
      <c r="S5">
        <v>100</v>
      </c>
      <c r="T5">
        <v>21</v>
      </c>
      <c r="U5" t="s">
        <v>36</v>
      </c>
      <c r="V5" s="2">
        <v>0.37234042553191488</v>
      </c>
      <c r="W5" s="2">
        <v>0.5957446808510638</v>
      </c>
      <c r="X5">
        <v>11</v>
      </c>
    </row>
    <row r="6" spans="1:24" x14ac:dyDescent="0.3">
      <c r="A6">
        <v>562</v>
      </c>
      <c r="B6">
        <v>72</v>
      </c>
      <c r="C6">
        <v>6</v>
      </c>
      <c r="D6" s="1">
        <v>40922</v>
      </c>
      <c r="E6">
        <v>650</v>
      </c>
      <c r="F6">
        <v>110</v>
      </c>
      <c r="G6" t="s">
        <v>22</v>
      </c>
      <c r="H6" t="s">
        <v>37</v>
      </c>
      <c r="I6">
        <v>23</v>
      </c>
      <c r="J6" t="s">
        <v>24</v>
      </c>
      <c r="K6" t="s">
        <v>33</v>
      </c>
      <c r="L6" t="s">
        <v>38</v>
      </c>
      <c r="M6">
        <v>56</v>
      </c>
      <c r="N6">
        <v>182</v>
      </c>
      <c r="O6" t="s">
        <v>39</v>
      </c>
      <c r="P6">
        <v>20</v>
      </c>
      <c r="Q6">
        <v>60</v>
      </c>
      <c r="R6">
        <v>50</v>
      </c>
      <c r="S6">
        <v>80</v>
      </c>
      <c r="T6">
        <v>54</v>
      </c>
      <c r="U6" t="s">
        <v>36</v>
      </c>
      <c r="V6" s="2">
        <v>0.30769230769230771</v>
      </c>
      <c r="W6" s="2">
        <v>0.60439560439560436</v>
      </c>
      <c r="X6">
        <v>31</v>
      </c>
    </row>
    <row r="7" spans="1:24" x14ac:dyDescent="0.3">
      <c r="A7">
        <v>712</v>
      </c>
      <c r="B7">
        <v>0</v>
      </c>
      <c r="C7">
        <v>-29</v>
      </c>
      <c r="D7" s="1">
        <v>40923</v>
      </c>
      <c r="E7">
        <v>430</v>
      </c>
      <c r="F7">
        <v>43</v>
      </c>
      <c r="G7" t="s">
        <v>40</v>
      </c>
      <c r="H7" t="s">
        <v>23</v>
      </c>
      <c r="I7">
        <v>0</v>
      </c>
      <c r="J7" t="s">
        <v>41</v>
      </c>
      <c r="K7" t="s">
        <v>42</v>
      </c>
      <c r="L7" t="s">
        <v>43</v>
      </c>
      <c r="M7">
        <v>31</v>
      </c>
      <c r="N7">
        <v>43</v>
      </c>
      <c r="O7" t="s">
        <v>44</v>
      </c>
      <c r="P7">
        <v>0</v>
      </c>
      <c r="Q7">
        <v>60</v>
      </c>
      <c r="R7">
        <v>60</v>
      </c>
      <c r="S7">
        <v>60</v>
      </c>
      <c r="T7">
        <v>12</v>
      </c>
      <c r="U7" t="s">
        <v>28</v>
      </c>
      <c r="V7" s="2">
        <v>0.72093023255813948</v>
      </c>
      <c r="W7" s="2">
        <v>1</v>
      </c>
      <c r="X7">
        <v>12</v>
      </c>
    </row>
    <row r="8" spans="1:24" x14ac:dyDescent="0.3">
      <c r="A8">
        <v>860</v>
      </c>
      <c r="B8">
        <v>47</v>
      </c>
      <c r="C8">
        <v>-29</v>
      </c>
      <c r="D8" s="1">
        <v>40924</v>
      </c>
      <c r="E8">
        <v>375</v>
      </c>
      <c r="F8">
        <v>64</v>
      </c>
      <c r="G8" t="s">
        <v>40</v>
      </c>
      <c r="H8" t="s">
        <v>32</v>
      </c>
      <c r="I8">
        <v>15</v>
      </c>
      <c r="J8" t="s">
        <v>41</v>
      </c>
      <c r="K8" t="s">
        <v>42</v>
      </c>
      <c r="L8" t="s">
        <v>43</v>
      </c>
      <c r="M8">
        <v>21</v>
      </c>
      <c r="N8">
        <v>111</v>
      </c>
      <c r="O8" t="s">
        <v>45</v>
      </c>
      <c r="P8">
        <v>30</v>
      </c>
      <c r="Q8">
        <v>60</v>
      </c>
      <c r="R8">
        <v>50</v>
      </c>
      <c r="S8">
        <v>90</v>
      </c>
      <c r="T8">
        <v>43</v>
      </c>
      <c r="U8" t="s">
        <v>28</v>
      </c>
      <c r="V8" s="2">
        <v>0.1891891891891892</v>
      </c>
      <c r="W8" s="2">
        <v>0.57657657657657657</v>
      </c>
      <c r="X8">
        <v>28</v>
      </c>
    </row>
    <row r="9" spans="1:24" x14ac:dyDescent="0.3">
      <c r="A9">
        <v>918</v>
      </c>
      <c r="B9">
        <v>27</v>
      </c>
      <c r="C9">
        <v>-39</v>
      </c>
      <c r="D9" s="1">
        <v>40925</v>
      </c>
      <c r="E9">
        <v>859</v>
      </c>
      <c r="F9">
        <v>39</v>
      </c>
      <c r="G9" t="s">
        <v>40</v>
      </c>
      <c r="H9" t="s">
        <v>30</v>
      </c>
      <c r="I9">
        <v>7</v>
      </c>
      <c r="J9" t="s">
        <v>41</v>
      </c>
      <c r="K9" t="s">
        <v>46</v>
      </c>
      <c r="L9" t="s">
        <v>47</v>
      </c>
      <c r="M9">
        <v>21</v>
      </c>
      <c r="N9">
        <v>66</v>
      </c>
      <c r="O9" t="s">
        <v>48</v>
      </c>
      <c r="P9">
        <v>30</v>
      </c>
      <c r="Q9">
        <v>60</v>
      </c>
      <c r="R9">
        <v>60</v>
      </c>
      <c r="S9">
        <v>90</v>
      </c>
      <c r="T9">
        <v>18</v>
      </c>
      <c r="U9" t="s">
        <v>28</v>
      </c>
      <c r="V9" s="2">
        <v>0.31818181818181818</v>
      </c>
      <c r="W9" s="2">
        <v>0.59090909090909094</v>
      </c>
      <c r="X9">
        <v>11</v>
      </c>
    </row>
    <row r="10" spans="1:24" x14ac:dyDescent="0.3">
      <c r="A10">
        <v>775</v>
      </c>
      <c r="B10">
        <v>31</v>
      </c>
      <c r="C10">
        <v>-43</v>
      </c>
      <c r="D10" s="1">
        <v>40926</v>
      </c>
      <c r="E10">
        <v>1000</v>
      </c>
      <c r="F10">
        <v>37</v>
      </c>
      <c r="G10" t="s">
        <v>40</v>
      </c>
      <c r="H10" t="s">
        <v>37</v>
      </c>
      <c r="I10">
        <v>9</v>
      </c>
      <c r="J10" t="s">
        <v>41</v>
      </c>
      <c r="K10" t="s">
        <v>46</v>
      </c>
      <c r="L10" t="s">
        <v>47</v>
      </c>
      <c r="M10">
        <v>7</v>
      </c>
      <c r="N10">
        <v>68</v>
      </c>
      <c r="O10" t="s">
        <v>49</v>
      </c>
      <c r="P10">
        <v>30</v>
      </c>
      <c r="Q10">
        <v>60</v>
      </c>
      <c r="R10">
        <v>50</v>
      </c>
      <c r="S10">
        <v>90</v>
      </c>
      <c r="T10">
        <v>30</v>
      </c>
      <c r="U10" t="s">
        <v>28</v>
      </c>
      <c r="V10" s="2">
        <v>0.10294117647058823</v>
      </c>
      <c r="W10" s="2">
        <v>0.54411764705882348</v>
      </c>
      <c r="X10">
        <v>21</v>
      </c>
    </row>
    <row r="11" spans="1:24" x14ac:dyDescent="0.3">
      <c r="A11">
        <v>435</v>
      </c>
      <c r="B11">
        <v>40</v>
      </c>
      <c r="C11">
        <v>-23</v>
      </c>
      <c r="D11" s="1">
        <v>40927</v>
      </c>
      <c r="E11">
        <v>881</v>
      </c>
      <c r="F11">
        <v>59</v>
      </c>
      <c r="G11" t="s">
        <v>40</v>
      </c>
      <c r="H11" t="s">
        <v>37</v>
      </c>
      <c r="I11">
        <v>11</v>
      </c>
      <c r="J11" t="s">
        <v>41</v>
      </c>
      <c r="K11" t="s">
        <v>42</v>
      </c>
      <c r="L11" t="s">
        <v>43</v>
      </c>
      <c r="M11">
        <v>37</v>
      </c>
      <c r="N11">
        <v>99</v>
      </c>
      <c r="O11" t="s">
        <v>50</v>
      </c>
      <c r="P11">
        <v>20</v>
      </c>
      <c r="Q11">
        <v>60</v>
      </c>
      <c r="R11">
        <v>60</v>
      </c>
      <c r="S11">
        <v>80</v>
      </c>
      <c r="T11">
        <v>22</v>
      </c>
      <c r="U11" t="s">
        <v>28</v>
      </c>
      <c r="V11" s="2">
        <v>0.37373737373737376</v>
      </c>
      <c r="W11" s="2">
        <v>0.59595959595959591</v>
      </c>
      <c r="X11">
        <v>11</v>
      </c>
    </row>
    <row r="12" spans="1:24" x14ac:dyDescent="0.3">
      <c r="A12">
        <v>603</v>
      </c>
      <c r="B12">
        <v>49</v>
      </c>
      <c r="C12">
        <v>-27</v>
      </c>
      <c r="D12" s="1">
        <v>40928</v>
      </c>
      <c r="E12">
        <v>310</v>
      </c>
      <c r="F12">
        <v>71</v>
      </c>
      <c r="G12" t="s">
        <v>40</v>
      </c>
      <c r="H12" t="s">
        <v>32</v>
      </c>
      <c r="I12">
        <v>15</v>
      </c>
      <c r="J12" t="s">
        <v>41</v>
      </c>
      <c r="K12" t="s">
        <v>46</v>
      </c>
      <c r="L12" t="s">
        <v>51</v>
      </c>
      <c r="M12">
        <v>33</v>
      </c>
      <c r="N12">
        <v>120</v>
      </c>
      <c r="O12" t="s">
        <v>52</v>
      </c>
      <c r="P12">
        <v>30</v>
      </c>
      <c r="Q12">
        <v>60</v>
      </c>
      <c r="R12">
        <v>60</v>
      </c>
      <c r="S12">
        <v>90</v>
      </c>
      <c r="T12">
        <v>38</v>
      </c>
      <c r="U12" t="s">
        <v>36</v>
      </c>
      <c r="V12" s="2">
        <v>0.27500000000000002</v>
      </c>
      <c r="W12" s="2">
        <v>0.59166666666666667</v>
      </c>
      <c r="X12">
        <v>23</v>
      </c>
    </row>
    <row r="13" spans="1:24" x14ac:dyDescent="0.3">
      <c r="A13">
        <v>603</v>
      </c>
      <c r="B13">
        <v>45</v>
      </c>
      <c r="C13">
        <v>-26</v>
      </c>
      <c r="D13" s="1">
        <v>40929</v>
      </c>
      <c r="E13">
        <v>447</v>
      </c>
      <c r="F13">
        <v>69</v>
      </c>
      <c r="G13" t="s">
        <v>40</v>
      </c>
      <c r="H13" t="s">
        <v>32</v>
      </c>
      <c r="I13">
        <v>14</v>
      </c>
      <c r="J13" t="s">
        <v>41</v>
      </c>
      <c r="K13" t="s">
        <v>46</v>
      </c>
      <c r="L13" t="s">
        <v>53</v>
      </c>
      <c r="M13">
        <v>24</v>
      </c>
      <c r="N13">
        <v>114</v>
      </c>
      <c r="O13" t="s">
        <v>52</v>
      </c>
      <c r="P13">
        <v>30</v>
      </c>
      <c r="Q13">
        <v>60</v>
      </c>
      <c r="R13">
        <v>50</v>
      </c>
      <c r="S13">
        <v>90</v>
      </c>
      <c r="T13">
        <v>45</v>
      </c>
      <c r="U13" t="s">
        <v>36</v>
      </c>
      <c r="V13" s="2">
        <v>0.21052631578947367</v>
      </c>
      <c r="W13" s="2">
        <v>0.60526315789473684</v>
      </c>
      <c r="X13">
        <v>31</v>
      </c>
    </row>
    <row r="14" spans="1:24" x14ac:dyDescent="0.3">
      <c r="A14">
        <v>603</v>
      </c>
      <c r="B14">
        <v>45</v>
      </c>
      <c r="C14">
        <v>-37</v>
      </c>
      <c r="D14" s="1">
        <v>40930</v>
      </c>
      <c r="E14">
        <v>320</v>
      </c>
      <c r="F14">
        <v>64</v>
      </c>
      <c r="G14" t="s">
        <v>40</v>
      </c>
      <c r="H14" t="s">
        <v>32</v>
      </c>
      <c r="I14">
        <v>41</v>
      </c>
      <c r="J14" t="s">
        <v>41</v>
      </c>
      <c r="K14" t="s">
        <v>42</v>
      </c>
      <c r="L14" t="s">
        <v>54</v>
      </c>
      <c r="M14">
        <v>-7</v>
      </c>
      <c r="N14">
        <v>109</v>
      </c>
      <c r="O14" t="s">
        <v>52</v>
      </c>
      <c r="P14">
        <v>30</v>
      </c>
      <c r="Q14">
        <v>60</v>
      </c>
      <c r="R14">
        <v>30</v>
      </c>
      <c r="S14">
        <v>90</v>
      </c>
      <c r="T14">
        <v>71</v>
      </c>
      <c r="U14" t="s">
        <v>36</v>
      </c>
      <c r="V14" s="2">
        <v>-6.4220183486238536E-2</v>
      </c>
      <c r="W14" s="2">
        <v>0.58715596330275233</v>
      </c>
      <c r="X14">
        <v>30</v>
      </c>
    </row>
    <row r="15" spans="1:24" x14ac:dyDescent="0.3">
      <c r="A15">
        <v>318</v>
      </c>
      <c r="B15">
        <v>60</v>
      </c>
      <c r="C15">
        <v>-9</v>
      </c>
      <c r="D15" s="1">
        <v>40931</v>
      </c>
      <c r="E15">
        <v>-762</v>
      </c>
      <c r="F15">
        <v>84</v>
      </c>
      <c r="G15" t="s">
        <v>40</v>
      </c>
      <c r="H15" t="s">
        <v>30</v>
      </c>
      <c r="I15">
        <v>54</v>
      </c>
      <c r="J15" t="s">
        <v>41</v>
      </c>
      <c r="K15" t="s">
        <v>42</v>
      </c>
      <c r="L15" t="s">
        <v>55</v>
      </c>
      <c r="M15">
        <v>1</v>
      </c>
      <c r="N15">
        <v>144</v>
      </c>
      <c r="O15" t="s">
        <v>56</v>
      </c>
      <c r="P15">
        <v>30</v>
      </c>
      <c r="Q15">
        <v>60</v>
      </c>
      <c r="R15">
        <v>10</v>
      </c>
      <c r="S15">
        <v>90</v>
      </c>
      <c r="T15">
        <v>83</v>
      </c>
      <c r="U15" t="s">
        <v>36</v>
      </c>
      <c r="V15" s="2">
        <v>6.9444444444444441E-3</v>
      </c>
      <c r="W15" s="2">
        <v>0.58333333333333337</v>
      </c>
      <c r="X15">
        <v>29</v>
      </c>
    </row>
    <row r="16" spans="1:24" x14ac:dyDescent="0.3">
      <c r="A16">
        <v>775</v>
      </c>
      <c r="B16">
        <v>34</v>
      </c>
      <c r="C16">
        <v>-32</v>
      </c>
      <c r="D16" s="1">
        <v>40932</v>
      </c>
      <c r="E16">
        <v>240</v>
      </c>
      <c r="F16">
        <v>43</v>
      </c>
      <c r="G16" t="s">
        <v>40</v>
      </c>
      <c r="H16" t="s">
        <v>37</v>
      </c>
      <c r="I16">
        <v>12</v>
      </c>
      <c r="J16" t="s">
        <v>41</v>
      </c>
      <c r="K16" t="s">
        <v>46</v>
      </c>
      <c r="L16" t="s">
        <v>53</v>
      </c>
      <c r="M16">
        <v>-2</v>
      </c>
      <c r="N16">
        <v>77</v>
      </c>
      <c r="O16" t="s">
        <v>49</v>
      </c>
      <c r="P16">
        <v>40</v>
      </c>
      <c r="Q16">
        <v>60</v>
      </c>
      <c r="R16">
        <v>30</v>
      </c>
      <c r="S16">
        <v>100</v>
      </c>
      <c r="T16">
        <v>45</v>
      </c>
      <c r="U16" t="s">
        <v>36</v>
      </c>
      <c r="V16" s="2">
        <v>-2.5974025974025976E-2</v>
      </c>
      <c r="W16" s="2">
        <v>0.55844155844155841</v>
      </c>
      <c r="X16">
        <v>33</v>
      </c>
    </row>
    <row r="17" spans="1:24" x14ac:dyDescent="0.3">
      <c r="A17">
        <v>503</v>
      </c>
      <c r="B17">
        <v>54</v>
      </c>
      <c r="C17">
        <v>-28</v>
      </c>
      <c r="D17" s="1">
        <v>40933</v>
      </c>
      <c r="E17">
        <v>404</v>
      </c>
      <c r="F17">
        <v>66</v>
      </c>
      <c r="G17" t="s">
        <v>40</v>
      </c>
      <c r="H17" t="s">
        <v>37</v>
      </c>
      <c r="I17">
        <v>20</v>
      </c>
      <c r="J17" t="s">
        <v>41</v>
      </c>
      <c r="K17" t="s">
        <v>42</v>
      </c>
      <c r="L17" t="s">
        <v>55</v>
      </c>
      <c r="M17">
        <v>12</v>
      </c>
      <c r="N17">
        <v>120</v>
      </c>
      <c r="O17" t="s">
        <v>57</v>
      </c>
      <c r="P17">
        <v>40</v>
      </c>
      <c r="Q17">
        <v>60</v>
      </c>
      <c r="R17">
        <v>40</v>
      </c>
      <c r="S17">
        <v>100</v>
      </c>
      <c r="T17">
        <v>54</v>
      </c>
      <c r="U17" t="s">
        <v>36</v>
      </c>
      <c r="V17" s="2">
        <v>0.1</v>
      </c>
      <c r="W17" s="2">
        <v>0.55000000000000004</v>
      </c>
      <c r="X17">
        <v>34</v>
      </c>
    </row>
    <row r="18" spans="1:24" x14ac:dyDescent="0.3">
      <c r="A18">
        <v>573</v>
      </c>
      <c r="B18">
        <v>45</v>
      </c>
      <c r="C18">
        <v>-36</v>
      </c>
      <c r="D18" s="1">
        <v>40934</v>
      </c>
      <c r="E18">
        <v>320</v>
      </c>
      <c r="F18">
        <v>64</v>
      </c>
      <c r="G18" t="s">
        <v>40</v>
      </c>
      <c r="H18" t="s">
        <v>23</v>
      </c>
      <c r="I18">
        <v>41</v>
      </c>
      <c r="J18" t="s">
        <v>24</v>
      </c>
      <c r="K18" t="s">
        <v>25</v>
      </c>
      <c r="L18" t="s">
        <v>58</v>
      </c>
      <c r="M18">
        <v>-6</v>
      </c>
      <c r="N18">
        <v>109</v>
      </c>
      <c r="O18" t="s">
        <v>59</v>
      </c>
      <c r="P18">
        <v>20</v>
      </c>
      <c r="Q18">
        <v>60</v>
      </c>
      <c r="R18">
        <v>30</v>
      </c>
      <c r="S18">
        <v>80</v>
      </c>
      <c r="T18">
        <v>70</v>
      </c>
      <c r="U18" t="s">
        <v>28</v>
      </c>
      <c r="V18" s="2">
        <v>-5.5045871559633031E-2</v>
      </c>
      <c r="W18" s="2">
        <v>0.58715596330275233</v>
      </c>
      <c r="X18">
        <v>29</v>
      </c>
    </row>
    <row r="19" spans="1:24" x14ac:dyDescent="0.3">
      <c r="A19">
        <v>262</v>
      </c>
      <c r="B19">
        <v>48</v>
      </c>
      <c r="C19">
        <v>-15</v>
      </c>
      <c r="D19" s="1">
        <v>40935</v>
      </c>
      <c r="E19">
        <v>851</v>
      </c>
      <c r="F19">
        <v>70</v>
      </c>
      <c r="G19" t="s">
        <v>40</v>
      </c>
      <c r="H19" t="s">
        <v>23</v>
      </c>
      <c r="I19">
        <v>13</v>
      </c>
      <c r="J19" t="s">
        <v>24</v>
      </c>
      <c r="K19" t="s">
        <v>25</v>
      </c>
      <c r="L19" t="s">
        <v>26</v>
      </c>
      <c r="M19">
        <v>45</v>
      </c>
      <c r="N19">
        <v>118</v>
      </c>
      <c r="O19" t="s">
        <v>60</v>
      </c>
      <c r="P19">
        <v>30</v>
      </c>
      <c r="Q19">
        <v>60</v>
      </c>
      <c r="R19">
        <v>60</v>
      </c>
      <c r="S19">
        <v>90</v>
      </c>
      <c r="T19">
        <v>25</v>
      </c>
      <c r="U19" t="s">
        <v>28</v>
      </c>
      <c r="V19" s="2">
        <v>0.38135593220338981</v>
      </c>
      <c r="W19" s="2">
        <v>0.59322033898305082</v>
      </c>
      <c r="X19">
        <v>12</v>
      </c>
    </row>
    <row r="20" spans="1:24" x14ac:dyDescent="0.3">
      <c r="A20">
        <v>801</v>
      </c>
      <c r="B20">
        <v>49</v>
      </c>
      <c r="C20">
        <v>-27</v>
      </c>
      <c r="D20" s="1">
        <v>40936</v>
      </c>
      <c r="E20">
        <v>310</v>
      </c>
      <c r="F20">
        <v>71</v>
      </c>
      <c r="G20" t="s">
        <v>40</v>
      </c>
      <c r="H20" t="s">
        <v>37</v>
      </c>
      <c r="I20">
        <v>15</v>
      </c>
      <c r="J20" t="s">
        <v>24</v>
      </c>
      <c r="K20" t="s">
        <v>25</v>
      </c>
      <c r="L20" t="s">
        <v>58</v>
      </c>
      <c r="M20">
        <v>33</v>
      </c>
      <c r="N20">
        <v>120</v>
      </c>
      <c r="O20" t="s">
        <v>50</v>
      </c>
      <c r="P20">
        <v>30</v>
      </c>
      <c r="Q20">
        <v>60</v>
      </c>
      <c r="R20">
        <v>60</v>
      </c>
      <c r="S20">
        <v>90</v>
      </c>
      <c r="T20">
        <v>38</v>
      </c>
      <c r="U20" t="s">
        <v>28</v>
      </c>
      <c r="V20" s="2">
        <v>0.27500000000000002</v>
      </c>
      <c r="W20" s="2">
        <v>0.59166666666666667</v>
      </c>
      <c r="X20">
        <v>23</v>
      </c>
    </row>
    <row r="21" spans="1:24" x14ac:dyDescent="0.3">
      <c r="A21">
        <v>425</v>
      </c>
      <c r="B21">
        <v>48</v>
      </c>
      <c r="C21">
        <v>-13</v>
      </c>
      <c r="D21" s="1">
        <v>40937</v>
      </c>
      <c r="E21">
        <v>829</v>
      </c>
      <c r="F21">
        <v>71</v>
      </c>
      <c r="G21" t="s">
        <v>40</v>
      </c>
      <c r="H21" t="s">
        <v>37</v>
      </c>
      <c r="I21">
        <v>13</v>
      </c>
      <c r="J21" t="s">
        <v>24</v>
      </c>
      <c r="K21" t="s">
        <v>25</v>
      </c>
      <c r="L21" t="s">
        <v>26</v>
      </c>
      <c r="M21">
        <v>47</v>
      </c>
      <c r="N21">
        <v>119</v>
      </c>
      <c r="O21" t="s">
        <v>61</v>
      </c>
      <c r="P21">
        <v>30</v>
      </c>
      <c r="Q21">
        <v>60</v>
      </c>
      <c r="R21">
        <v>60</v>
      </c>
      <c r="S21">
        <v>90</v>
      </c>
      <c r="T21">
        <v>24</v>
      </c>
      <c r="U21" t="s">
        <v>28</v>
      </c>
      <c r="V21" s="2">
        <v>0.3949579831932773</v>
      </c>
      <c r="W21" s="2">
        <v>0.59663865546218486</v>
      </c>
      <c r="X21">
        <v>11</v>
      </c>
    </row>
    <row r="22" spans="1:24" x14ac:dyDescent="0.3">
      <c r="A22">
        <v>860</v>
      </c>
      <c r="B22">
        <v>40</v>
      </c>
      <c r="C22">
        <v>-14</v>
      </c>
      <c r="D22" s="1">
        <v>40938</v>
      </c>
      <c r="E22">
        <v>881</v>
      </c>
      <c r="F22">
        <v>59</v>
      </c>
      <c r="G22" t="s">
        <v>40</v>
      </c>
      <c r="H22" t="s">
        <v>32</v>
      </c>
      <c r="I22">
        <v>11</v>
      </c>
      <c r="J22" t="s">
        <v>24</v>
      </c>
      <c r="K22" t="s">
        <v>33</v>
      </c>
      <c r="L22" t="s">
        <v>34</v>
      </c>
      <c r="M22">
        <v>36</v>
      </c>
      <c r="N22">
        <v>99</v>
      </c>
      <c r="O22" t="s">
        <v>45</v>
      </c>
      <c r="P22">
        <v>40</v>
      </c>
      <c r="Q22">
        <v>60</v>
      </c>
      <c r="R22">
        <v>50</v>
      </c>
      <c r="S22">
        <v>100</v>
      </c>
      <c r="T22">
        <v>23</v>
      </c>
      <c r="U22" t="s">
        <v>36</v>
      </c>
      <c r="V22" s="2">
        <v>0.36363636363636365</v>
      </c>
      <c r="W22" s="2">
        <v>0.59595959595959591</v>
      </c>
      <c r="X22">
        <v>12</v>
      </c>
    </row>
    <row r="23" spans="1:24" x14ac:dyDescent="0.3">
      <c r="A23">
        <v>971</v>
      </c>
      <c r="B23">
        <v>82</v>
      </c>
      <c r="C23">
        <v>14</v>
      </c>
      <c r="D23" s="1">
        <v>40939</v>
      </c>
      <c r="E23">
        <v>788</v>
      </c>
      <c r="F23">
        <v>123</v>
      </c>
      <c r="G23" t="s">
        <v>40</v>
      </c>
      <c r="H23" t="s">
        <v>37</v>
      </c>
      <c r="I23">
        <v>27</v>
      </c>
      <c r="J23" t="s">
        <v>24</v>
      </c>
      <c r="K23" t="s">
        <v>33</v>
      </c>
      <c r="L23" t="s">
        <v>62</v>
      </c>
      <c r="M23">
        <v>64</v>
      </c>
      <c r="N23">
        <v>205</v>
      </c>
      <c r="O23" t="s">
        <v>57</v>
      </c>
      <c r="P23">
        <v>30</v>
      </c>
      <c r="Q23">
        <v>60</v>
      </c>
      <c r="R23">
        <v>50</v>
      </c>
      <c r="S23">
        <v>90</v>
      </c>
      <c r="T23">
        <v>59</v>
      </c>
      <c r="U23" t="s">
        <v>36</v>
      </c>
      <c r="V23" s="2">
        <v>0.31219512195121951</v>
      </c>
      <c r="W23" s="2">
        <v>0.6</v>
      </c>
      <c r="X23">
        <v>32</v>
      </c>
    </row>
    <row r="24" spans="1:24" x14ac:dyDescent="0.3">
      <c r="A24">
        <v>971</v>
      </c>
      <c r="B24">
        <v>91</v>
      </c>
      <c r="C24">
        <v>26</v>
      </c>
      <c r="D24" s="1">
        <v>40940</v>
      </c>
      <c r="E24">
        <v>656</v>
      </c>
      <c r="F24">
        <v>127</v>
      </c>
      <c r="G24" t="s">
        <v>40</v>
      </c>
      <c r="H24" t="s">
        <v>37</v>
      </c>
      <c r="I24">
        <v>28</v>
      </c>
      <c r="J24" t="s">
        <v>24</v>
      </c>
      <c r="K24" t="s">
        <v>33</v>
      </c>
      <c r="L24" t="s">
        <v>38</v>
      </c>
      <c r="M24">
        <v>76</v>
      </c>
      <c r="N24">
        <v>218</v>
      </c>
      <c r="O24" t="s">
        <v>57</v>
      </c>
      <c r="P24">
        <v>40</v>
      </c>
      <c r="Q24">
        <v>60</v>
      </c>
      <c r="R24">
        <v>50</v>
      </c>
      <c r="S24">
        <v>100</v>
      </c>
      <c r="T24">
        <v>51</v>
      </c>
      <c r="U24" t="s">
        <v>36</v>
      </c>
      <c r="V24" s="2">
        <v>0.34862385321100919</v>
      </c>
      <c r="W24" s="2">
        <v>0.58256880733944949</v>
      </c>
      <c r="X24">
        <v>23</v>
      </c>
    </row>
    <row r="25" spans="1:24" x14ac:dyDescent="0.3">
      <c r="A25">
        <v>915</v>
      </c>
      <c r="B25">
        <v>40</v>
      </c>
      <c r="C25">
        <v>-14</v>
      </c>
      <c r="D25" s="1">
        <v>40941</v>
      </c>
      <c r="E25">
        <v>536</v>
      </c>
      <c r="F25">
        <v>52</v>
      </c>
      <c r="G25" t="s">
        <v>22</v>
      </c>
      <c r="H25" t="s">
        <v>30</v>
      </c>
      <c r="I25">
        <v>13</v>
      </c>
      <c r="J25" t="s">
        <v>41</v>
      </c>
      <c r="K25" t="s">
        <v>46</v>
      </c>
      <c r="L25" t="s">
        <v>47</v>
      </c>
      <c r="M25">
        <v>26</v>
      </c>
      <c r="N25">
        <v>92</v>
      </c>
      <c r="O25" t="s">
        <v>31</v>
      </c>
      <c r="P25">
        <v>40</v>
      </c>
      <c r="Q25">
        <v>60</v>
      </c>
      <c r="R25">
        <v>40</v>
      </c>
      <c r="S25">
        <v>100</v>
      </c>
      <c r="T25">
        <v>26</v>
      </c>
      <c r="U25" t="s">
        <v>28</v>
      </c>
      <c r="V25" s="2">
        <v>0.28260869565217389</v>
      </c>
      <c r="W25" s="2">
        <v>0.56521739130434778</v>
      </c>
      <c r="X25">
        <v>13</v>
      </c>
    </row>
    <row r="26" spans="1:24" x14ac:dyDescent="0.3">
      <c r="A26">
        <v>210</v>
      </c>
      <c r="B26">
        <v>50</v>
      </c>
      <c r="C26">
        <v>8</v>
      </c>
      <c r="D26" s="1">
        <v>40942</v>
      </c>
      <c r="E26">
        <v>589</v>
      </c>
      <c r="F26">
        <v>73</v>
      </c>
      <c r="G26" t="s">
        <v>22</v>
      </c>
      <c r="H26" t="s">
        <v>30</v>
      </c>
      <c r="I26">
        <v>14</v>
      </c>
      <c r="J26" t="s">
        <v>41</v>
      </c>
      <c r="K26" t="s">
        <v>42</v>
      </c>
      <c r="L26" t="s">
        <v>43</v>
      </c>
      <c r="M26">
        <v>48</v>
      </c>
      <c r="N26">
        <v>123</v>
      </c>
      <c r="O26" t="s">
        <v>31</v>
      </c>
      <c r="P26">
        <v>30</v>
      </c>
      <c r="Q26">
        <v>60</v>
      </c>
      <c r="R26">
        <v>40</v>
      </c>
      <c r="S26">
        <v>90</v>
      </c>
      <c r="T26">
        <v>25</v>
      </c>
      <c r="U26" t="s">
        <v>28</v>
      </c>
      <c r="V26" s="2">
        <v>0.3902439024390244</v>
      </c>
      <c r="W26" s="2">
        <v>0.5934959349593496</v>
      </c>
      <c r="X26">
        <v>11</v>
      </c>
    </row>
    <row r="27" spans="1:24" x14ac:dyDescent="0.3">
      <c r="A27">
        <v>970</v>
      </c>
      <c r="B27">
        <v>40</v>
      </c>
      <c r="C27">
        <v>-13</v>
      </c>
      <c r="D27" s="1">
        <v>40943</v>
      </c>
      <c r="E27">
        <v>536</v>
      </c>
      <c r="F27">
        <v>52</v>
      </c>
      <c r="G27" t="s">
        <v>22</v>
      </c>
      <c r="H27" t="s">
        <v>23</v>
      </c>
      <c r="I27">
        <v>13</v>
      </c>
      <c r="J27" t="s">
        <v>41</v>
      </c>
      <c r="K27" t="s">
        <v>46</v>
      </c>
      <c r="L27" t="s">
        <v>53</v>
      </c>
      <c r="M27">
        <v>27</v>
      </c>
      <c r="N27">
        <v>92</v>
      </c>
      <c r="O27" t="s">
        <v>27</v>
      </c>
      <c r="P27">
        <v>30</v>
      </c>
      <c r="Q27">
        <v>60</v>
      </c>
      <c r="R27">
        <v>40</v>
      </c>
      <c r="S27">
        <v>90</v>
      </c>
      <c r="T27">
        <v>25</v>
      </c>
      <c r="U27" t="s">
        <v>36</v>
      </c>
      <c r="V27" s="2">
        <v>0.29347826086956524</v>
      </c>
      <c r="W27" s="2">
        <v>0.56521739130434778</v>
      </c>
      <c r="X27">
        <v>12</v>
      </c>
    </row>
    <row r="28" spans="1:24" x14ac:dyDescent="0.3">
      <c r="A28">
        <v>774</v>
      </c>
      <c r="B28">
        <v>52</v>
      </c>
      <c r="C28">
        <v>-8</v>
      </c>
      <c r="D28" s="1">
        <v>40944</v>
      </c>
      <c r="E28">
        <v>554</v>
      </c>
      <c r="F28">
        <v>68</v>
      </c>
      <c r="G28" t="s">
        <v>22</v>
      </c>
      <c r="H28" t="s">
        <v>32</v>
      </c>
      <c r="I28">
        <v>47</v>
      </c>
      <c r="J28" t="s">
        <v>41</v>
      </c>
      <c r="K28" t="s">
        <v>42</v>
      </c>
      <c r="L28" t="s">
        <v>54</v>
      </c>
      <c r="M28">
        <v>-8</v>
      </c>
      <c r="N28">
        <v>120</v>
      </c>
      <c r="O28" t="s">
        <v>63</v>
      </c>
      <c r="P28">
        <v>50</v>
      </c>
      <c r="Q28">
        <v>60</v>
      </c>
      <c r="R28">
        <v>0</v>
      </c>
      <c r="S28">
        <v>110</v>
      </c>
      <c r="T28">
        <v>76</v>
      </c>
      <c r="U28" t="s">
        <v>36</v>
      </c>
      <c r="V28" s="2">
        <v>-6.6666666666666666E-2</v>
      </c>
      <c r="W28" s="2">
        <v>0.56666666666666665</v>
      </c>
      <c r="X28">
        <v>29</v>
      </c>
    </row>
    <row r="29" spans="1:24" x14ac:dyDescent="0.3">
      <c r="A29">
        <v>954</v>
      </c>
      <c r="B29">
        <v>75</v>
      </c>
      <c r="C29">
        <v>14</v>
      </c>
      <c r="D29" s="1">
        <v>40945</v>
      </c>
      <c r="E29">
        <v>1063</v>
      </c>
      <c r="F29">
        <v>89</v>
      </c>
      <c r="G29" t="s">
        <v>22</v>
      </c>
      <c r="H29" t="s">
        <v>32</v>
      </c>
      <c r="I29">
        <v>23</v>
      </c>
      <c r="J29" t="s">
        <v>24</v>
      </c>
      <c r="K29" t="s">
        <v>25</v>
      </c>
      <c r="L29" t="s">
        <v>29</v>
      </c>
      <c r="M29">
        <v>44</v>
      </c>
      <c r="N29">
        <v>164</v>
      </c>
      <c r="O29" t="s">
        <v>35</v>
      </c>
      <c r="P29">
        <v>50</v>
      </c>
      <c r="Q29">
        <v>60</v>
      </c>
      <c r="R29">
        <v>30</v>
      </c>
      <c r="S29">
        <v>110</v>
      </c>
      <c r="T29">
        <v>45</v>
      </c>
      <c r="U29" t="s">
        <v>28</v>
      </c>
      <c r="V29" s="2">
        <v>0.26829268292682928</v>
      </c>
      <c r="W29" s="2">
        <v>0.54268292682926833</v>
      </c>
      <c r="X29">
        <v>22</v>
      </c>
    </row>
    <row r="30" spans="1:24" x14ac:dyDescent="0.3">
      <c r="A30">
        <v>936</v>
      </c>
      <c r="B30">
        <v>46</v>
      </c>
      <c r="C30">
        <v>1</v>
      </c>
      <c r="D30" s="1">
        <v>40946</v>
      </c>
      <c r="E30">
        <v>424</v>
      </c>
      <c r="F30">
        <v>68</v>
      </c>
      <c r="G30" t="s">
        <v>22</v>
      </c>
      <c r="H30" t="s">
        <v>30</v>
      </c>
      <c r="I30">
        <v>14</v>
      </c>
      <c r="J30" t="s">
        <v>24</v>
      </c>
      <c r="K30" t="s">
        <v>25</v>
      </c>
      <c r="L30" t="s">
        <v>26</v>
      </c>
      <c r="M30">
        <v>31</v>
      </c>
      <c r="N30">
        <v>114</v>
      </c>
      <c r="O30" t="s">
        <v>31</v>
      </c>
      <c r="P30">
        <v>40</v>
      </c>
      <c r="Q30">
        <v>60</v>
      </c>
      <c r="R30">
        <v>30</v>
      </c>
      <c r="S30">
        <v>100</v>
      </c>
      <c r="T30">
        <v>37</v>
      </c>
      <c r="U30" t="s">
        <v>28</v>
      </c>
      <c r="V30" s="2">
        <v>0.27192982456140352</v>
      </c>
      <c r="W30" s="2">
        <v>0.59649122807017541</v>
      </c>
      <c r="X30">
        <v>23</v>
      </c>
    </row>
    <row r="31" spans="1:24" x14ac:dyDescent="0.3">
      <c r="A31">
        <v>719</v>
      </c>
      <c r="B31">
        <v>55</v>
      </c>
      <c r="C31">
        <v>-5</v>
      </c>
      <c r="D31" s="1">
        <v>40947</v>
      </c>
      <c r="E31">
        <v>410</v>
      </c>
      <c r="F31">
        <v>69</v>
      </c>
      <c r="G31" t="s">
        <v>22</v>
      </c>
      <c r="H31" t="s">
        <v>23</v>
      </c>
      <c r="I31">
        <v>20</v>
      </c>
      <c r="J31" t="s">
        <v>24</v>
      </c>
      <c r="K31" t="s">
        <v>33</v>
      </c>
      <c r="L31" t="s">
        <v>34</v>
      </c>
      <c r="M31">
        <v>15</v>
      </c>
      <c r="N31">
        <v>124</v>
      </c>
      <c r="O31" t="s">
        <v>27</v>
      </c>
      <c r="P31">
        <v>40</v>
      </c>
      <c r="Q31">
        <v>60</v>
      </c>
      <c r="R31">
        <v>20</v>
      </c>
      <c r="S31">
        <v>100</v>
      </c>
      <c r="T31">
        <v>54</v>
      </c>
      <c r="U31" t="s">
        <v>36</v>
      </c>
      <c r="V31" s="2">
        <v>0.12096774193548387</v>
      </c>
      <c r="W31" s="2">
        <v>0.55645161290322576</v>
      </c>
      <c r="X31">
        <v>34</v>
      </c>
    </row>
    <row r="32" spans="1:24" x14ac:dyDescent="0.3">
      <c r="A32">
        <v>847</v>
      </c>
      <c r="B32">
        <v>50</v>
      </c>
      <c r="C32">
        <v>8</v>
      </c>
      <c r="D32" s="1">
        <v>40948</v>
      </c>
      <c r="E32">
        <v>589</v>
      </c>
      <c r="F32">
        <v>73</v>
      </c>
      <c r="G32" t="s">
        <v>22</v>
      </c>
      <c r="H32" t="s">
        <v>23</v>
      </c>
      <c r="I32">
        <v>14</v>
      </c>
      <c r="J32" t="s">
        <v>24</v>
      </c>
      <c r="K32" t="s">
        <v>33</v>
      </c>
      <c r="L32" t="s">
        <v>34</v>
      </c>
      <c r="M32">
        <v>48</v>
      </c>
      <c r="N32">
        <v>123</v>
      </c>
      <c r="O32" t="s">
        <v>64</v>
      </c>
      <c r="P32">
        <v>40</v>
      </c>
      <c r="Q32">
        <v>60</v>
      </c>
      <c r="R32">
        <v>40</v>
      </c>
      <c r="S32">
        <v>100</v>
      </c>
      <c r="T32">
        <v>25</v>
      </c>
      <c r="U32" t="s">
        <v>36</v>
      </c>
      <c r="V32" s="2">
        <v>0.3902439024390244</v>
      </c>
      <c r="W32" s="2">
        <v>0.5934959349593496</v>
      </c>
      <c r="X32">
        <v>11</v>
      </c>
    </row>
    <row r="33" spans="1:24" x14ac:dyDescent="0.3">
      <c r="A33">
        <v>719</v>
      </c>
      <c r="B33">
        <v>57</v>
      </c>
      <c r="C33">
        <v>-1</v>
      </c>
      <c r="D33" s="1">
        <v>40949</v>
      </c>
      <c r="E33">
        <v>1042</v>
      </c>
      <c r="F33">
        <v>68</v>
      </c>
      <c r="G33" t="s">
        <v>22</v>
      </c>
      <c r="H33" t="s">
        <v>23</v>
      </c>
      <c r="I33">
        <v>17</v>
      </c>
      <c r="J33" t="s">
        <v>24</v>
      </c>
      <c r="K33" t="s">
        <v>33</v>
      </c>
      <c r="L33" t="s">
        <v>62</v>
      </c>
      <c r="M33">
        <v>29</v>
      </c>
      <c r="N33">
        <v>125</v>
      </c>
      <c r="O33" t="s">
        <v>27</v>
      </c>
      <c r="P33">
        <v>40</v>
      </c>
      <c r="Q33">
        <v>60</v>
      </c>
      <c r="R33">
        <v>30</v>
      </c>
      <c r="S33">
        <v>100</v>
      </c>
      <c r="T33">
        <v>39</v>
      </c>
      <c r="U33" t="s">
        <v>36</v>
      </c>
      <c r="V33" s="2">
        <v>0.23200000000000001</v>
      </c>
      <c r="W33" s="2">
        <v>0.54400000000000004</v>
      </c>
      <c r="X33">
        <v>22</v>
      </c>
    </row>
    <row r="34" spans="1:24" x14ac:dyDescent="0.3">
      <c r="A34">
        <v>339</v>
      </c>
      <c r="B34">
        <v>36</v>
      </c>
      <c r="C34">
        <v>-9</v>
      </c>
      <c r="D34" s="1">
        <v>40950</v>
      </c>
      <c r="E34">
        <v>862</v>
      </c>
      <c r="F34">
        <v>52</v>
      </c>
      <c r="G34" t="s">
        <v>22</v>
      </c>
      <c r="H34" t="s">
        <v>32</v>
      </c>
      <c r="I34">
        <v>10</v>
      </c>
      <c r="J34" t="s">
        <v>24</v>
      </c>
      <c r="K34" t="s">
        <v>33</v>
      </c>
      <c r="L34" t="s">
        <v>34</v>
      </c>
      <c r="M34">
        <v>31</v>
      </c>
      <c r="N34">
        <v>88</v>
      </c>
      <c r="O34" t="s">
        <v>63</v>
      </c>
      <c r="P34">
        <v>30</v>
      </c>
      <c r="Q34">
        <v>60</v>
      </c>
      <c r="R34">
        <v>40</v>
      </c>
      <c r="S34">
        <v>90</v>
      </c>
      <c r="T34">
        <v>21</v>
      </c>
      <c r="U34" t="s">
        <v>36</v>
      </c>
      <c r="V34" s="2">
        <v>0.35227272727272729</v>
      </c>
      <c r="W34" s="2">
        <v>0.59090909090909094</v>
      </c>
      <c r="X34">
        <v>11</v>
      </c>
    </row>
    <row r="35" spans="1:24" x14ac:dyDescent="0.3">
      <c r="A35">
        <v>314</v>
      </c>
      <c r="B35">
        <v>33</v>
      </c>
      <c r="C35">
        <v>-23</v>
      </c>
      <c r="D35" s="1">
        <v>40951</v>
      </c>
      <c r="E35">
        <v>836</v>
      </c>
      <c r="F35">
        <v>48</v>
      </c>
      <c r="G35" t="s">
        <v>40</v>
      </c>
      <c r="H35" t="s">
        <v>23</v>
      </c>
      <c r="I35">
        <v>9</v>
      </c>
      <c r="J35" t="s">
        <v>41</v>
      </c>
      <c r="K35" t="s">
        <v>42</v>
      </c>
      <c r="L35" t="s">
        <v>43</v>
      </c>
      <c r="M35">
        <v>27</v>
      </c>
      <c r="N35">
        <v>81</v>
      </c>
      <c r="O35" t="s">
        <v>59</v>
      </c>
      <c r="P35">
        <v>40</v>
      </c>
      <c r="Q35">
        <v>60</v>
      </c>
      <c r="R35">
        <v>50</v>
      </c>
      <c r="S35">
        <v>100</v>
      </c>
      <c r="T35">
        <v>21</v>
      </c>
      <c r="U35" t="s">
        <v>28</v>
      </c>
      <c r="V35" s="2">
        <v>0.33333333333333331</v>
      </c>
      <c r="W35" s="2">
        <v>0.59259259259259256</v>
      </c>
      <c r="X35">
        <v>12</v>
      </c>
    </row>
    <row r="36" spans="1:24" x14ac:dyDescent="0.3">
      <c r="A36">
        <v>504</v>
      </c>
      <c r="B36">
        <v>31</v>
      </c>
      <c r="C36">
        <v>-22</v>
      </c>
      <c r="D36" s="1">
        <v>40952</v>
      </c>
      <c r="E36">
        <v>856</v>
      </c>
      <c r="F36">
        <v>47</v>
      </c>
      <c r="G36" t="s">
        <v>40</v>
      </c>
      <c r="H36" t="s">
        <v>30</v>
      </c>
      <c r="I36">
        <v>8</v>
      </c>
      <c r="J36" t="s">
        <v>41</v>
      </c>
      <c r="K36" t="s">
        <v>46</v>
      </c>
      <c r="L36" t="s">
        <v>47</v>
      </c>
      <c r="M36">
        <v>28</v>
      </c>
      <c r="N36">
        <v>78</v>
      </c>
      <c r="O36" t="s">
        <v>56</v>
      </c>
      <c r="P36">
        <v>30</v>
      </c>
      <c r="Q36">
        <v>60</v>
      </c>
      <c r="R36">
        <v>50</v>
      </c>
      <c r="S36">
        <v>90</v>
      </c>
      <c r="T36">
        <v>19</v>
      </c>
      <c r="U36" t="s">
        <v>28</v>
      </c>
      <c r="V36" s="2">
        <v>0.35897435897435898</v>
      </c>
      <c r="W36" s="2">
        <v>0.60256410256410253</v>
      </c>
      <c r="X36">
        <v>11</v>
      </c>
    </row>
    <row r="37" spans="1:24" x14ac:dyDescent="0.3">
      <c r="A37">
        <v>580</v>
      </c>
      <c r="B37">
        <v>36</v>
      </c>
      <c r="C37">
        <v>-10</v>
      </c>
      <c r="D37" s="1">
        <v>40953</v>
      </c>
      <c r="E37">
        <v>862</v>
      </c>
      <c r="F37">
        <v>52</v>
      </c>
      <c r="G37" t="s">
        <v>40</v>
      </c>
      <c r="H37" t="s">
        <v>30</v>
      </c>
      <c r="I37">
        <v>10</v>
      </c>
      <c r="J37" t="s">
        <v>41</v>
      </c>
      <c r="K37" t="s">
        <v>46</v>
      </c>
      <c r="L37" t="s">
        <v>47</v>
      </c>
      <c r="M37">
        <v>30</v>
      </c>
      <c r="N37">
        <v>88</v>
      </c>
      <c r="O37" t="s">
        <v>48</v>
      </c>
      <c r="P37">
        <v>40</v>
      </c>
      <c r="Q37">
        <v>60</v>
      </c>
      <c r="R37">
        <v>40</v>
      </c>
      <c r="S37">
        <v>100</v>
      </c>
      <c r="T37">
        <v>22</v>
      </c>
      <c r="U37" t="s">
        <v>28</v>
      </c>
      <c r="V37" s="2">
        <v>0.34090909090909088</v>
      </c>
      <c r="W37" s="2">
        <v>0.59090909090909094</v>
      </c>
      <c r="X37">
        <v>12</v>
      </c>
    </row>
    <row r="38" spans="1:24" x14ac:dyDescent="0.3">
      <c r="A38">
        <v>225</v>
      </c>
      <c r="B38">
        <v>49</v>
      </c>
      <c r="C38">
        <v>4</v>
      </c>
      <c r="D38" s="1">
        <v>40954</v>
      </c>
      <c r="E38">
        <v>454</v>
      </c>
      <c r="F38">
        <v>71</v>
      </c>
      <c r="G38" t="s">
        <v>40</v>
      </c>
      <c r="H38" t="s">
        <v>30</v>
      </c>
      <c r="I38">
        <v>15</v>
      </c>
      <c r="J38" t="s">
        <v>41</v>
      </c>
      <c r="K38" t="s">
        <v>42</v>
      </c>
      <c r="L38" t="s">
        <v>43</v>
      </c>
      <c r="M38">
        <v>34</v>
      </c>
      <c r="N38">
        <v>120</v>
      </c>
      <c r="O38" t="s">
        <v>56</v>
      </c>
      <c r="P38">
        <v>30</v>
      </c>
      <c r="Q38">
        <v>60</v>
      </c>
      <c r="R38">
        <v>30</v>
      </c>
      <c r="S38">
        <v>90</v>
      </c>
      <c r="T38">
        <v>37</v>
      </c>
      <c r="U38" t="s">
        <v>28</v>
      </c>
      <c r="V38" s="2">
        <v>0.28333333333333333</v>
      </c>
      <c r="W38" s="2">
        <v>0.59166666666666667</v>
      </c>
      <c r="X38">
        <v>22</v>
      </c>
    </row>
    <row r="39" spans="1:24" x14ac:dyDescent="0.3">
      <c r="A39">
        <v>262</v>
      </c>
      <c r="B39">
        <v>54</v>
      </c>
      <c r="C39">
        <v>-6</v>
      </c>
      <c r="D39" s="1">
        <v>40955</v>
      </c>
      <c r="E39">
        <v>391</v>
      </c>
      <c r="F39">
        <v>67</v>
      </c>
      <c r="G39" t="s">
        <v>40</v>
      </c>
      <c r="H39" t="s">
        <v>23</v>
      </c>
      <c r="I39">
        <v>20</v>
      </c>
      <c r="J39" t="s">
        <v>41</v>
      </c>
      <c r="K39" t="s">
        <v>46</v>
      </c>
      <c r="L39" t="s">
        <v>51</v>
      </c>
      <c r="M39">
        <v>14</v>
      </c>
      <c r="N39">
        <v>121</v>
      </c>
      <c r="O39" t="s">
        <v>60</v>
      </c>
      <c r="P39">
        <v>50</v>
      </c>
      <c r="Q39">
        <v>60</v>
      </c>
      <c r="R39">
        <v>20</v>
      </c>
      <c r="S39">
        <v>110</v>
      </c>
      <c r="T39">
        <v>53</v>
      </c>
      <c r="U39" t="s">
        <v>36</v>
      </c>
      <c r="V39" s="2">
        <v>0.11570247933884298</v>
      </c>
      <c r="W39" s="2">
        <v>0.55371900826446285</v>
      </c>
      <c r="X39">
        <v>33</v>
      </c>
    </row>
    <row r="40" spans="1:24" x14ac:dyDescent="0.3">
      <c r="A40">
        <v>603</v>
      </c>
      <c r="B40">
        <v>46</v>
      </c>
      <c r="C40">
        <v>-10</v>
      </c>
      <c r="D40" s="1">
        <v>40956</v>
      </c>
      <c r="E40">
        <v>316</v>
      </c>
      <c r="F40">
        <v>67</v>
      </c>
      <c r="G40" t="s">
        <v>40</v>
      </c>
      <c r="H40" t="s">
        <v>32</v>
      </c>
      <c r="I40">
        <v>14</v>
      </c>
      <c r="J40" t="s">
        <v>41</v>
      </c>
      <c r="K40" t="s">
        <v>46</v>
      </c>
      <c r="L40" t="s">
        <v>51</v>
      </c>
      <c r="M40">
        <v>30</v>
      </c>
      <c r="N40">
        <v>113</v>
      </c>
      <c r="O40" t="s">
        <v>52</v>
      </c>
      <c r="P40">
        <v>40</v>
      </c>
      <c r="Q40">
        <v>60</v>
      </c>
      <c r="R40">
        <v>40</v>
      </c>
      <c r="S40">
        <v>100</v>
      </c>
      <c r="T40">
        <v>37</v>
      </c>
      <c r="U40" t="s">
        <v>36</v>
      </c>
      <c r="V40" s="2">
        <v>0.26548672566371684</v>
      </c>
      <c r="W40" s="2">
        <v>0.59292035398230092</v>
      </c>
      <c r="X40">
        <v>23</v>
      </c>
    </row>
    <row r="41" spans="1:24" x14ac:dyDescent="0.3">
      <c r="A41">
        <v>603</v>
      </c>
      <c r="B41">
        <v>43</v>
      </c>
      <c r="C41">
        <v>-10</v>
      </c>
      <c r="D41" s="1">
        <v>40957</v>
      </c>
      <c r="E41">
        <v>452</v>
      </c>
      <c r="F41">
        <v>66</v>
      </c>
      <c r="G41" t="s">
        <v>40</v>
      </c>
      <c r="H41" t="s">
        <v>32</v>
      </c>
      <c r="I41">
        <v>14</v>
      </c>
      <c r="J41" t="s">
        <v>41</v>
      </c>
      <c r="K41" t="s">
        <v>46</v>
      </c>
      <c r="L41" t="s">
        <v>53</v>
      </c>
      <c r="M41">
        <v>20</v>
      </c>
      <c r="N41">
        <v>109</v>
      </c>
      <c r="O41" t="s">
        <v>52</v>
      </c>
      <c r="P41">
        <v>30</v>
      </c>
      <c r="Q41">
        <v>60</v>
      </c>
      <c r="R41">
        <v>30</v>
      </c>
      <c r="S41">
        <v>90</v>
      </c>
      <c r="T41">
        <v>46</v>
      </c>
      <c r="U41" t="s">
        <v>36</v>
      </c>
      <c r="V41" s="2">
        <v>0.1834862385321101</v>
      </c>
      <c r="W41" s="2">
        <v>0.60550458715596334</v>
      </c>
      <c r="X41">
        <v>32</v>
      </c>
    </row>
    <row r="42" spans="1:24" x14ac:dyDescent="0.3">
      <c r="A42">
        <v>603</v>
      </c>
      <c r="B42">
        <v>44</v>
      </c>
      <c r="C42">
        <v>-18</v>
      </c>
      <c r="D42" s="1">
        <v>40958</v>
      </c>
      <c r="E42">
        <v>325</v>
      </c>
      <c r="F42">
        <v>62</v>
      </c>
      <c r="G42" t="s">
        <v>40</v>
      </c>
      <c r="H42" t="s">
        <v>32</v>
      </c>
      <c r="I42">
        <v>40</v>
      </c>
      <c r="J42" t="s">
        <v>41</v>
      </c>
      <c r="K42" t="s">
        <v>42</v>
      </c>
      <c r="L42" t="s">
        <v>54</v>
      </c>
      <c r="M42">
        <v>-8</v>
      </c>
      <c r="N42">
        <v>106</v>
      </c>
      <c r="O42" t="s">
        <v>52</v>
      </c>
      <c r="P42">
        <v>40</v>
      </c>
      <c r="Q42">
        <v>60</v>
      </c>
      <c r="R42">
        <v>10</v>
      </c>
      <c r="S42">
        <v>100</v>
      </c>
      <c r="T42">
        <v>70</v>
      </c>
      <c r="U42" t="s">
        <v>36</v>
      </c>
      <c r="V42" s="2">
        <v>-7.5471698113207544E-2</v>
      </c>
      <c r="W42" s="2">
        <v>0.58490566037735847</v>
      </c>
      <c r="X42">
        <v>30</v>
      </c>
    </row>
    <row r="43" spans="1:24" x14ac:dyDescent="0.3">
      <c r="A43">
        <v>225</v>
      </c>
      <c r="B43">
        <v>53</v>
      </c>
      <c r="C43">
        <v>19</v>
      </c>
      <c r="D43" s="1">
        <v>40959</v>
      </c>
      <c r="E43">
        <v>321</v>
      </c>
      <c r="F43">
        <v>88</v>
      </c>
      <c r="G43" t="s">
        <v>40</v>
      </c>
      <c r="H43" t="s">
        <v>30</v>
      </c>
      <c r="I43">
        <v>16</v>
      </c>
      <c r="J43" t="s">
        <v>41</v>
      </c>
      <c r="K43" t="s">
        <v>42</v>
      </c>
      <c r="L43" t="s">
        <v>54</v>
      </c>
      <c r="M43">
        <v>49</v>
      </c>
      <c r="N43">
        <v>141</v>
      </c>
      <c r="O43" t="s">
        <v>56</v>
      </c>
      <c r="P43">
        <v>40</v>
      </c>
      <c r="Q43">
        <v>60</v>
      </c>
      <c r="R43">
        <v>30</v>
      </c>
      <c r="S43">
        <v>100</v>
      </c>
      <c r="T43">
        <v>39</v>
      </c>
      <c r="U43" t="s">
        <v>36</v>
      </c>
      <c r="V43" s="2">
        <v>0.3475177304964539</v>
      </c>
      <c r="W43" s="2">
        <v>0.62411347517730498</v>
      </c>
      <c r="X43">
        <v>23</v>
      </c>
    </row>
    <row r="44" spans="1:24" x14ac:dyDescent="0.3">
      <c r="A44">
        <v>425</v>
      </c>
      <c r="B44">
        <v>54</v>
      </c>
      <c r="C44">
        <v>-7</v>
      </c>
      <c r="D44" s="1">
        <v>40960</v>
      </c>
      <c r="E44">
        <v>391</v>
      </c>
      <c r="F44">
        <v>67</v>
      </c>
      <c r="G44" t="s">
        <v>40</v>
      </c>
      <c r="H44" t="s">
        <v>37</v>
      </c>
      <c r="I44">
        <v>20</v>
      </c>
      <c r="J44" t="s">
        <v>41</v>
      </c>
      <c r="K44" t="s">
        <v>42</v>
      </c>
      <c r="L44" t="s">
        <v>54</v>
      </c>
      <c r="M44">
        <v>13</v>
      </c>
      <c r="N44">
        <v>121</v>
      </c>
      <c r="O44" t="s">
        <v>61</v>
      </c>
      <c r="P44">
        <v>50</v>
      </c>
      <c r="Q44">
        <v>60</v>
      </c>
      <c r="R44">
        <v>20</v>
      </c>
      <c r="S44">
        <v>110</v>
      </c>
      <c r="T44">
        <v>54</v>
      </c>
      <c r="U44" t="s">
        <v>36</v>
      </c>
      <c r="V44" s="2">
        <v>0.10743801652892562</v>
      </c>
      <c r="W44" s="2">
        <v>0.55371900826446285</v>
      </c>
      <c r="X44">
        <v>34</v>
      </c>
    </row>
    <row r="45" spans="1:24" x14ac:dyDescent="0.3">
      <c r="A45">
        <v>918</v>
      </c>
      <c r="B45">
        <v>54</v>
      </c>
      <c r="C45">
        <v>-7</v>
      </c>
      <c r="D45" s="1">
        <v>40961</v>
      </c>
      <c r="E45">
        <v>391</v>
      </c>
      <c r="F45">
        <v>67</v>
      </c>
      <c r="G45" t="s">
        <v>40</v>
      </c>
      <c r="H45" t="s">
        <v>30</v>
      </c>
      <c r="I45">
        <v>20</v>
      </c>
      <c r="J45" t="s">
        <v>24</v>
      </c>
      <c r="K45" t="s">
        <v>25</v>
      </c>
      <c r="L45" t="s">
        <v>58</v>
      </c>
      <c r="M45">
        <v>13</v>
      </c>
      <c r="N45">
        <v>121</v>
      </c>
      <c r="O45" t="s">
        <v>48</v>
      </c>
      <c r="P45">
        <v>50</v>
      </c>
      <c r="Q45">
        <v>60</v>
      </c>
      <c r="R45">
        <v>20</v>
      </c>
      <c r="S45">
        <v>110</v>
      </c>
      <c r="T45">
        <v>54</v>
      </c>
      <c r="U45" t="s">
        <v>28</v>
      </c>
      <c r="V45" s="2">
        <v>0.10743801652892562</v>
      </c>
      <c r="W45" s="2">
        <v>0.55371900826446285</v>
      </c>
      <c r="X45">
        <v>34</v>
      </c>
    </row>
    <row r="46" spans="1:24" x14ac:dyDescent="0.3">
      <c r="A46">
        <v>801</v>
      </c>
      <c r="B46">
        <v>46</v>
      </c>
      <c r="C46">
        <v>0</v>
      </c>
      <c r="D46" s="1">
        <v>40962</v>
      </c>
      <c r="E46">
        <v>316</v>
      </c>
      <c r="F46">
        <v>67</v>
      </c>
      <c r="G46" t="s">
        <v>40</v>
      </c>
      <c r="H46" t="s">
        <v>37</v>
      </c>
      <c r="I46">
        <v>14</v>
      </c>
      <c r="J46" t="s">
        <v>24</v>
      </c>
      <c r="K46" t="s">
        <v>25</v>
      </c>
      <c r="L46" t="s">
        <v>58</v>
      </c>
      <c r="M46">
        <v>30</v>
      </c>
      <c r="N46">
        <v>113</v>
      </c>
      <c r="O46" t="s">
        <v>50</v>
      </c>
      <c r="P46">
        <v>40</v>
      </c>
      <c r="Q46">
        <v>60</v>
      </c>
      <c r="R46">
        <v>30</v>
      </c>
      <c r="S46">
        <v>100</v>
      </c>
      <c r="T46">
        <v>37</v>
      </c>
      <c r="U46" t="s">
        <v>28</v>
      </c>
      <c r="V46" s="2">
        <v>0.26548672566371684</v>
      </c>
      <c r="W46" s="2">
        <v>0.59292035398230092</v>
      </c>
      <c r="X46">
        <v>23</v>
      </c>
    </row>
    <row r="47" spans="1:24" x14ac:dyDescent="0.3">
      <c r="A47">
        <v>435</v>
      </c>
      <c r="B47">
        <v>43</v>
      </c>
      <c r="C47">
        <v>-10</v>
      </c>
      <c r="D47" s="1">
        <v>40963</v>
      </c>
      <c r="E47">
        <v>452</v>
      </c>
      <c r="F47">
        <v>66</v>
      </c>
      <c r="G47" t="s">
        <v>40</v>
      </c>
      <c r="H47" t="s">
        <v>37</v>
      </c>
      <c r="I47">
        <v>14</v>
      </c>
      <c r="J47" t="s">
        <v>24</v>
      </c>
      <c r="K47" t="s">
        <v>25</v>
      </c>
      <c r="L47" t="s">
        <v>26</v>
      </c>
      <c r="M47">
        <v>20</v>
      </c>
      <c r="N47">
        <v>109</v>
      </c>
      <c r="O47" t="s">
        <v>50</v>
      </c>
      <c r="P47">
        <v>40</v>
      </c>
      <c r="Q47">
        <v>60</v>
      </c>
      <c r="R47">
        <v>30</v>
      </c>
      <c r="S47">
        <v>100</v>
      </c>
      <c r="T47">
        <v>46</v>
      </c>
      <c r="U47" t="s">
        <v>28</v>
      </c>
      <c r="V47" s="2">
        <v>0.1834862385321101</v>
      </c>
      <c r="W47" s="2">
        <v>0.60550458715596334</v>
      </c>
      <c r="X47">
        <v>32</v>
      </c>
    </row>
    <row r="48" spans="1:24" x14ac:dyDescent="0.3">
      <c r="A48">
        <v>509</v>
      </c>
      <c r="B48">
        <v>47</v>
      </c>
      <c r="C48">
        <v>4</v>
      </c>
      <c r="D48" s="1">
        <v>40964</v>
      </c>
      <c r="E48">
        <v>834</v>
      </c>
      <c r="F48">
        <v>68</v>
      </c>
      <c r="G48" t="s">
        <v>40</v>
      </c>
      <c r="H48" t="s">
        <v>37</v>
      </c>
      <c r="I48">
        <v>13</v>
      </c>
      <c r="J48" t="s">
        <v>24</v>
      </c>
      <c r="K48" t="s">
        <v>25</v>
      </c>
      <c r="L48" t="s">
        <v>26</v>
      </c>
      <c r="M48">
        <v>44</v>
      </c>
      <c r="N48">
        <v>115</v>
      </c>
      <c r="O48" t="s">
        <v>61</v>
      </c>
      <c r="P48">
        <v>40</v>
      </c>
      <c r="Q48">
        <v>60</v>
      </c>
      <c r="R48">
        <v>40</v>
      </c>
      <c r="S48">
        <v>100</v>
      </c>
      <c r="T48">
        <v>24</v>
      </c>
      <c r="U48" t="s">
        <v>28</v>
      </c>
      <c r="V48" s="2">
        <v>0.38260869565217392</v>
      </c>
      <c r="W48" s="2">
        <v>0.59130434782608698</v>
      </c>
      <c r="X48">
        <v>11</v>
      </c>
    </row>
    <row r="49" spans="1:24" x14ac:dyDescent="0.3">
      <c r="A49">
        <v>203</v>
      </c>
      <c r="B49">
        <v>36</v>
      </c>
      <c r="C49">
        <v>-7</v>
      </c>
      <c r="D49" s="1">
        <v>40965</v>
      </c>
      <c r="E49">
        <v>809</v>
      </c>
      <c r="F49">
        <v>54</v>
      </c>
      <c r="G49" t="s">
        <v>40</v>
      </c>
      <c r="H49" t="s">
        <v>32</v>
      </c>
      <c r="I49">
        <v>10</v>
      </c>
      <c r="J49" t="s">
        <v>24</v>
      </c>
      <c r="K49" t="s">
        <v>33</v>
      </c>
      <c r="L49" t="s">
        <v>38</v>
      </c>
      <c r="M49">
        <v>33</v>
      </c>
      <c r="N49">
        <v>90</v>
      </c>
      <c r="O49" t="s">
        <v>45</v>
      </c>
      <c r="P49">
        <v>30</v>
      </c>
      <c r="Q49">
        <v>60</v>
      </c>
      <c r="R49">
        <v>40</v>
      </c>
      <c r="S49">
        <v>90</v>
      </c>
      <c r="T49">
        <v>21</v>
      </c>
      <c r="U49" t="s">
        <v>36</v>
      </c>
      <c r="V49" s="2">
        <v>0.36666666666666664</v>
      </c>
      <c r="W49" s="2">
        <v>0.6</v>
      </c>
      <c r="X49">
        <v>11</v>
      </c>
    </row>
    <row r="50" spans="1:24" x14ac:dyDescent="0.3">
      <c r="A50">
        <v>206</v>
      </c>
      <c r="B50">
        <v>61</v>
      </c>
      <c r="C50">
        <v>1</v>
      </c>
      <c r="D50" s="1">
        <v>40966</v>
      </c>
      <c r="E50">
        <v>613</v>
      </c>
      <c r="F50">
        <v>86</v>
      </c>
      <c r="G50" t="s">
        <v>40</v>
      </c>
      <c r="H50" t="s">
        <v>37</v>
      </c>
      <c r="I50">
        <v>55</v>
      </c>
      <c r="J50" t="s">
        <v>24</v>
      </c>
      <c r="K50" t="s">
        <v>33</v>
      </c>
      <c r="L50" t="s">
        <v>38</v>
      </c>
      <c r="M50">
        <v>1</v>
      </c>
      <c r="N50">
        <v>147</v>
      </c>
      <c r="O50" t="s">
        <v>61</v>
      </c>
      <c r="P50">
        <v>40</v>
      </c>
      <c r="Q50">
        <v>60</v>
      </c>
      <c r="R50">
        <v>0</v>
      </c>
      <c r="S50">
        <v>100</v>
      </c>
      <c r="T50">
        <v>85</v>
      </c>
      <c r="U50" t="s">
        <v>36</v>
      </c>
      <c r="V50" s="2">
        <v>6.8027210884353739E-3</v>
      </c>
      <c r="W50" s="2">
        <v>0.58503401360544216</v>
      </c>
      <c r="X50">
        <v>30</v>
      </c>
    </row>
    <row r="51" spans="1:24" x14ac:dyDescent="0.3">
      <c r="A51">
        <v>682</v>
      </c>
      <c r="B51">
        <v>43</v>
      </c>
      <c r="C51">
        <v>-10</v>
      </c>
      <c r="D51" s="1">
        <v>40967</v>
      </c>
      <c r="E51">
        <v>531</v>
      </c>
      <c r="F51">
        <v>56</v>
      </c>
      <c r="G51" t="s">
        <v>22</v>
      </c>
      <c r="H51" t="s">
        <v>30</v>
      </c>
      <c r="I51">
        <v>14</v>
      </c>
      <c r="J51" t="s">
        <v>41</v>
      </c>
      <c r="K51" t="s">
        <v>46</v>
      </c>
      <c r="L51" t="s">
        <v>47</v>
      </c>
      <c r="M51">
        <v>30</v>
      </c>
      <c r="N51">
        <v>99</v>
      </c>
      <c r="O51" t="s">
        <v>31</v>
      </c>
      <c r="P51">
        <v>50</v>
      </c>
      <c r="Q51">
        <v>60</v>
      </c>
      <c r="R51">
        <v>40</v>
      </c>
      <c r="S51">
        <v>110</v>
      </c>
      <c r="T51">
        <v>26</v>
      </c>
      <c r="U51" t="s">
        <v>28</v>
      </c>
      <c r="V51" s="2">
        <v>0.30303030303030304</v>
      </c>
      <c r="W51" s="2">
        <v>0.56565656565656564</v>
      </c>
      <c r="X51">
        <v>12</v>
      </c>
    </row>
    <row r="52" spans="1:24" x14ac:dyDescent="0.3">
      <c r="A52">
        <v>214</v>
      </c>
      <c r="B52">
        <v>54</v>
      </c>
      <c r="C52">
        <v>12</v>
      </c>
      <c r="D52" s="1">
        <v>40968</v>
      </c>
      <c r="E52">
        <v>601</v>
      </c>
      <c r="F52">
        <v>79</v>
      </c>
      <c r="G52" t="s">
        <v>22</v>
      </c>
      <c r="H52" t="s">
        <v>30</v>
      </c>
      <c r="I52">
        <v>15</v>
      </c>
      <c r="J52" t="s">
        <v>41</v>
      </c>
      <c r="K52" t="s">
        <v>42</v>
      </c>
      <c r="L52" t="s">
        <v>43</v>
      </c>
      <c r="M52">
        <v>52</v>
      </c>
      <c r="N52">
        <v>133</v>
      </c>
      <c r="O52" t="s">
        <v>31</v>
      </c>
      <c r="P52">
        <v>40</v>
      </c>
      <c r="Q52">
        <v>60</v>
      </c>
      <c r="R52">
        <v>40</v>
      </c>
      <c r="S52">
        <v>100</v>
      </c>
      <c r="T52">
        <v>27</v>
      </c>
      <c r="U52" t="s">
        <v>28</v>
      </c>
      <c r="V52" s="2">
        <v>0.39097744360902253</v>
      </c>
      <c r="W52" s="2">
        <v>0.59398496240601506</v>
      </c>
      <c r="X52">
        <v>12</v>
      </c>
    </row>
    <row r="53" spans="1:24" x14ac:dyDescent="0.3">
      <c r="A53">
        <v>970</v>
      </c>
      <c r="B53">
        <v>47</v>
      </c>
      <c r="C53">
        <v>-6</v>
      </c>
      <c r="D53" s="1">
        <v>40969</v>
      </c>
      <c r="E53">
        <v>521</v>
      </c>
      <c r="F53">
        <v>65</v>
      </c>
      <c r="G53" t="s">
        <v>22</v>
      </c>
      <c r="H53" t="s">
        <v>23</v>
      </c>
      <c r="I53">
        <v>42</v>
      </c>
      <c r="J53" t="s">
        <v>24</v>
      </c>
      <c r="K53" t="s">
        <v>25</v>
      </c>
      <c r="L53" t="s">
        <v>26</v>
      </c>
      <c r="M53">
        <v>-6</v>
      </c>
      <c r="N53">
        <v>112</v>
      </c>
      <c r="O53" t="s">
        <v>27</v>
      </c>
      <c r="P53">
        <v>40</v>
      </c>
      <c r="Q53">
        <v>60</v>
      </c>
      <c r="R53">
        <v>0</v>
      </c>
      <c r="S53">
        <v>100</v>
      </c>
      <c r="T53">
        <v>71</v>
      </c>
      <c r="U53" t="s">
        <v>28</v>
      </c>
      <c r="V53" s="2">
        <v>-5.3571428571428568E-2</v>
      </c>
      <c r="W53" s="2">
        <v>0.5803571428571429</v>
      </c>
      <c r="X53">
        <v>29</v>
      </c>
    </row>
    <row r="54" spans="1:24" x14ac:dyDescent="0.3">
      <c r="A54">
        <v>303</v>
      </c>
      <c r="B54">
        <v>54</v>
      </c>
      <c r="C54">
        <v>-1</v>
      </c>
      <c r="D54" s="1">
        <v>40970</v>
      </c>
      <c r="E54">
        <v>424</v>
      </c>
      <c r="F54">
        <v>73</v>
      </c>
      <c r="G54" t="s">
        <v>22</v>
      </c>
      <c r="H54" t="s">
        <v>23</v>
      </c>
      <c r="I54">
        <v>17</v>
      </c>
      <c r="J54" t="s">
        <v>24</v>
      </c>
      <c r="K54" t="s">
        <v>25</v>
      </c>
      <c r="L54" t="s">
        <v>29</v>
      </c>
      <c r="M54">
        <v>29</v>
      </c>
      <c r="N54">
        <v>127</v>
      </c>
      <c r="O54" t="s">
        <v>27</v>
      </c>
      <c r="P54">
        <v>50</v>
      </c>
      <c r="Q54">
        <v>60</v>
      </c>
      <c r="R54">
        <v>30</v>
      </c>
      <c r="S54">
        <v>110</v>
      </c>
      <c r="T54">
        <v>44</v>
      </c>
      <c r="U54" t="s">
        <v>28</v>
      </c>
      <c r="V54" s="2">
        <v>0.2283464566929134</v>
      </c>
      <c r="W54" s="2">
        <v>0.57480314960629919</v>
      </c>
      <c r="X54">
        <v>27</v>
      </c>
    </row>
    <row r="55" spans="1:24" x14ac:dyDescent="0.3">
      <c r="A55">
        <v>954</v>
      </c>
      <c r="B55">
        <v>65</v>
      </c>
      <c r="C55">
        <v>3</v>
      </c>
      <c r="D55" s="1">
        <v>40971</v>
      </c>
      <c r="E55">
        <v>403</v>
      </c>
      <c r="F55">
        <v>80</v>
      </c>
      <c r="G55" t="s">
        <v>22</v>
      </c>
      <c r="H55" t="s">
        <v>32</v>
      </c>
      <c r="I55">
        <v>24</v>
      </c>
      <c r="J55" t="s">
        <v>24</v>
      </c>
      <c r="K55" t="s">
        <v>25</v>
      </c>
      <c r="L55" t="s">
        <v>26</v>
      </c>
      <c r="M55">
        <v>23</v>
      </c>
      <c r="N55">
        <v>145</v>
      </c>
      <c r="O55" t="s">
        <v>35</v>
      </c>
      <c r="P55">
        <v>40</v>
      </c>
      <c r="Q55">
        <v>60</v>
      </c>
      <c r="R55">
        <v>20</v>
      </c>
      <c r="S55">
        <v>100</v>
      </c>
      <c r="T55">
        <v>57</v>
      </c>
      <c r="U55" t="s">
        <v>28</v>
      </c>
      <c r="V55" s="2">
        <v>0.15862068965517243</v>
      </c>
      <c r="W55" s="2">
        <v>0.55172413793103448</v>
      </c>
      <c r="X55">
        <v>33</v>
      </c>
    </row>
    <row r="56" spans="1:24" x14ac:dyDescent="0.3">
      <c r="A56">
        <v>561</v>
      </c>
      <c r="B56">
        <v>80</v>
      </c>
      <c r="C56">
        <v>20</v>
      </c>
      <c r="D56" s="1">
        <v>40972</v>
      </c>
      <c r="E56">
        <v>1079</v>
      </c>
      <c r="F56">
        <v>96</v>
      </c>
      <c r="G56" t="s">
        <v>22</v>
      </c>
      <c r="H56" t="s">
        <v>32</v>
      </c>
      <c r="I56">
        <v>24</v>
      </c>
      <c r="J56" t="s">
        <v>24</v>
      </c>
      <c r="K56" t="s">
        <v>25</v>
      </c>
      <c r="L56" t="s">
        <v>29</v>
      </c>
      <c r="M56">
        <v>50</v>
      </c>
      <c r="N56">
        <v>176</v>
      </c>
      <c r="O56" t="s">
        <v>35</v>
      </c>
      <c r="P56">
        <v>60</v>
      </c>
      <c r="Q56">
        <v>60</v>
      </c>
      <c r="R56">
        <v>30</v>
      </c>
      <c r="S56">
        <v>120</v>
      </c>
      <c r="T56">
        <v>46</v>
      </c>
      <c r="U56" t="s">
        <v>28</v>
      </c>
      <c r="V56" s="2">
        <v>0.28409090909090912</v>
      </c>
      <c r="W56" s="2">
        <v>0.54545454545454541</v>
      </c>
      <c r="X56">
        <v>22</v>
      </c>
    </row>
    <row r="57" spans="1:24" x14ac:dyDescent="0.3">
      <c r="A57">
        <v>469</v>
      </c>
      <c r="B57">
        <v>54</v>
      </c>
      <c r="C57">
        <v>-2</v>
      </c>
      <c r="D57" s="1">
        <v>40973</v>
      </c>
      <c r="E57">
        <v>424</v>
      </c>
      <c r="F57">
        <v>73</v>
      </c>
      <c r="G57" t="s">
        <v>22</v>
      </c>
      <c r="H57" t="s">
        <v>30</v>
      </c>
      <c r="I57">
        <v>17</v>
      </c>
      <c r="J57" t="s">
        <v>24</v>
      </c>
      <c r="K57" t="s">
        <v>25</v>
      </c>
      <c r="L57" t="s">
        <v>58</v>
      </c>
      <c r="M57">
        <v>28</v>
      </c>
      <c r="N57">
        <v>127</v>
      </c>
      <c r="O57" t="s">
        <v>31</v>
      </c>
      <c r="P57">
        <v>50</v>
      </c>
      <c r="Q57">
        <v>60</v>
      </c>
      <c r="R57">
        <v>30</v>
      </c>
      <c r="S57">
        <v>110</v>
      </c>
      <c r="T57">
        <v>45</v>
      </c>
      <c r="U57" t="s">
        <v>28</v>
      </c>
      <c r="V57" s="2">
        <v>0.22047244094488189</v>
      </c>
      <c r="W57" s="2">
        <v>0.57480314960629919</v>
      </c>
      <c r="X57">
        <v>28</v>
      </c>
    </row>
    <row r="58" spans="1:24" x14ac:dyDescent="0.3">
      <c r="A58">
        <v>214</v>
      </c>
      <c r="B58">
        <v>41</v>
      </c>
      <c r="C58">
        <v>-6</v>
      </c>
      <c r="D58" s="1">
        <v>40974</v>
      </c>
      <c r="E58">
        <v>435</v>
      </c>
      <c r="F58">
        <v>60</v>
      </c>
      <c r="G58" t="s">
        <v>22</v>
      </c>
      <c r="H58" t="s">
        <v>30</v>
      </c>
      <c r="I58">
        <v>13</v>
      </c>
      <c r="J58" t="s">
        <v>24</v>
      </c>
      <c r="K58" t="s">
        <v>25</v>
      </c>
      <c r="L58" t="s">
        <v>26</v>
      </c>
      <c r="M58">
        <v>24</v>
      </c>
      <c r="N58">
        <v>101</v>
      </c>
      <c r="O58" t="s">
        <v>31</v>
      </c>
      <c r="P58">
        <v>30</v>
      </c>
      <c r="Q58">
        <v>60</v>
      </c>
      <c r="R58">
        <v>30</v>
      </c>
      <c r="S58">
        <v>90</v>
      </c>
      <c r="T58">
        <v>36</v>
      </c>
      <c r="U58" t="s">
        <v>28</v>
      </c>
      <c r="V58" s="2">
        <v>0.23762376237623761</v>
      </c>
      <c r="W58" s="2">
        <v>0.59405940594059403</v>
      </c>
      <c r="X58">
        <v>23</v>
      </c>
    </row>
    <row r="59" spans="1:24" x14ac:dyDescent="0.3">
      <c r="A59">
        <v>619</v>
      </c>
      <c r="B59">
        <v>54</v>
      </c>
      <c r="C59">
        <v>3</v>
      </c>
      <c r="D59" s="1">
        <v>40975</v>
      </c>
      <c r="E59">
        <v>601</v>
      </c>
      <c r="F59">
        <v>79</v>
      </c>
      <c r="G59" t="s">
        <v>22</v>
      </c>
      <c r="H59" t="s">
        <v>37</v>
      </c>
      <c r="I59">
        <v>15</v>
      </c>
      <c r="J59" t="s">
        <v>24</v>
      </c>
      <c r="K59" t="s">
        <v>33</v>
      </c>
      <c r="L59" t="s">
        <v>62</v>
      </c>
      <c r="M59">
        <v>53</v>
      </c>
      <c r="N59">
        <v>133</v>
      </c>
      <c r="O59" t="s">
        <v>39</v>
      </c>
      <c r="P59">
        <v>30</v>
      </c>
      <c r="Q59">
        <v>60</v>
      </c>
      <c r="R59">
        <v>50</v>
      </c>
      <c r="S59">
        <v>90</v>
      </c>
      <c r="T59">
        <v>26</v>
      </c>
      <c r="U59" t="s">
        <v>36</v>
      </c>
      <c r="V59" s="2">
        <v>0.39849624060150374</v>
      </c>
      <c r="W59" s="2">
        <v>0.59398496240601506</v>
      </c>
      <c r="X59">
        <v>11</v>
      </c>
    </row>
    <row r="60" spans="1:24" x14ac:dyDescent="0.3">
      <c r="A60">
        <v>314</v>
      </c>
      <c r="B60">
        <v>31</v>
      </c>
      <c r="C60">
        <v>-23</v>
      </c>
      <c r="D60" s="1">
        <v>40976</v>
      </c>
      <c r="E60">
        <v>844</v>
      </c>
      <c r="F60">
        <v>46</v>
      </c>
      <c r="G60" t="s">
        <v>40</v>
      </c>
      <c r="H60" t="s">
        <v>23</v>
      </c>
      <c r="I60">
        <v>8</v>
      </c>
      <c r="J60" t="s">
        <v>41</v>
      </c>
      <c r="K60" t="s">
        <v>42</v>
      </c>
      <c r="L60" t="s">
        <v>43</v>
      </c>
      <c r="M60">
        <v>27</v>
      </c>
      <c r="N60">
        <v>77</v>
      </c>
      <c r="O60" t="s">
        <v>59</v>
      </c>
      <c r="P60">
        <v>30</v>
      </c>
      <c r="Q60">
        <v>60</v>
      </c>
      <c r="R60">
        <v>50</v>
      </c>
      <c r="S60">
        <v>90</v>
      </c>
      <c r="T60">
        <v>19</v>
      </c>
      <c r="U60" t="s">
        <v>28</v>
      </c>
      <c r="V60" s="2">
        <v>0.35064935064935066</v>
      </c>
      <c r="W60" s="2">
        <v>0.59740259740259738</v>
      </c>
      <c r="X60">
        <v>11</v>
      </c>
    </row>
    <row r="61" spans="1:24" x14ac:dyDescent="0.3">
      <c r="A61">
        <v>225</v>
      </c>
      <c r="B61">
        <v>34</v>
      </c>
      <c r="C61">
        <v>-19</v>
      </c>
      <c r="D61" s="1">
        <v>40977</v>
      </c>
      <c r="E61">
        <v>863</v>
      </c>
      <c r="F61">
        <v>51</v>
      </c>
      <c r="G61" t="s">
        <v>40</v>
      </c>
      <c r="H61" t="s">
        <v>30</v>
      </c>
      <c r="I61">
        <v>9</v>
      </c>
      <c r="J61" t="s">
        <v>41</v>
      </c>
      <c r="K61" t="s">
        <v>46</v>
      </c>
      <c r="L61" t="s">
        <v>47</v>
      </c>
      <c r="M61">
        <v>31</v>
      </c>
      <c r="N61">
        <v>85</v>
      </c>
      <c r="O61" t="s">
        <v>56</v>
      </c>
      <c r="P61">
        <v>40</v>
      </c>
      <c r="Q61">
        <v>60</v>
      </c>
      <c r="R61">
        <v>50</v>
      </c>
      <c r="S61">
        <v>100</v>
      </c>
      <c r="T61">
        <v>20</v>
      </c>
      <c r="U61" t="s">
        <v>28</v>
      </c>
      <c r="V61" s="2">
        <v>0.36470588235294116</v>
      </c>
      <c r="W61" s="2">
        <v>0.6</v>
      </c>
      <c r="X61">
        <v>11</v>
      </c>
    </row>
    <row r="62" spans="1:24" x14ac:dyDescent="0.3">
      <c r="A62">
        <v>580</v>
      </c>
      <c r="B62">
        <v>33</v>
      </c>
      <c r="C62">
        <v>-22</v>
      </c>
      <c r="D62" s="1">
        <v>40978</v>
      </c>
      <c r="E62">
        <v>870</v>
      </c>
      <c r="F62">
        <v>49</v>
      </c>
      <c r="G62" t="s">
        <v>40</v>
      </c>
      <c r="H62" t="s">
        <v>30</v>
      </c>
      <c r="I62">
        <v>9</v>
      </c>
      <c r="J62" t="s">
        <v>41</v>
      </c>
      <c r="K62" t="s">
        <v>46</v>
      </c>
      <c r="L62" t="s">
        <v>47</v>
      </c>
      <c r="M62">
        <v>28</v>
      </c>
      <c r="N62">
        <v>82</v>
      </c>
      <c r="O62" t="s">
        <v>48</v>
      </c>
      <c r="P62">
        <v>30</v>
      </c>
      <c r="Q62">
        <v>60</v>
      </c>
      <c r="R62">
        <v>50</v>
      </c>
      <c r="S62">
        <v>90</v>
      </c>
      <c r="T62">
        <v>21</v>
      </c>
      <c r="U62" t="s">
        <v>28</v>
      </c>
      <c r="V62" s="2">
        <v>0.34146341463414637</v>
      </c>
      <c r="W62" s="2">
        <v>0.59756097560975607</v>
      </c>
      <c r="X62">
        <v>12</v>
      </c>
    </row>
    <row r="63" spans="1:24" x14ac:dyDescent="0.3">
      <c r="A63">
        <v>603</v>
      </c>
      <c r="B63">
        <v>48</v>
      </c>
      <c r="C63">
        <v>-2</v>
      </c>
      <c r="D63" s="1">
        <v>40979</v>
      </c>
      <c r="E63">
        <v>462</v>
      </c>
      <c r="F63">
        <v>74</v>
      </c>
      <c r="G63" t="s">
        <v>40</v>
      </c>
      <c r="H63" t="s">
        <v>32</v>
      </c>
      <c r="I63">
        <v>15</v>
      </c>
      <c r="J63" t="s">
        <v>41</v>
      </c>
      <c r="K63" t="s">
        <v>46</v>
      </c>
      <c r="L63" t="s">
        <v>53</v>
      </c>
      <c r="M63">
        <v>28</v>
      </c>
      <c r="N63">
        <v>122</v>
      </c>
      <c r="O63" t="s">
        <v>52</v>
      </c>
      <c r="P63">
        <v>40</v>
      </c>
      <c r="Q63">
        <v>60</v>
      </c>
      <c r="R63">
        <v>30</v>
      </c>
      <c r="S63">
        <v>100</v>
      </c>
      <c r="T63">
        <v>46</v>
      </c>
      <c r="U63" t="s">
        <v>36</v>
      </c>
      <c r="V63" s="2">
        <v>0.22950819672131148</v>
      </c>
      <c r="W63" s="2">
        <v>0.60655737704918034</v>
      </c>
      <c r="X63">
        <v>31</v>
      </c>
    </row>
    <row r="64" spans="1:24" x14ac:dyDescent="0.3">
      <c r="A64">
        <v>985</v>
      </c>
      <c r="B64">
        <v>55</v>
      </c>
      <c r="C64">
        <v>-3</v>
      </c>
      <c r="D64" s="1">
        <v>40980</v>
      </c>
      <c r="E64">
        <v>-1053</v>
      </c>
      <c r="F64">
        <v>76</v>
      </c>
      <c r="G64" t="s">
        <v>40</v>
      </c>
      <c r="H64" t="s">
        <v>30</v>
      </c>
      <c r="I64">
        <v>49</v>
      </c>
      <c r="J64" t="s">
        <v>41</v>
      </c>
      <c r="K64" t="s">
        <v>42</v>
      </c>
      <c r="L64" t="s">
        <v>55</v>
      </c>
      <c r="M64">
        <v>-3</v>
      </c>
      <c r="N64">
        <v>131</v>
      </c>
      <c r="O64" t="s">
        <v>56</v>
      </c>
      <c r="P64">
        <v>40</v>
      </c>
      <c r="Q64">
        <v>60</v>
      </c>
      <c r="R64">
        <v>0</v>
      </c>
      <c r="S64">
        <v>100</v>
      </c>
      <c r="T64">
        <v>79</v>
      </c>
      <c r="U64" t="s">
        <v>36</v>
      </c>
      <c r="V64" s="2">
        <v>-2.2900763358778626E-2</v>
      </c>
      <c r="W64" s="2">
        <v>0.58015267175572516</v>
      </c>
      <c r="X64">
        <v>30</v>
      </c>
    </row>
    <row r="65" spans="1:24" x14ac:dyDescent="0.3">
      <c r="A65">
        <v>505</v>
      </c>
      <c r="B65">
        <v>49</v>
      </c>
      <c r="C65">
        <v>-15</v>
      </c>
      <c r="D65" s="1">
        <v>40981</v>
      </c>
      <c r="E65">
        <v>335</v>
      </c>
      <c r="F65">
        <v>69</v>
      </c>
      <c r="G65" t="s">
        <v>40</v>
      </c>
      <c r="H65" t="s">
        <v>30</v>
      </c>
      <c r="I65">
        <v>44</v>
      </c>
      <c r="J65" t="s">
        <v>41</v>
      </c>
      <c r="K65" t="s">
        <v>42</v>
      </c>
      <c r="L65" t="s">
        <v>54</v>
      </c>
      <c r="M65">
        <v>-5</v>
      </c>
      <c r="N65">
        <v>118</v>
      </c>
      <c r="O65" t="s">
        <v>65</v>
      </c>
      <c r="P65">
        <v>30</v>
      </c>
      <c r="Q65">
        <v>60</v>
      </c>
      <c r="R65">
        <v>10</v>
      </c>
      <c r="S65">
        <v>90</v>
      </c>
      <c r="T65">
        <v>74</v>
      </c>
      <c r="U65" t="s">
        <v>36</v>
      </c>
      <c r="V65" s="2">
        <v>-4.2372881355932202E-2</v>
      </c>
      <c r="W65" s="2">
        <v>0.5847457627118644</v>
      </c>
      <c r="X65">
        <v>30</v>
      </c>
    </row>
    <row r="66" spans="1:24" x14ac:dyDescent="0.3">
      <c r="A66">
        <v>775</v>
      </c>
      <c r="B66">
        <v>39</v>
      </c>
      <c r="C66">
        <v>-19</v>
      </c>
      <c r="D66" s="1">
        <v>40982</v>
      </c>
      <c r="E66">
        <v>250</v>
      </c>
      <c r="F66">
        <v>49</v>
      </c>
      <c r="G66" t="s">
        <v>40</v>
      </c>
      <c r="H66" t="s">
        <v>37</v>
      </c>
      <c r="I66">
        <v>14</v>
      </c>
      <c r="J66" t="s">
        <v>41</v>
      </c>
      <c r="K66" t="s">
        <v>46</v>
      </c>
      <c r="L66" t="s">
        <v>53</v>
      </c>
      <c r="M66">
        <v>1</v>
      </c>
      <c r="N66">
        <v>88</v>
      </c>
      <c r="O66" t="s">
        <v>49</v>
      </c>
      <c r="P66">
        <v>40</v>
      </c>
      <c r="Q66">
        <v>60</v>
      </c>
      <c r="R66">
        <v>20</v>
      </c>
      <c r="S66">
        <v>100</v>
      </c>
      <c r="T66">
        <v>48</v>
      </c>
      <c r="U66" t="s">
        <v>36</v>
      </c>
      <c r="V66" s="2">
        <v>1.1363636363636364E-2</v>
      </c>
      <c r="W66" s="2">
        <v>0.55681818181818177</v>
      </c>
      <c r="X66">
        <v>34</v>
      </c>
    </row>
    <row r="67" spans="1:24" x14ac:dyDescent="0.3">
      <c r="A67">
        <v>417</v>
      </c>
      <c r="B67">
        <v>49</v>
      </c>
      <c r="C67">
        <v>-5</v>
      </c>
      <c r="D67" s="1">
        <v>40983</v>
      </c>
      <c r="E67">
        <v>335</v>
      </c>
      <c r="F67">
        <v>69</v>
      </c>
      <c r="G67" t="s">
        <v>40</v>
      </c>
      <c r="H67" t="s">
        <v>23</v>
      </c>
      <c r="I67">
        <v>44</v>
      </c>
      <c r="J67" t="s">
        <v>24</v>
      </c>
      <c r="K67" t="s">
        <v>25</v>
      </c>
      <c r="L67" t="s">
        <v>58</v>
      </c>
      <c r="M67">
        <v>-5</v>
      </c>
      <c r="N67">
        <v>118</v>
      </c>
      <c r="O67" t="s">
        <v>59</v>
      </c>
      <c r="P67">
        <v>40</v>
      </c>
      <c r="Q67">
        <v>60</v>
      </c>
      <c r="R67">
        <v>0</v>
      </c>
      <c r="S67">
        <v>100</v>
      </c>
      <c r="T67">
        <v>74</v>
      </c>
      <c r="U67" t="s">
        <v>28</v>
      </c>
      <c r="V67" s="2">
        <v>-4.2372881355932202E-2</v>
      </c>
      <c r="W67" s="2">
        <v>0.5847457627118644</v>
      </c>
      <c r="X67">
        <v>30</v>
      </c>
    </row>
    <row r="68" spans="1:24" x14ac:dyDescent="0.3">
      <c r="A68">
        <v>920</v>
      </c>
      <c r="B68">
        <v>41</v>
      </c>
      <c r="C68">
        <v>0</v>
      </c>
      <c r="D68" s="1">
        <v>40984</v>
      </c>
      <c r="E68">
        <v>320</v>
      </c>
      <c r="F68">
        <v>66</v>
      </c>
      <c r="G68" t="s">
        <v>40</v>
      </c>
      <c r="H68" t="s">
        <v>23</v>
      </c>
      <c r="I68">
        <v>12</v>
      </c>
      <c r="J68" t="s">
        <v>24</v>
      </c>
      <c r="K68" t="s">
        <v>25</v>
      </c>
      <c r="L68" t="s">
        <v>58</v>
      </c>
      <c r="M68">
        <v>30</v>
      </c>
      <c r="N68">
        <v>107</v>
      </c>
      <c r="O68" t="s">
        <v>60</v>
      </c>
      <c r="P68">
        <v>30</v>
      </c>
      <c r="Q68">
        <v>60</v>
      </c>
      <c r="R68">
        <v>30</v>
      </c>
      <c r="S68">
        <v>90</v>
      </c>
      <c r="T68">
        <v>36</v>
      </c>
      <c r="U68" t="s">
        <v>28</v>
      </c>
      <c r="V68" s="2">
        <v>0.28037383177570091</v>
      </c>
      <c r="W68" s="2">
        <v>0.61682242990654201</v>
      </c>
      <c r="X68">
        <v>24</v>
      </c>
    </row>
    <row r="69" spans="1:24" x14ac:dyDescent="0.3">
      <c r="A69">
        <v>573</v>
      </c>
      <c r="B69">
        <v>92</v>
      </c>
      <c r="C69">
        <v>-4</v>
      </c>
      <c r="D69" s="1">
        <v>40985</v>
      </c>
      <c r="E69">
        <v>1898</v>
      </c>
      <c r="F69">
        <v>68</v>
      </c>
      <c r="G69" t="s">
        <v>40</v>
      </c>
      <c r="H69" t="s">
        <v>23</v>
      </c>
      <c r="I69">
        <v>28</v>
      </c>
      <c r="J69" t="s">
        <v>24</v>
      </c>
      <c r="K69" t="s">
        <v>25</v>
      </c>
      <c r="L69" t="s">
        <v>26</v>
      </c>
      <c r="M69">
        <v>16</v>
      </c>
      <c r="N69">
        <v>160</v>
      </c>
      <c r="O69" t="s">
        <v>59</v>
      </c>
      <c r="P69">
        <v>80</v>
      </c>
      <c r="Q69">
        <v>60</v>
      </c>
      <c r="R69">
        <v>20</v>
      </c>
      <c r="S69">
        <v>140</v>
      </c>
      <c r="T69">
        <v>52</v>
      </c>
      <c r="U69" t="s">
        <v>28</v>
      </c>
      <c r="V69" s="2">
        <v>0.1</v>
      </c>
      <c r="W69" s="2">
        <v>0.42499999999999999</v>
      </c>
      <c r="X69">
        <v>24</v>
      </c>
    </row>
    <row r="70" spans="1:24" x14ac:dyDescent="0.3">
      <c r="A70">
        <v>475</v>
      </c>
      <c r="B70">
        <v>68</v>
      </c>
      <c r="C70">
        <v>7</v>
      </c>
      <c r="D70" s="1">
        <v>40986</v>
      </c>
      <c r="E70">
        <v>619</v>
      </c>
      <c r="F70">
        <v>85</v>
      </c>
      <c r="G70" t="s">
        <v>40</v>
      </c>
      <c r="H70" t="s">
        <v>32</v>
      </c>
      <c r="I70">
        <v>25</v>
      </c>
      <c r="J70" t="s">
        <v>24</v>
      </c>
      <c r="K70" t="s">
        <v>25</v>
      </c>
      <c r="L70" t="s">
        <v>26</v>
      </c>
      <c r="M70">
        <v>27</v>
      </c>
      <c r="N70">
        <v>153</v>
      </c>
      <c r="O70" t="s">
        <v>45</v>
      </c>
      <c r="P70">
        <v>50</v>
      </c>
      <c r="Q70">
        <v>60</v>
      </c>
      <c r="R70">
        <v>20</v>
      </c>
      <c r="S70">
        <v>110</v>
      </c>
      <c r="T70">
        <v>58</v>
      </c>
      <c r="U70" t="s">
        <v>28</v>
      </c>
      <c r="V70" s="2">
        <v>0.17647058823529413</v>
      </c>
      <c r="W70" s="2">
        <v>0.55555555555555558</v>
      </c>
      <c r="X70">
        <v>33</v>
      </c>
    </row>
    <row r="71" spans="1:24" x14ac:dyDescent="0.3">
      <c r="A71">
        <v>475</v>
      </c>
      <c r="B71">
        <v>63</v>
      </c>
      <c r="C71">
        <v>-4</v>
      </c>
      <c r="D71" s="1">
        <v>40987</v>
      </c>
      <c r="E71">
        <v>1075</v>
      </c>
      <c r="F71">
        <v>76</v>
      </c>
      <c r="G71" t="s">
        <v>40</v>
      </c>
      <c r="H71" t="s">
        <v>32</v>
      </c>
      <c r="I71">
        <v>19</v>
      </c>
      <c r="J71" t="s">
        <v>24</v>
      </c>
      <c r="K71" t="s">
        <v>25</v>
      </c>
      <c r="L71" t="s">
        <v>29</v>
      </c>
      <c r="M71">
        <v>36</v>
      </c>
      <c r="N71">
        <v>139</v>
      </c>
      <c r="O71" t="s">
        <v>45</v>
      </c>
      <c r="P71">
        <v>40</v>
      </c>
      <c r="Q71">
        <v>60</v>
      </c>
      <c r="R71">
        <v>40</v>
      </c>
      <c r="S71">
        <v>100</v>
      </c>
      <c r="T71">
        <v>40</v>
      </c>
      <c r="U71" t="s">
        <v>28</v>
      </c>
      <c r="V71" s="2">
        <v>0.25899280575539568</v>
      </c>
      <c r="W71" s="2">
        <v>0.5467625899280576</v>
      </c>
      <c r="X71">
        <v>21</v>
      </c>
    </row>
    <row r="72" spans="1:24" x14ac:dyDescent="0.3">
      <c r="A72">
        <v>435</v>
      </c>
      <c r="B72">
        <v>92</v>
      </c>
      <c r="C72">
        <v>-3</v>
      </c>
      <c r="D72" s="1">
        <v>40988</v>
      </c>
      <c r="E72">
        <v>1898</v>
      </c>
      <c r="F72">
        <v>68</v>
      </c>
      <c r="G72" t="s">
        <v>40</v>
      </c>
      <c r="H72" t="s">
        <v>37</v>
      </c>
      <c r="I72">
        <v>28</v>
      </c>
      <c r="J72" t="s">
        <v>24</v>
      </c>
      <c r="K72" t="s">
        <v>25</v>
      </c>
      <c r="L72" t="s">
        <v>29</v>
      </c>
      <c r="M72">
        <v>17</v>
      </c>
      <c r="N72">
        <v>160</v>
      </c>
      <c r="O72" t="s">
        <v>50</v>
      </c>
      <c r="P72">
        <v>80</v>
      </c>
      <c r="Q72">
        <v>60</v>
      </c>
      <c r="R72">
        <v>20</v>
      </c>
      <c r="S72">
        <v>140</v>
      </c>
      <c r="T72">
        <v>51</v>
      </c>
      <c r="U72" t="s">
        <v>28</v>
      </c>
      <c r="V72" s="2">
        <v>0.10625</v>
      </c>
      <c r="W72" s="2">
        <v>0.42499999999999999</v>
      </c>
      <c r="X72">
        <v>23</v>
      </c>
    </row>
    <row r="73" spans="1:24" x14ac:dyDescent="0.3">
      <c r="A73">
        <v>920</v>
      </c>
      <c r="B73">
        <v>55</v>
      </c>
      <c r="C73">
        <v>-3</v>
      </c>
      <c r="D73" s="1">
        <v>40989</v>
      </c>
      <c r="E73">
        <v>627</v>
      </c>
      <c r="F73">
        <v>76</v>
      </c>
      <c r="G73" t="s">
        <v>40</v>
      </c>
      <c r="H73" t="s">
        <v>23</v>
      </c>
      <c r="I73">
        <v>49</v>
      </c>
      <c r="J73" t="s">
        <v>24</v>
      </c>
      <c r="K73" t="s">
        <v>33</v>
      </c>
      <c r="L73" t="s">
        <v>62</v>
      </c>
      <c r="M73">
        <v>-3</v>
      </c>
      <c r="N73">
        <v>131</v>
      </c>
      <c r="O73" t="s">
        <v>60</v>
      </c>
      <c r="P73">
        <v>40</v>
      </c>
      <c r="Q73">
        <v>60</v>
      </c>
      <c r="R73">
        <v>0</v>
      </c>
      <c r="S73">
        <v>100</v>
      </c>
      <c r="T73">
        <v>79</v>
      </c>
      <c r="U73" t="s">
        <v>36</v>
      </c>
      <c r="V73" s="2">
        <v>-2.2900763358778626E-2</v>
      </c>
      <c r="W73" s="2">
        <v>0.58015267175572516</v>
      </c>
      <c r="X73">
        <v>30</v>
      </c>
    </row>
    <row r="74" spans="1:24" x14ac:dyDescent="0.3">
      <c r="A74">
        <v>720</v>
      </c>
      <c r="B74">
        <v>51</v>
      </c>
      <c r="C74">
        <v>-37</v>
      </c>
      <c r="D74" s="1">
        <v>40990</v>
      </c>
      <c r="E74">
        <v>503</v>
      </c>
      <c r="F74">
        <v>71</v>
      </c>
      <c r="G74" t="s">
        <v>22</v>
      </c>
      <c r="H74" t="s">
        <v>23</v>
      </c>
      <c r="I74">
        <v>46</v>
      </c>
      <c r="J74" t="s">
        <v>24</v>
      </c>
      <c r="K74" t="s">
        <v>25</v>
      </c>
      <c r="L74" t="s">
        <v>26</v>
      </c>
      <c r="M74">
        <v>-7</v>
      </c>
      <c r="N74">
        <v>130</v>
      </c>
      <c r="O74" t="s">
        <v>27</v>
      </c>
      <c r="P74">
        <v>30</v>
      </c>
      <c r="Q74">
        <v>60</v>
      </c>
      <c r="R74">
        <v>30</v>
      </c>
      <c r="S74">
        <v>90</v>
      </c>
      <c r="T74">
        <v>76</v>
      </c>
      <c r="U74" t="s">
        <v>28</v>
      </c>
      <c r="V74" s="2">
        <v>-5.3846153846153849E-2</v>
      </c>
      <c r="W74" s="2">
        <v>0.60769230769230764</v>
      </c>
      <c r="X74">
        <v>30</v>
      </c>
    </row>
    <row r="75" spans="1:24" x14ac:dyDescent="0.3">
      <c r="A75">
        <v>970</v>
      </c>
      <c r="B75">
        <v>52</v>
      </c>
      <c r="C75">
        <v>-11</v>
      </c>
      <c r="D75" s="1">
        <v>40991</v>
      </c>
      <c r="E75">
        <v>405</v>
      </c>
      <c r="F75">
        <v>71</v>
      </c>
      <c r="G75" t="s">
        <v>22</v>
      </c>
      <c r="H75" t="s">
        <v>23</v>
      </c>
      <c r="I75">
        <v>17</v>
      </c>
      <c r="J75" t="s">
        <v>24</v>
      </c>
      <c r="K75" t="s">
        <v>25</v>
      </c>
      <c r="L75" t="s">
        <v>29</v>
      </c>
      <c r="M75">
        <v>39</v>
      </c>
      <c r="N75">
        <v>131</v>
      </c>
      <c r="O75" t="s">
        <v>27</v>
      </c>
      <c r="P75">
        <v>30</v>
      </c>
      <c r="Q75">
        <v>60</v>
      </c>
      <c r="R75">
        <v>50</v>
      </c>
      <c r="S75">
        <v>90</v>
      </c>
      <c r="T75">
        <v>45</v>
      </c>
      <c r="U75" t="s">
        <v>28</v>
      </c>
      <c r="V75" s="2">
        <v>0.29770992366412213</v>
      </c>
      <c r="W75" s="2">
        <v>0.60305343511450382</v>
      </c>
      <c r="X75">
        <v>28</v>
      </c>
    </row>
    <row r="76" spans="1:24" x14ac:dyDescent="0.3">
      <c r="A76">
        <v>430</v>
      </c>
      <c r="B76">
        <v>43</v>
      </c>
      <c r="C76">
        <v>-8</v>
      </c>
      <c r="D76" s="1">
        <v>40992</v>
      </c>
      <c r="E76">
        <v>419</v>
      </c>
      <c r="F76">
        <v>64</v>
      </c>
      <c r="G76" t="s">
        <v>22</v>
      </c>
      <c r="H76" t="s">
        <v>30</v>
      </c>
      <c r="I76">
        <v>13</v>
      </c>
      <c r="J76" t="s">
        <v>24</v>
      </c>
      <c r="K76" t="s">
        <v>25</v>
      </c>
      <c r="L76" t="s">
        <v>26</v>
      </c>
      <c r="M76">
        <v>42</v>
      </c>
      <c r="N76">
        <v>114</v>
      </c>
      <c r="O76" t="s">
        <v>31</v>
      </c>
      <c r="P76">
        <v>30</v>
      </c>
      <c r="Q76">
        <v>60</v>
      </c>
      <c r="R76">
        <v>50</v>
      </c>
      <c r="S76">
        <v>90</v>
      </c>
      <c r="T76">
        <v>36</v>
      </c>
      <c r="U76" t="s">
        <v>28</v>
      </c>
      <c r="V76" s="2">
        <v>0.36842105263157893</v>
      </c>
      <c r="W76" s="2">
        <v>0.6228070175438597</v>
      </c>
      <c r="X76">
        <v>23</v>
      </c>
    </row>
    <row r="77" spans="1:24" x14ac:dyDescent="0.3">
      <c r="A77">
        <v>561</v>
      </c>
      <c r="B77">
        <v>38</v>
      </c>
      <c r="C77">
        <v>2</v>
      </c>
      <c r="D77" s="1">
        <v>40993</v>
      </c>
      <c r="E77">
        <v>871</v>
      </c>
      <c r="F77">
        <v>56</v>
      </c>
      <c r="G77" t="s">
        <v>22</v>
      </c>
      <c r="H77" t="s">
        <v>32</v>
      </c>
      <c r="I77">
        <v>10</v>
      </c>
      <c r="J77" t="s">
        <v>24</v>
      </c>
      <c r="K77" t="s">
        <v>33</v>
      </c>
      <c r="L77" t="s">
        <v>34</v>
      </c>
      <c r="M77">
        <v>52</v>
      </c>
      <c r="N77">
        <v>100</v>
      </c>
      <c r="O77" t="s">
        <v>35</v>
      </c>
      <c r="P77">
        <v>40</v>
      </c>
      <c r="Q77">
        <v>60</v>
      </c>
      <c r="R77">
        <v>50</v>
      </c>
      <c r="S77">
        <v>100</v>
      </c>
      <c r="T77">
        <v>21</v>
      </c>
      <c r="U77" t="s">
        <v>36</v>
      </c>
      <c r="V77" s="2">
        <v>0.52</v>
      </c>
      <c r="W77" s="2">
        <v>0.62</v>
      </c>
      <c r="X77">
        <v>11</v>
      </c>
    </row>
    <row r="78" spans="1:24" x14ac:dyDescent="0.3">
      <c r="A78">
        <v>510</v>
      </c>
      <c r="B78">
        <v>72</v>
      </c>
      <c r="C78">
        <v>33</v>
      </c>
      <c r="D78" s="1">
        <v>40994</v>
      </c>
      <c r="E78">
        <v>650</v>
      </c>
      <c r="F78">
        <v>110</v>
      </c>
      <c r="G78" t="s">
        <v>22</v>
      </c>
      <c r="H78" t="s">
        <v>37</v>
      </c>
      <c r="I78">
        <v>23</v>
      </c>
      <c r="J78" t="s">
        <v>24</v>
      </c>
      <c r="K78" t="s">
        <v>33</v>
      </c>
      <c r="L78" t="s">
        <v>38</v>
      </c>
      <c r="M78">
        <v>83</v>
      </c>
      <c r="N78">
        <v>194</v>
      </c>
      <c r="O78" t="s">
        <v>39</v>
      </c>
      <c r="P78">
        <v>20</v>
      </c>
      <c r="Q78">
        <v>60</v>
      </c>
      <c r="R78">
        <v>50</v>
      </c>
      <c r="S78">
        <v>80</v>
      </c>
      <c r="T78">
        <v>54</v>
      </c>
      <c r="U78" t="s">
        <v>36</v>
      </c>
      <c r="V78" s="2">
        <v>0.42783505154639173</v>
      </c>
      <c r="W78" s="2">
        <v>0.62886597938144329</v>
      </c>
      <c r="X78">
        <v>31</v>
      </c>
    </row>
    <row r="79" spans="1:24" x14ac:dyDescent="0.3">
      <c r="A79">
        <v>563</v>
      </c>
      <c r="B79">
        <v>0</v>
      </c>
      <c r="C79">
        <v>-14</v>
      </c>
      <c r="D79" s="1">
        <v>40995</v>
      </c>
      <c r="E79">
        <v>430</v>
      </c>
      <c r="F79">
        <v>43</v>
      </c>
      <c r="G79" t="s">
        <v>40</v>
      </c>
      <c r="H79" t="s">
        <v>23</v>
      </c>
      <c r="I79">
        <v>0</v>
      </c>
      <c r="J79" t="s">
        <v>41</v>
      </c>
      <c r="K79" t="s">
        <v>42</v>
      </c>
      <c r="L79" t="s">
        <v>43</v>
      </c>
      <c r="M79">
        <v>46</v>
      </c>
      <c r="N79">
        <v>46</v>
      </c>
      <c r="O79" t="s">
        <v>44</v>
      </c>
      <c r="P79">
        <v>0</v>
      </c>
      <c r="Q79">
        <v>60</v>
      </c>
      <c r="R79">
        <v>60</v>
      </c>
      <c r="S79">
        <v>60</v>
      </c>
      <c r="T79">
        <v>12</v>
      </c>
      <c r="U79" t="s">
        <v>28</v>
      </c>
      <c r="V79" s="2">
        <v>1</v>
      </c>
      <c r="W79" s="2">
        <v>1</v>
      </c>
      <c r="X79">
        <v>12</v>
      </c>
    </row>
    <row r="80" spans="1:24" x14ac:dyDescent="0.3">
      <c r="A80">
        <v>203</v>
      </c>
      <c r="B80">
        <v>47</v>
      </c>
      <c r="C80">
        <v>-19</v>
      </c>
      <c r="D80" s="1">
        <v>40996</v>
      </c>
      <c r="E80">
        <v>375</v>
      </c>
      <c r="F80">
        <v>64</v>
      </c>
      <c r="G80" t="s">
        <v>40</v>
      </c>
      <c r="H80" t="s">
        <v>32</v>
      </c>
      <c r="I80">
        <v>15</v>
      </c>
      <c r="J80" t="s">
        <v>41</v>
      </c>
      <c r="K80" t="s">
        <v>42</v>
      </c>
      <c r="L80" t="s">
        <v>43</v>
      </c>
      <c r="M80">
        <v>31</v>
      </c>
      <c r="N80">
        <v>118</v>
      </c>
      <c r="O80" t="s">
        <v>45</v>
      </c>
      <c r="P80">
        <v>30</v>
      </c>
      <c r="Q80">
        <v>60</v>
      </c>
      <c r="R80">
        <v>50</v>
      </c>
      <c r="S80">
        <v>90</v>
      </c>
      <c r="T80">
        <v>43</v>
      </c>
      <c r="U80" t="s">
        <v>28</v>
      </c>
      <c r="V80" s="2">
        <v>0.26271186440677968</v>
      </c>
      <c r="W80" s="2">
        <v>0.60169491525423724</v>
      </c>
      <c r="X80">
        <v>28</v>
      </c>
    </row>
    <row r="81" spans="1:24" x14ac:dyDescent="0.3">
      <c r="A81">
        <v>405</v>
      </c>
      <c r="B81">
        <v>27</v>
      </c>
      <c r="C81">
        <v>-29</v>
      </c>
      <c r="D81" s="1">
        <v>40997</v>
      </c>
      <c r="E81">
        <v>859</v>
      </c>
      <c r="F81">
        <v>39</v>
      </c>
      <c r="G81" t="s">
        <v>40</v>
      </c>
      <c r="H81" t="s">
        <v>30</v>
      </c>
      <c r="I81">
        <v>7</v>
      </c>
      <c r="J81" t="s">
        <v>41</v>
      </c>
      <c r="K81" t="s">
        <v>46</v>
      </c>
      <c r="L81" t="s">
        <v>47</v>
      </c>
      <c r="M81">
        <v>31</v>
      </c>
      <c r="N81">
        <v>70</v>
      </c>
      <c r="O81" t="s">
        <v>48</v>
      </c>
      <c r="P81">
        <v>30</v>
      </c>
      <c r="Q81">
        <v>60</v>
      </c>
      <c r="R81">
        <v>60</v>
      </c>
      <c r="S81">
        <v>90</v>
      </c>
      <c r="T81">
        <v>18</v>
      </c>
      <c r="U81" t="s">
        <v>28</v>
      </c>
      <c r="V81" s="2">
        <v>0.44285714285714284</v>
      </c>
      <c r="W81" s="2">
        <v>0.61428571428571432</v>
      </c>
      <c r="X81">
        <v>11</v>
      </c>
    </row>
    <row r="82" spans="1:24" x14ac:dyDescent="0.3">
      <c r="A82">
        <v>775</v>
      </c>
      <c r="B82">
        <v>31</v>
      </c>
      <c r="C82">
        <v>-40</v>
      </c>
      <c r="D82" s="1">
        <v>40998</v>
      </c>
      <c r="E82">
        <v>1000</v>
      </c>
      <c r="F82">
        <v>37</v>
      </c>
      <c r="G82" t="s">
        <v>40</v>
      </c>
      <c r="H82" t="s">
        <v>37</v>
      </c>
      <c r="I82">
        <v>9</v>
      </c>
      <c r="J82" t="s">
        <v>41</v>
      </c>
      <c r="K82" t="s">
        <v>46</v>
      </c>
      <c r="L82" t="s">
        <v>47</v>
      </c>
      <c r="M82">
        <v>10</v>
      </c>
      <c r="N82">
        <v>72</v>
      </c>
      <c r="O82" t="s">
        <v>49</v>
      </c>
      <c r="P82">
        <v>30</v>
      </c>
      <c r="Q82">
        <v>60</v>
      </c>
      <c r="R82">
        <v>50</v>
      </c>
      <c r="S82">
        <v>90</v>
      </c>
      <c r="T82">
        <v>30</v>
      </c>
      <c r="U82" t="s">
        <v>28</v>
      </c>
      <c r="V82" s="2">
        <v>0.1388888888888889</v>
      </c>
      <c r="W82" s="2">
        <v>0.56944444444444442</v>
      </c>
      <c r="X82">
        <v>21</v>
      </c>
    </row>
    <row r="83" spans="1:24" x14ac:dyDescent="0.3">
      <c r="A83">
        <v>435</v>
      </c>
      <c r="B83">
        <v>40</v>
      </c>
      <c r="C83">
        <v>-5</v>
      </c>
      <c r="D83" s="1">
        <v>40999</v>
      </c>
      <c r="E83">
        <v>881</v>
      </c>
      <c r="F83">
        <v>59</v>
      </c>
      <c r="G83" t="s">
        <v>40</v>
      </c>
      <c r="H83" t="s">
        <v>37</v>
      </c>
      <c r="I83">
        <v>11</v>
      </c>
      <c r="J83" t="s">
        <v>41</v>
      </c>
      <c r="K83" t="s">
        <v>42</v>
      </c>
      <c r="L83" t="s">
        <v>43</v>
      </c>
      <c r="M83">
        <v>55</v>
      </c>
      <c r="N83">
        <v>106</v>
      </c>
      <c r="O83" t="s">
        <v>50</v>
      </c>
      <c r="P83">
        <v>20</v>
      </c>
      <c r="Q83">
        <v>60</v>
      </c>
      <c r="R83">
        <v>60</v>
      </c>
      <c r="S83">
        <v>80</v>
      </c>
      <c r="T83">
        <v>22</v>
      </c>
      <c r="U83" t="s">
        <v>28</v>
      </c>
      <c r="V83" s="2">
        <v>0.51886792452830188</v>
      </c>
      <c r="W83" s="2">
        <v>0.62264150943396224</v>
      </c>
      <c r="X83">
        <v>11</v>
      </c>
    </row>
    <row r="84" spans="1:24" x14ac:dyDescent="0.3">
      <c r="A84">
        <v>603</v>
      </c>
      <c r="B84">
        <v>49</v>
      </c>
      <c r="C84">
        <v>-11</v>
      </c>
      <c r="D84" s="1">
        <v>41000</v>
      </c>
      <c r="E84">
        <v>310</v>
      </c>
      <c r="F84">
        <v>71</v>
      </c>
      <c r="G84" t="s">
        <v>40</v>
      </c>
      <c r="H84" t="s">
        <v>32</v>
      </c>
      <c r="I84">
        <v>15</v>
      </c>
      <c r="J84" t="s">
        <v>41</v>
      </c>
      <c r="K84" t="s">
        <v>46</v>
      </c>
      <c r="L84" t="s">
        <v>51</v>
      </c>
      <c r="M84">
        <v>49</v>
      </c>
      <c r="N84">
        <v>128</v>
      </c>
      <c r="O84" t="s">
        <v>52</v>
      </c>
      <c r="P84">
        <v>30</v>
      </c>
      <c r="Q84">
        <v>60</v>
      </c>
      <c r="R84">
        <v>60</v>
      </c>
      <c r="S84">
        <v>90</v>
      </c>
      <c r="T84">
        <v>38</v>
      </c>
      <c r="U84" t="s">
        <v>36</v>
      </c>
      <c r="V84" s="2">
        <v>0.3828125</v>
      </c>
      <c r="W84" s="2">
        <v>0.6171875</v>
      </c>
      <c r="X84">
        <v>23</v>
      </c>
    </row>
    <row r="85" spans="1:24" x14ac:dyDescent="0.3">
      <c r="A85">
        <v>603</v>
      </c>
      <c r="B85">
        <v>45</v>
      </c>
      <c r="C85">
        <v>-14</v>
      </c>
      <c r="D85" s="1">
        <v>41001</v>
      </c>
      <c r="E85">
        <v>447</v>
      </c>
      <c r="F85">
        <v>69</v>
      </c>
      <c r="G85" t="s">
        <v>40</v>
      </c>
      <c r="H85" t="s">
        <v>32</v>
      </c>
      <c r="I85">
        <v>14</v>
      </c>
      <c r="J85" t="s">
        <v>41</v>
      </c>
      <c r="K85" t="s">
        <v>46</v>
      </c>
      <c r="L85" t="s">
        <v>53</v>
      </c>
      <c r="M85">
        <v>36</v>
      </c>
      <c r="N85">
        <v>121</v>
      </c>
      <c r="O85" t="s">
        <v>52</v>
      </c>
      <c r="P85">
        <v>30</v>
      </c>
      <c r="Q85">
        <v>60</v>
      </c>
      <c r="R85">
        <v>50</v>
      </c>
      <c r="S85">
        <v>90</v>
      </c>
      <c r="T85">
        <v>45</v>
      </c>
      <c r="U85" t="s">
        <v>36</v>
      </c>
      <c r="V85" s="2">
        <v>0.2975206611570248</v>
      </c>
      <c r="W85" s="2">
        <v>0.62809917355371903</v>
      </c>
      <c r="X85">
        <v>31</v>
      </c>
    </row>
    <row r="86" spans="1:24" x14ac:dyDescent="0.3">
      <c r="A86">
        <v>603</v>
      </c>
      <c r="B86">
        <v>45</v>
      </c>
      <c r="C86">
        <v>-40</v>
      </c>
      <c r="D86" s="1">
        <v>41002</v>
      </c>
      <c r="E86">
        <v>320</v>
      </c>
      <c r="F86">
        <v>64</v>
      </c>
      <c r="G86" t="s">
        <v>40</v>
      </c>
      <c r="H86" t="s">
        <v>32</v>
      </c>
      <c r="I86">
        <v>41</v>
      </c>
      <c r="J86" t="s">
        <v>41</v>
      </c>
      <c r="K86" t="s">
        <v>42</v>
      </c>
      <c r="L86" t="s">
        <v>54</v>
      </c>
      <c r="M86">
        <v>-10</v>
      </c>
      <c r="N86">
        <v>116</v>
      </c>
      <c r="O86" t="s">
        <v>52</v>
      </c>
      <c r="P86">
        <v>30</v>
      </c>
      <c r="Q86">
        <v>60</v>
      </c>
      <c r="R86">
        <v>30</v>
      </c>
      <c r="S86">
        <v>90</v>
      </c>
      <c r="T86">
        <v>71</v>
      </c>
      <c r="U86" t="s">
        <v>36</v>
      </c>
      <c r="V86" s="2">
        <v>-8.6206896551724144E-2</v>
      </c>
      <c r="W86" s="2">
        <v>0.61206896551724133</v>
      </c>
      <c r="X86">
        <v>30</v>
      </c>
    </row>
    <row r="87" spans="1:24" x14ac:dyDescent="0.3">
      <c r="A87">
        <v>504</v>
      </c>
      <c r="B87">
        <v>60</v>
      </c>
      <c r="C87">
        <v>-9</v>
      </c>
      <c r="D87" s="1">
        <v>41003</v>
      </c>
      <c r="E87">
        <v>-762</v>
      </c>
      <c r="F87">
        <v>84</v>
      </c>
      <c r="G87" t="s">
        <v>40</v>
      </c>
      <c r="H87" t="s">
        <v>30</v>
      </c>
      <c r="I87">
        <v>54</v>
      </c>
      <c r="J87" t="s">
        <v>41</v>
      </c>
      <c r="K87" t="s">
        <v>42</v>
      </c>
      <c r="L87" t="s">
        <v>55</v>
      </c>
      <c r="M87">
        <v>1</v>
      </c>
      <c r="N87">
        <v>153</v>
      </c>
      <c r="O87" t="s">
        <v>56</v>
      </c>
      <c r="P87">
        <v>30</v>
      </c>
      <c r="Q87">
        <v>60</v>
      </c>
      <c r="R87">
        <v>10</v>
      </c>
      <c r="S87">
        <v>90</v>
      </c>
      <c r="T87">
        <v>83</v>
      </c>
      <c r="U87" t="s">
        <v>36</v>
      </c>
      <c r="V87" s="2">
        <v>6.5359477124183009E-3</v>
      </c>
      <c r="W87" s="2">
        <v>0.60784313725490191</v>
      </c>
      <c r="X87">
        <v>29</v>
      </c>
    </row>
    <row r="88" spans="1:24" x14ac:dyDescent="0.3">
      <c r="A88">
        <v>702</v>
      </c>
      <c r="B88">
        <v>34</v>
      </c>
      <c r="C88">
        <v>-33</v>
      </c>
      <c r="D88" s="1">
        <v>41004</v>
      </c>
      <c r="E88">
        <v>240</v>
      </c>
      <c r="F88">
        <v>43</v>
      </c>
      <c r="G88" t="s">
        <v>40</v>
      </c>
      <c r="H88" t="s">
        <v>37</v>
      </c>
      <c r="I88">
        <v>12</v>
      </c>
      <c r="J88" t="s">
        <v>41</v>
      </c>
      <c r="K88" t="s">
        <v>46</v>
      </c>
      <c r="L88" t="s">
        <v>53</v>
      </c>
      <c r="M88">
        <v>-3</v>
      </c>
      <c r="N88">
        <v>82</v>
      </c>
      <c r="O88" t="s">
        <v>49</v>
      </c>
      <c r="P88">
        <v>40</v>
      </c>
      <c r="Q88">
        <v>60</v>
      </c>
      <c r="R88">
        <v>30</v>
      </c>
      <c r="S88">
        <v>100</v>
      </c>
      <c r="T88">
        <v>45</v>
      </c>
      <c r="U88" t="s">
        <v>36</v>
      </c>
      <c r="V88" s="2">
        <v>-3.6585365853658534E-2</v>
      </c>
      <c r="W88" s="2">
        <v>0.58536585365853655</v>
      </c>
      <c r="X88">
        <v>33</v>
      </c>
    </row>
    <row r="89" spans="1:24" x14ac:dyDescent="0.3">
      <c r="A89">
        <v>971</v>
      </c>
      <c r="B89">
        <v>54</v>
      </c>
      <c r="C89">
        <v>-22</v>
      </c>
      <c r="D89" s="1">
        <v>41005</v>
      </c>
      <c r="E89">
        <v>404</v>
      </c>
      <c r="F89">
        <v>66</v>
      </c>
      <c r="G89" t="s">
        <v>40</v>
      </c>
      <c r="H89" t="s">
        <v>37</v>
      </c>
      <c r="I89">
        <v>20</v>
      </c>
      <c r="J89" t="s">
        <v>41</v>
      </c>
      <c r="K89" t="s">
        <v>42</v>
      </c>
      <c r="L89" t="s">
        <v>55</v>
      </c>
      <c r="M89">
        <v>18</v>
      </c>
      <c r="N89">
        <v>128</v>
      </c>
      <c r="O89" t="s">
        <v>57</v>
      </c>
      <c r="P89">
        <v>40</v>
      </c>
      <c r="Q89">
        <v>60</v>
      </c>
      <c r="R89">
        <v>40</v>
      </c>
      <c r="S89">
        <v>100</v>
      </c>
      <c r="T89">
        <v>54</v>
      </c>
      <c r="U89" t="s">
        <v>36</v>
      </c>
      <c r="V89" s="2">
        <v>0.140625</v>
      </c>
      <c r="W89" s="2">
        <v>0.578125</v>
      </c>
      <c r="X89">
        <v>34</v>
      </c>
    </row>
    <row r="90" spans="1:24" x14ac:dyDescent="0.3">
      <c r="A90">
        <v>573</v>
      </c>
      <c r="B90">
        <v>45</v>
      </c>
      <c r="C90">
        <v>-39</v>
      </c>
      <c r="D90" s="1">
        <v>41006</v>
      </c>
      <c r="E90">
        <v>320</v>
      </c>
      <c r="F90">
        <v>64</v>
      </c>
      <c r="G90" t="s">
        <v>40</v>
      </c>
      <c r="H90" t="s">
        <v>23</v>
      </c>
      <c r="I90">
        <v>41</v>
      </c>
      <c r="J90" t="s">
        <v>24</v>
      </c>
      <c r="K90" t="s">
        <v>25</v>
      </c>
      <c r="L90" t="s">
        <v>58</v>
      </c>
      <c r="M90">
        <v>-9</v>
      </c>
      <c r="N90">
        <v>116</v>
      </c>
      <c r="O90" t="s">
        <v>59</v>
      </c>
      <c r="P90">
        <v>20</v>
      </c>
      <c r="Q90">
        <v>60</v>
      </c>
      <c r="R90">
        <v>30</v>
      </c>
      <c r="S90">
        <v>80</v>
      </c>
      <c r="T90">
        <v>70</v>
      </c>
      <c r="U90" t="s">
        <v>28</v>
      </c>
      <c r="V90" s="2">
        <v>-7.7586206896551727E-2</v>
      </c>
      <c r="W90" s="2">
        <v>0.61206896551724133</v>
      </c>
      <c r="X90">
        <v>29</v>
      </c>
    </row>
    <row r="91" spans="1:24" x14ac:dyDescent="0.3">
      <c r="A91">
        <v>262</v>
      </c>
      <c r="B91">
        <v>48</v>
      </c>
      <c r="C91">
        <v>7</v>
      </c>
      <c r="D91" s="1">
        <v>41007</v>
      </c>
      <c r="E91">
        <v>851</v>
      </c>
      <c r="F91">
        <v>70</v>
      </c>
      <c r="G91" t="s">
        <v>40</v>
      </c>
      <c r="H91" t="s">
        <v>23</v>
      </c>
      <c r="I91">
        <v>13</v>
      </c>
      <c r="J91" t="s">
        <v>24</v>
      </c>
      <c r="K91" t="s">
        <v>25</v>
      </c>
      <c r="L91" t="s">
        <v>26</v>
      </c>
      <c r="M91">
        <v>67</v>
      </c>
      <c r="N91">
        <v>126</v>
      </c>
      <c r="O91" t="s">
        <v>60</v>
      </c>
      <c r="P91">
        <v>30</v>
      </c>
      <c r="Q91">
        <v>60</v>
      </c>
      <c r="R91">
        <v>60</v>
      </c>
      <c r="S91">
        <v>90</v>
      </c>
      <c r="T91">
        <v>25</v>
      </c>
      <c r="U91" t="s">
        <v>28</v>
      </c>
      <c r="V91" s="2">
        <v>0.53174603174603174</v>
      </c>
      <c r="W91" s="2">
        <v>0.61904761904761907</v>
      </c>
      <c r="X91">
        <v>12</v>
      </c>
    </row>
    <row r="92" spans="1:24" x14ac:dyDescent="0.3">
      <c r="A92">
        <v>801</v>
      </c>
      <c r="B92">
        <v>49</v>
      </c>
      <c r="C92">
        <v>-11</v>
      </c>
      <c r="D92" s="1">
        <v>41008</v>
      </c>
      <c r="E92">
        <v>310</v>
      </c>
      <c r="F92">
        <v>71</v>
      </c>
      <c r="G92" t="s">
        <v>40</v>
      </c>
      <c r="H92" t="s">
        <v>37</v>
      </c>
      <c r="I92">
        <v>15</v>
      </c>
      <c r="J92" t="s">
        <v>24</v>
      </c>
      <c r="K92" t="s">
        <v>25</v>
      </c>
      <c r="L92" t="s">
        <v>58</v>
      </c>
      <c r="M92">
        <v>49</v>
      </c>
      <c r="N92">
        <v>128</v>
      </c>
      <c r="O92" t="s">
        <v>50</v>
      </c>
      <c r="P92">
        <v>30</v>
      </c>
      <c r="Q92">
        <v>60</v>
      </c>
      <c r="R92">
        <v>60</v>
      </c>
      <c r="S92">
        <v>90</v>
      </c>
      <c r="T92">
        <v>38</v>
      </c>
      <c r="U92" t="s">
        <v>28</v>
      </c>
      <c r="V92" s="2">
        <v>0.3828125</v>
      </c>
      <c r="W92" s="2">
        <v>0.6171875</v>
      </c>
      <c r="X92">
        <v>23</v>
      </c>
    </row>
    <row r="93" spans="1:24" x14ac:dyDescent="0.3">
      <c r="A93">
        <v>509</v>
      </c>
      <c r="B93">
        <v>48</v>
      </c>
      <c r="C93">
        <v>10</v>
      </c>
      <c r="D93" s="1">
        <v>41009</v>
      </c>
      <c r="E93">
        <v>829</v>
      </c>
      <c r="F93">
        <v>71</v>
      </c>
      <c r="G93" t="s">
        <v>40</v>
      </c>
      <c r="H93" t="s">
        <v>37</v>
      </c>
      <c r="I93">
        <v>13</v>
      </c>
      <c r="J93" t="s">
        <v>24</v>
      </c>
      <c r="K93" t="s">
        <v>25</v>
      </c>
      <c r="L93" t="s">
        <v>26</v>
      </c>
      <c r="M93">
        <v>70</v>
      </c>
      <c r="N93">
        <v>127</v>
      </c>
      <c r="O93" t="s">
        <v>61</v>
      </c>
      <c r="P93">
        <v>30</v>
      </c>
      <c r="Q93">
        <v>60</v>
      </c>
      <c r="R93">
        <v>60</v>
      </c>
      <c r="S93">
        <v>90</v>
      </c>
      <c r="T93">
        <v>24</v>
      </c>
      <c r="U93" t="s">
        <v>28</v>
      </c>
      <c r="V93" s="2">
        <v>0.55118110236220474</v>
      </c>
      <c r="W93" s="2">
        <v>0.62204724409448819</v>
      </c>
      <c r="X93">
        <v>11</v>
      </c>
    </row>
    <row r="94" spans="1:24" x14ac:dyDescent="0.3">
      <c r="A94">
        <v>475</v>
      </c>
      <c r="B94">
        <v>40</v>
      </c>
      <c r="C94">
        <v>3</v>
      </c>
      <c r="D94" s="1">
        <v>41010</v>
      </c>
      <c r="E94">
        <v>881</v>
      </c>
      <c r="F94">
        <v>59</v>
      </c>
      <c r="G94" t="s">
        <v>40</v>
      </c>
      <c r="H94" t="s">
        <v>32</v>
      </c>
      <c r="I94">
        <v>11</v>
      </c>
      <c r="J94" t="s">
        <v>24</v>
      </c>
      <c r="K94" t="s">
        <v>33</v>
      </c>
      <c r="L94" t="s">
        <v>34</v>
      </c>
      <c r="M94">
        <v>53</v>
      </c>
      <c r="N94">
        <v>106</v>
      </c>
      <c r="O94" t="s">
        <v>45</v>
      </c>
      <c r="P94">
        <v>40</v>
      </c>
      <c r="Q94">
        <v>60</v>
      </c>
      <c r="R94">
        <v>50</v>
      </c>
      <c r="S94">
        <v>100</v>
      </c>
      <c r="T94">
        <v>23</v>
      </c>
      <c r="U94" t="s">
        <v>36</v>
      </c>
      <c r="V94" s="2">
        <v>0.5</v>
      </c>
      <c r="W94" s="2">
        <v>0.62264150943396224</v>
      </c>
      <c r="X94">
        <v>12</v>
      </c>
    </row>
    <row r="95" spans="1:24" x14ac:dyDescent="0.3">
      <c r="A95">
        <v>503</v>
      </c>
      <c r="B95">
        <v>82</v>
      </c>
      <c r="C95">
        <v>45</v>
      </c>
      <c r="D95" s="1">
        <v>41011</v>
      </c>
      <c r="E95">
        <v>788</v>
      </c>
      <c r="F95">
        <v>123</v>
      </c>
      <c r="G95" t="s">
        <v>40</v>
      </c>
      <c r="H95" t="s">
        <v>37</v>
      </c>
      <c r="I95">
        <v>27</v>
      </c>
      <c r="J95" t="s">
        <v>24</v>
      </c>
      <c r="K95" t="s">
        <v>33</v>
      </c>
      <c r="L95" t="s">
        <v>62</v>
      </c>
      <c r="M95">
        <v>95</v>
      </c>
      <c r="N95">
        <v>218</v>
      </c>
      <c r="O95" t="s">
        <v>57</v>
      </c>
      <c r="P95">
        <v>30</v>
      </c>
      <c r="Q95">
        <v>60</v>
      </c>
      <c r="R95">
        <v>50</v>
      </c>
      <c r="S95">
        <v>90</v>
      </c>
      <c r="T95">
        <v>59</v>
      </c>
      <c r="U95" t="s">
        <v>36</v>
      </c>
      <c r="V95" s="2">
        <v>0.43577981651376146</v>
      </c>
      <c r="W95" s="2">
        <v>0.62385321100917435</v>
      </c>
      <c r="X95">
        <v>32</v>
      </c>
    </row>
    <row r="96" spans="1:24" x14ac:dyDescent="0.3">
      <c r="A96">
        <v>541</v>
      </c>
      <c r="B96">
        <v>91</v>
      </c>
      <c r="C96">
        <v>63</v>
      </c>
      <c r="D96" s="1">
        <v>41012</v>
      </c>
      <c r="E96">
        <v>656</v>
      </c>
      <c r="F96">
        <v>127</v>
      </c>
      <c r="G96" t="s">
        <v>40</v>
      </c>
      <c r="H96" t="s">
        <v>37</v>
      </c>
      <c r="I96">
        <v>28</v>
      </c>
      <c r="J96" t="s">
        <v>24</v>
      </c>
      <c r="K96" t="s">
        <v>33</v>
      </c>
      <c r="L96" t="s">
        <v>38</v>
      </c>
      <c r="M96">
        <v>113</v>
      </c>
      <c r="N96">
        <v>232</v>
      </c>
      <c r="O96" t="s">
        <v>57</v>
      </c>
      <c r="P96">
        <v>40</v>
      </c>
      <c r="Q96">
        <v>60</v>
      </c>
      <c r="R96">
        <v>50</v>
      </c>
      <c r="S96">
        <v>100</v>
      </c>
      <c r="T96">
        <v>51</v>
      </c>
      <c r="U96" t="s">
        <v>36</v>
      </c>
      <c r="V96" s="2">
        <v>0.48706896551724138</v>
      </c>
      <c r="W96" s="2">
        <v>0.60775862068965514</v>
      </c>
      <c r="X96">
        <v>23</v>
      </c>
    </row>
    <row r="97" spans="1:24" x14ac:dyDescent="0.3">
      <c r="A97">
        <v>936</v>
      </c>
      <c r="B97">
        <v>40</v>
      </c>
      <c r="C97">
        <v>-1</v>
      </c>
      <c r="D97" s="1">
        <v>41013</v>
      </c>
      <c r="E97">
        <v>536</v>
      </c>
      <c r="F97">
        <v>52</v>
      </c>
      <c r="G97" t="s">
        <v>22</v>
      </c>
      <c r="H97" t="s">
        <v>30</v>
      </c>
      <c r="I97">
        <v>13</v>
      </c>
      <c r="J97" t="s">
        <v>41</v>
      </c>
      <c r="K97" t="s">
        <v>46</v>
      </c>
      <c r="L97" t="s">
        <v>47</v>
      </c>
      <c r="M97">
        <v>39</v>
      </c>
      <c r="N97">
        <v>98</v>
      </c>
      <c r="O97" t="s">
        <v>31</v>
      </c>
      <c r="P97">
        <v>40</v>
      </c>
      <c r="Q97">
        <v>60</v>
      </c>
      <c r="R97">
        <v>40</v>
      </c>
      <c r="S97">
        <v>100</v>
      </c>
      <c r="T97">
        <v>26</v>
      </c>
      <c r="U97" t="s">
        <v>28</v>
      </c>
      <c r="V97" s="2">
        <v>0.39795918367346939</v>
      </c>
      <c r="W97" s="2">
        <v>0.59183673469387754</v>
      </c>
      <c r="X97">
        <v>13</v>
      </c>
    </row>
    <row r="98" spans="1:24" x14ac:dyDescent="0.3">
      <c r="A98">
        <v>254</v>
      </c>
      <c r="B98">
        <v>50</v>
      </c>
      <c r="C98">
        <v>31</v>
      </c>
      <c r="D98" s="1">
        <v>41014</v>
      </c>
      <c r="E98">
        <v>589</v>
      </c>
      <c r="F98">
        <v>73</v>
      </c>
      <c r="G98" t="s">
        <v>22</v>
      </c>
      <c r="H98" t="s">
        <v>30</v>
      </c>
      <c r="I98">
        <v>14</v>
      </c>
      <c r="J98" t="s">
        <v>41</v>
      </c>
      <c r="K98" t="s">
        <v>42</v>
      </c>
      <c r="L98" t="s">
        <v>43</v>
      </c>
      <c r="M98">
        <v>71</v>
      </c>
      <c r="N98">
        <v>131</v>
      </c>
      <c r="O98" t="s">
        <v>31</v>
      </c>
      <c r="P98">
        <v>30</v>
      </c>
      <c r="Q98">
        <v>60</v>
      </c>
      <c r="R98">
        <v>40</v>
      </c>
      <c r="S98">
        <v>90</v>
      </c>
      <c r="T98">
        <v>25</v>
      </c>
      <c r="U98" t="s">
        <v>28</v>
      </c>
      <c r="V98" s="2">
        <v>0.5419847328244275</v>
      </c>
      <c r="W98" s="2">
        <v>0.61832061068702293</v>
      </c>
      <c r="X98">
        <v>11</v>
      </c>
    </row>
    <row r="99" spans="1:24" x14ac:dyDescent="0.3">
      <c r="A99">
        <v>719</v>
      </c>
      <c r="B99">
        <v>40</v>
      </c>
      <c r="C99">
        <v>0</v>
      </c>
      <c r="D99" s="1">
        <v>41015</v>
      </c>
      <c r="E99">
        <v>536</v>
      </c>
      <c r="F99">
        <v>52</v>
      </c>
      <c r="G99" t="s">
        <v>22</v>
      </c>
      <c r="H99" t="s">
        <v>23</v>
      </c>
      <c r="I99">
        <v>13</v>
      </c>
      <c r="J99" t="s">
        <v>41</v>
      </c>
      <c r="K99" t="s">
        <v>46</v>
      </c>
      <c r="L99" t="s">
        <v>53</v>
      </c>
      <c r="M99">
        <v>40</v>
      </c>
      <c r="N99">
        <v>98</v>
      </c>
      <c r="O99" t="s">
        <v>27</v>
      </c>
      <c r="P99">
        <v>30</v>
      </c>
      <c r="Q99">
        <v>60</v>
      </c>
      <c r="R99">
        <v>40</v>
      </c>
      <c r="S99">
        <v>90</v>
      </c>
      <c r="T99">
        <v>25</v>
      </c>
      <c r="U99" t="s">
        <v>36</v>
      </c>
      <c r="V99" s="2">
        <v>0.40816326530612246</v>
      </c>
      <c r="W99" s="2">
        <v>0.59183673469387754</v>
      </c>
      <c r="X99">
        <v>12</v>
      </c>
    </row>
    <row r="100" spans="1:24" x14ac:dyDescent="0.3">
      <c r="A100">
        <v>339</v>
      </c>
      <c r="B100">
        <v>52</v>
      </c>
      <c r="C100">
        <v>-12</v>
      </c>
      <c r="D100" s="1">
        <v>41016</v>
      </c>
      <c r="E100">
        <v>554</v>
      </c>
      <c r="F100">
        <v>68</v>
      </c>
      <c r="G100" t="s">
        <v>22</v>
      </c>
      <c r="H100" t="s">
        <v>32</v>
      </c>
      <c r="I100">
        <v>47</v>
      </c>
      <c r="J100" t="s">
        <v>41</v>
      </c>
      <c r="K100" t="s">
        <v>42</v>
      </c>
      <c r="L100" t="s">
        <v>54</v>
      </c>
      <c r="M100">
        <v>-12</v>
      </c>
      <c r="N100">
        <v>128</v>
      </c>
      <c r="O100" t="s">
        <v>63</v>
      </c>
      <c r="P100">
        <v>50</v>
      </c>
      <c r="Q100">
        <v>60</v>
      </c>
      <c r="R100">
        <v>0</v>
      </c>
      <c r="S100">
        <v>110</v>
      </c>
      <c r="T100">
        <v>76</v>
      </c>
      <c r="U100" t="s">
        <v>36</v>
      </c>
      <c r="V100" s="2">
        <v>-9.375E-2</v>
      </c>
      <c r="W100" s="2">
        <v>0.59375</v>
      </c>
      <c r="X100">
        <v>29</v>
      </c>
    </row>
    <row r="101" spans="1:24" x14ac:dyDescent="0.3">
      <c r="A101">
        <v>561</v>
      </c>
      <c r="B101">
        <v>75</v>
      </c>
      <c r="C101">
        <v>35</v>
      </c>
      <c r="D101" s="1">
        <v>41017</v>
      </c>
      <c r="E101">
        <v>1063</v>
      </c>
      <c r="F101">
        <v>89</v>
      </c>
      <c r="G101" t="s">
        <v>22</v>
      </c>
      <c r="H101" t="s">
        <v>32</v>
      </c>
      <c r="I101">
        <v>23</v>
      </c>
      <c r="J101" t="s">
        <v>24</v>
      </c>
      <c r="K101" t="s">
        <v>25</v>
      </c>
      <c r="L101" t="s">
        <v>29</v>
      </c>
      <c r="M101">
        <v>65</v>
      </c>
      <c r="N101">
        <v>175</v>
      </c>
      <c r="O101" t="s">
        <v>35</v>
      </c>
      <c r="P101">
        <v>50</v>
      </c>
      <c r="Q101">
        <v>60</v>
      </c>
      <c r="R101">
        <v>30</v>
      </c>
      <c r="S101">
        <v>110</v>
      </c>
      <c r="T101">
        <v>45</v>
      </c>
      <c r="U101" t="s">
        <v>28</v>
      </c>
      <c r="V101" s="2">
        <v>0.37142857142857144</v>
      </c>
      <c r="W101" s="2">
        <v>0.5714285714285714</v>
      </c>
      <c r="X101">
        <v>22</v>
      </c>
    </row>
    <row r="102" spans="1:24" x14ac:dyDescent="0.3">
      <c r="A102">
        <v>806</v>
      </c>
      <c r="B102">
        <v>46</v>
      </c>
      <c r="C102">
        <v>16</v>
      </c>
      <c r="D102" s="1">
        <v>41018</v>
      </c>
      <c r="E102">
        <v>424</v>
      </c>
      <c r="F102">
        <v>68</v>
      </c>
      <c r="G102" t="s">
        <v>22</v>
      </c>
      <c r="H102" t="s">
        <v>30</v>
      </c>
      <c r="I102">
        <v>14</v>
      </c>
      <c r="J102" t="s">
        <v>24</v>
      </c>
      <c r="K102" t="s">
        <v>25</v>
      </c>
      <c r="L102" t="s">
        <v>26</v>
      </c>
      <c r="M102">
        <v>46</v>
      </c>
      <c r="N102">
        <v>121</v>
      </c>
      <c r="O102" t="s">
        <v>31</v>
      </c>
      <c r="P102">
        <v>40</v>
      </c>
      <c r="Q102">
        <v>60</v>
      </c>
      <c r="R102">
        <v>30</v>
      </c>
      <c r="S102">
        <v>100</v>
      </c>
      <c r="T102">
        <v>37</v>
      </c>
      <c r="U102" t="s">
        <v>28</v>
      </c>
      <c r="V102" s="2">
        <v>0.38016528925619836</v>
      </c>
      <c r="W102" s="2">
        <v>0.6198347107438017</v>
      </c>
      <c r="X102">
        <v>23</v>
      </c>
    </row>
    <row r="103" spans="1:24" x14ac:dyDescent="0.3">
      <c r="A103">
        <v>719</v>
      </c>
      <c r="B103">
        <v>55</v>
      </c>
      <c r="C103">
        <v>2</v>
      </c>
      <c r="D103" s="1">
        <v>41019</v>
      </c>
      <c r="E103">
        <v>410</v>
      </c>
      <c r="F103">
        <v>69</v>
      </c>
      <c r="G103" t="s">
        <v>22</v>
      </c>
      <c r="H103" t="s">
        <v>23</v>
      </c>
      <c r="I103">
        <v>20</v>
      </c>
      <c r="J103" t="s">
        <v>24</v>
      </c>
      <c r="K103" t="s">
        <v>33</v>
      </c>
      <c r="L103" t="s">
        <v>34</v>
      </c>
      <c r="M103">
        <v>22</v>
      </c>
      <c r="N103">
        <v>132</v>
      </c>
      <c r="O103" t="s">
        <v>27</v>
      </c>
      <c r="P103">
        <v>40</v>
      </c>
      <c r="Q103">
        <v>60</v>
      </c>
      <c r="R103">
        <v>20</v>
      </c>
      <c r="S103">
        <v>100</v>
      </c>
      <c r="T103">
        <v>54</v>
      </c>
      <c r="U103" t="s">
        <v>36</v>
      </c>
      <c r="V103" s="2">
        <v>0.16666666666666666</v>
      </c>
      <c r="W103" s="2">
        <v>0.58333333333333337</v>
      </c>
      <c r="X103">
        <v>34</v>
      </c>
    </row>
    <row r="104" spans="1:24" x14ac:dyDescent="0.3">
      <c r="A104">
        <v>708</v>
      </c>
      <c r="B104">
        <v>50</v>
      </c>
      <c r="C104">
        <v>31</v>
      </c>
      <c r="D104" s="1">
        <v>41020</v>
      </c>
      <c r="E104">
        <v>589</v>
      </c>
      <c r="F104">
        <v>73</v>
      </c>
      <c r="G104" t="s">
        <v>22</v>
      </c>
      <c r="H104" t="s">
        <v>23</v>
      </c>
      <c r="I104">
        <v>14</v>
      </c>
      <c r="J104" t="s">
        <v>24</v>
      </c>
      <c r="K104" t="s">
        <v>33</v>
      </c>
      <c r="L104" t="s">
        <v>34</v>
      </c>
      <c r="M104">
        <v>71</v>
      </c>
      <c r="N104">
        <v>131</v>
      </c>
      <c r="O104" t="s">
        <v>64</v>
      </c>
      <c r="P104">
        <v>40</v>
      </c>
      <c r="Q104">
        <v>60</v>
      </c>
      <c r="R104">
        <v>40</v>
      </c>
      <c r="S104">
        <v>100</v>
      </c>
      <c r="T104">
        <v>25</v>
      </c>
      <c r="U104" t="s">
        <v>36</v>
      </c>
      <c r="V104" s="2">
        <v>0.5419847328244275</v>
      </c>
      <c r="W104" s="2">
        <v>0.61832061068702293</v>
      </c>
      <c r="X104">
        <v>11</v>
      </c>
    </row>
    <row r="105" spans="1:24" x14ac:dyDescent="0.3">
      <c r="A105">
        <v>719</v>
      </c>
      <c r="B105">
        <v>57</v>
      </c>
      <c r="C105">
        <v>13</v>
      </c>
      <c r="D105" s="1">
        <v>41021</v>
      </c>
      <c r="E105">
        <v>1042</v>
      </c>
      <c r="F105">
        <v>68</v>
      </c>
      <c r="G105" t="s">
        <v>22</v>
      </c>
      <c r="H105" t="s">
        <v>23</v>
      </c>
      <c r="I105">
        <v>17</v>
      </c>
      <c r="J105" t="s">
        <v>24</v>
      </c>
      <c r="K105" t="s">
        <v>33</v>
      </c>
      <c r="L105" t="s">
        <v>62</v>
      </c>
      <c r="M105">
        <v>43</v>
      </c>
      <c r="N105">
        <v>133</v>
      </c>
      <c r="O105" t="s">
        <v>27</v>
      </c>
      <c r="P105">
        <v>40</v>
      </c>
      <c r="Q105">
        <v>60</v>
      </c>
      <c r="R105">
        <v>30</v>
      </c>
      <c r="S105">
        <v>100</v>
      </c>
      <c r="T105">
        <v>39</v>
      </c>
      <c r="U105" t="s">
        <v>36</v>
      </c>
      <c r="V105" s="2">
        <v>0.32330827067669171</v>
      </c>
      <c r="W105" s="2">
        <v>0.5714285714285714</v>
      </c>
      <c r="X105">
        <v>22</v>
      </c>
    </row>
    <row r="106" spans="1:24" x14ac:dyDescent="0.3">
      <c r="A106">
        <v>351</v>
      </c>
      <c r="B106">
        <v>36</v>
      </c>
      <c r="C106">
        <v>6</v>
      </c>
      <c r="D106" s="1">
        <v>41022</v>
      </c>
      <c r="E106">
        <v>862</v>
      </c>
      <c r="F106">
        <v>52</v>
      </c>
      <c r="G106" t="s">
        <v>22</v>
      </c>
      <c r="H106" t="s">
        <v>32</v>
      </c>
      <c r="I106">
        <v>10</v>
      </c>
      <c r="J106" t="s">
        <v>24</v>
      </c>
      <c r="K106" t="s">
        <v>33</v>
      </c>
      <c r="L106" t="s">
        <v>34</v>
      </c>
      <c r="M106">
        <v>46</v>
      </c>
      <c r="N106">
        <v>94</v>
      </c>
      <c r="O106" t="s">
        <v>63</v>
      </c>
      <c r="P106">
        <v>30</v>
      </c>
      <c r="Q106">
        <v>60</v>
      </c>
      <c r="R106">
        <v>40</v>
      </c>
      <c r="S106">
        <v>90</v>
      </c>
      <c r="T106">
        <v>21</v>
      </c>
      <c r="U106" t="s">
        <v>36</v>
      </c>
      <c r="V106" s="2">
        <v>0.48936170212765956</v>
      </c>
      <c r="W106" s="2">
        <v>0.61702127659574468</v>
      </c>
      <c r="X106">
        <v>11</v>
      </c>
    </row>
    <row r="107" spans="1:24" x14ac:dyDescent="0.3">
      <c r="A107">
        <v>636</v>
      </c>
      <c r="B107">
        <v>33</v>
      </c>
      <c r="C107">
        <v>-10</v>
      </c>
      <c r="D107" s="1">
        <v>41023</v>
      </c>
      <c r="E107">
        <v>836</v>
      </c>
      <c r="F107">
        <v>48</v>
      </c>
      <c r="G107" t="s">
        <v>40</v>
      </c>
      <c r="H107" t="s">
        <v>23</v>
      </c>
      <c r="I107">
        <v>9</v>
      </c>
      <c r="J107" t="s">
        <v>41</v>
      </c>
      <c r="K107" t="s">
        <v>42</v>
      </c>
      <c r="L107" t="s">
        <v>43</v>
      </c>
      <c r="M107">
        <v>40</v>
      </c>
      <c r="N107">
        <v>86</v>
      </c>
      <c r="O107" t="s">
        <v>59</v>
      </c>
      <c r="P107">
        <v>40</v>
      </c>
      <c r="Q107">
        <v>60</v>
      </c>
      <c r="R107">
        <v>50</v>
      </c>
      <c r="S107">
        <v>100</v>
      </c>
      <c r="T107">
        <v>21</v>
      </c>
      <c r="U107" t="s">
        <v>28</v>
      </c>
      <c r="V107" s="2">
        <v>0.46511627906976744</v>
      </c>
      <c r="W107" s="2">
        <v>0.61627906976744184</v>
      </c>
      <c r="X107">
        <v>12</v>
      </c>
    </row>
    <row r="108" spans="1:24" x14ac:dyDescent="0.3">
      <c r="A108">
        <v>504</v>
      </c>
      <c r="B108">
        <v>31</v>
      </c>
      <c r="C108">
        <v>-8</v>
      </c>
      <c r="D108" s="1">
        <v>41024</v>
      </c>
      <c r="E108">
        <v>856</v>
      </c>
      <c r="F108">
        <v>47</v>
      </c>
      <c r="G108" t="s">
        <v>40</v>
      </c>
      <c r="H108" t="s">
        <v>30</v>
      </c>
      <c r="I108">
        <v>8</v>
      </c>
      <c r="J108" t="s">
        <v>41</v>
      </c>
      <c r="K108" t="s">
        <v>46</v>
      </c>
      <c r="L108" t="s">
        <v>47</v>
      </c>
      <c r="M108">
        <v>42</v>
      </c>
      <c r="N108">
        <v>83</v>
      </c>
      <c r="O108" t="s">
        <v>56</v>
      </c>
      <c r="P108">
        <v>30</v>
      </c>
      <c r="Q108">
        <v>60</v>
      </c>
      <c r="R108">
        <v>50</v>
      </c>
      <c r="S108">
        <v>90</v>
      </c>
      <c r="T108">
        <v>19</v>
      </c>
      <c r="U108" t="s">
        <v>28</v>
      </c>
      <c r="V108" s="2">
        <v>0.50602409638554213</v>
      </c>
      <c r="W108" s="2">
        <v>0.62650602409638556</v>
      </c>
      <c r="X108">
        <v>11</v>
      </c>
    </row>
    <row r="109" spans="1:24" x14ac:dyDescent="0.3">
      <c r="A109">
        <v>580</v>
      </c>
      <c r="B109">
        <v>36</v>
      </c>
      <c r="C109">
        <v>5</v>
      </c>
      <c r="D109" s="1">
        <v>41025</v>
      </c>
      <c r="E109">
        <v>862</v>
      </c>
      <c r="F109">
        <v>52</v>
      </c>
      <c r="G109" t="s">
        <v>40</v>
      </c>
      <c r="H109" t="s">
        <v>30</v>
      </c>
      <c r="I109">
        <v>10</v>
      </c>
      <c r="J109" t="s">
        <v>41</v>
      </c>
      <c r="K109" t="s">
        <v>46</v>
      </c>
      <c r="L109" t="s">
        <v>47</v>
      </c>
      <c r="M109">
        <v>45</v>
      </c>
      <c r="N109">
        <v>94</v>
      </c>
      <c r="O109" t="s">
        <v>48</v>
      </c>
      <c r="P109">
        <v>40</v>
      </c>
      <c r="Q109">
        <v>60</v>
      </c>
      <c r="R109">
        <v>40</v>
      </c>
      <c r="S109">
        <v>100</v>
      </c>
      <c r="T109">
        <v>22</v>
      </c>
      <c r="U109" t="s">
        <v>28</v>
      </c>
      <c r="V109" s="2">
        <v>0.47872340425531917</v>
      </c>
      <c r="W109" s="2">
        <v>0.61702127659574468</v>
      </c>
      <c r="X109">
        <v>12</v>
      </c>
    </row>
    <row r="110" spans="1:24" x14ac:dyDescent="0.3">
      <c r="A110">
        <v>337</v>
      </c>
      <c r="B110">
        <v>49</v>
      </c>
      <c r="C110">
        <v>20</v>
      </c>
      <c r="D110" s="1">
        <v>41026</v>
      </c>
      <c r="E110">
        <v>454</v>
      </c>
      <c r="F110">
        <v>71</v>
      </c>
      <c r="G110" t="s">
        <v>40</v>
      </c>
      <c r="H110" t="s">
        <v>30</v>
      </c>
      <c r="I110">
        <v>15</v>
      </c>
      <c r="J110" t="s">
        <v>41</v>
      </c>
      <c r="K110" t="s">
        <v>42</v>
      </c>
      <c r="L110" t="s">
        <v>43</v>
      </c>
      <c r="M110">
        <v>50</v>
      </c>
      <c r="N110">
        <v>128</v>
      </c>
      <c r="O110" t="s">
        <v>56</v>
      </c>
      <c r="P110">
        <v>30</v>
      </c>
      <c r="Q110">
        <v>60</v>
      </c>
      <c r="R110">
        <v>30</v>
      </c>
      <c r="S110">
        <v>90</v>
      </c>
      <c r="T110">
        <v>37</v>
      </c>
      <c r="U110" t="s">
        <v>28</v>
      </c>
      <c r="V110" s="2">
        <v>0.390625</v>
      </c>
      <c r="W110" s="2">
        <v>0.6171875</v>
      </c>
      <c r="X110">
        <v>22</v>
      </c>
    </row>
    <row r="111" spans="1:24" x14ac:dyDescent="0.3">
      <c r="A111">
        <v>262</v>
      </c>
      <c r="B111">
        <v>54</v>
      </c>
      <c r="C111">
        <v>1</v>
      </c>
      <c r="D111" s="1">
        <v>41027</v>
      </c>
      <c r="E111">
        <v>391</v>
      </c>
      <c r="F111">
        <v>67</v>
      </c>
      <c r="G111" t="s">
        <v>40</v>
      </c>
      <c r="H111" t="s">
        <v>23</v>
      </c>
      <c r="I111">
        <v>20</v>
      </c>
      <c r="J111" t="s">
        <v>41</v>
      </c>
      <c r="K111" t="s">
        <v>46</v>
      </c>
      <c r="L111" t="s">
        <v>51</v>
      </c>
      <c r="M111">
        <v>21</v>
      </c>
      <c r="N111">
        <v>129</v>
      </c>
      <c r="O111" t="s">
        <v>60</v>
      </c>
      <c r="P111">
        <v>50</v>
      </c>
      <c r="Q111">
        <v>60</v>
      </c>
      <c r="R111">
        <v>20</v>
      </c>
      <c r="S111">
        <v>110</v>
      </c>
      <c r="T111">
        <v>53</v>
      </c>
      <c r="U111" t="s">
        <v>36</v>
      </c>
      <c r="V111" s="2">
        <v>0.16279069767441862</v>
      </c>
      <c r="W111" s="2">
        <v>0.58139534883720934</v>
      </c>
      <c r="X111">
        <v>33</v>
      </c>
    </row>
    <row r="112" spans="1:24" x14ac:dyDescent="0.3">
      <c r="A112">
        <v>603</v>
      </c>
      <c r="B112">
        <v>46</v>
      </c>
      <c r="C112">
        <v>5</v>
      </c>
      <c r="D112" s="1">
        <v>41028</v>
      </c>
      <c r="E112">
        <v>316</v>
      </c>
      <c r="F112">
        <v>67</v>
      </c>
      <c r="G112" t="s">
        <v>40</v>
      </c>
      <c r="H112" t="s">
        <v>32</v>
      </c>
      <c r="I112">
        <v>14</v>
      </c>
      <c r="J112" t="s">
        <v>41</v>
      </c>
      <c r="K112" t="s">
        <v>46</v>
      </c>
      <c r="L112" t="s">
        <v>51</v>
      </c>
      <c r="M112">
        <v>45</v>
      </c>
      <c r="N112">
        <v>120</v>
      </c>
      <c r="O112" t="s">
        <v>52</v>
      </c>
      <c r="P112">
        <v>40</v>
      </c>
      <c r="Q112">
        <v>60</v>
      </c>
      <c r="R112">
        <v>40</v>
      </c>
      <c r="S112">
        <v>100</v>
      </c>
      <c r="T112">
        <v>37</v>
      </c>
      <c r="U112" t="s">
        <v>36</v>
      </c>
      <c r="V112" s="2">
        <v>0.375</v>
      </c>
      <c r="W112" s="2">
        <v>0.6166666666666667</v>
      </c>
      <c r="X112">
        <v>23</v>
      </c>
    </row>
    <row r="113" spans="1:24" x14ac:dyDescent="0.3">
      <c r="A113">
        <v>603</v>
      </c>
      <c r="B113">
        <v>43</v>
      </c>
      <c r="C113">
        <v>0</v>
      </c>
      <c r="D113" s="1">
        <v>41029</v>
      </c>
      <c r="E113">
        <v>452</v>
      </c>
      <c r="F113">
        <v>66</v>
      </c>
      <c r="G113" t="s">
        <v>40</v>
      </c>
      <c r="H113" t="s">
        <v>32</v>
      </c>
      <c r="I113">
        <v>14</v>
      </c>
      <c r="J113" t="s">
        <v>41</v>
      </c>
      <c r="K113" t="s">
        <v>46</v>
      </c>
      <c r="L113" t="s">
        <v>53</v>
      </c>
      <c r="M113">
        <v>30</v>
      </c>
      <c r="N113">
        <v>116</v>
      </c>
      <c r="O113" t="s">
        <v>52</v>
      </c>
      <c r="P113">
        <v>30</v>
      </c>
      <c r="Q113">
        <v>60</v>
      </c>
      <c r="R113">
        <v>30</v>
      </c>
      <c r="S113">
        <v>90</v>
      </c>
      <c r="T113">
        <v>46</v>
      </c>
      <c r="U113" t="s">
        <v>36</v>
      </c>
      <c r="V113" s="2">
        <v>0.25862068965517243</v>
      </c>
      <c r="W113" s="2">
        <v>0.62931034482758619</v>
      </c>
      <c r="X113">
        <v>32</v>
      </c>
    </row>
    <row r="114" spans="1:24" x14ac:dyDescent="0.3">
      <c r="A114">
        <v>603</v>
      </c>
      <c r="B114">
        <v>44</v>
      </c>
      <c r="C114">
        <v>-22</v>
      </c>
      <c r="D114" s="1">
        <v>41030</v>
      </c>
      <c r="E114">
        <v>325</v>
      </c>
      <c r="F114">
        <v>62</v>
      </c>
      <c r="G114" t="s">
        <v>40</v>
      </c>
      <c r="H114" t="s">
        <v>32</v>
      </c>
      <c r="I114">
        <v>40</v>
      </c>
      <c r="J114" t="s">
        <v>41</v>
      </c>
      <c r="K114" t="s">
        <v>42</v>
      </c>
      <c r="L114" t="s">
        <v>54</v>
      </c>
      <c r="M114">
        <v>-12</v>
      </c>
      <c r="N114">
        <v>113</v>
      </c>
      <c r="O114" t="s">
        <v>52</v>
      </c>
      <c r="P114">
        <v>40</v>
      </c>
      <c r="Q114">
        <v>60</v>
      </c>
      <c r="R114">
        <v>10</v>
      </c>
      <c r="S114">
        <v>100</v>
      </c>
      <c r="T114">
        <v>70</v>
      </c>
      <c r="U114" t="s">
        <v>36</v>
      </c>
      <c r="V114" s="2">
        <v>-0.10619469026548672</v>
      </c>
      <c r="W114" s="2">
        <v>0.61061946902654862</v>
      </c>
      <c r="X114">
        <v>30</v>
      </c>
    </row>
    <row r="115" spans="1:24" x14ac:dyDescent="0.3">
      <c r="A115">
        <v>318</v>
      </c>
      <c r="B115">
        <v>53</v>
      </c>
      <c r="C115">
        <v>43</v>
      </c>
      <c r="D115" s="1">
        <v>41031</v>
      </c>
      <c r="E115">
        <v>321</v>
      </c>
      <c r="F115">
        <v>88</v>
      </c>
      <c r="G115" t="s">
        <v>40</v>
      </c>
      <c r="H115" t="s">
        <v>30</v>
      </c>
      <c r="I115">
        <v>16</v>
      </c>
      <c r="J115" t="s">
        <v>41</v>
      </c>
      <c r="K115" t="s">
        <v>42</v>
      </c>
      <c r="L115" t="s">
        <v>54</v>
      </c>
      <c r="M115">
        <v>73</v>
      </c>
      <c r="N115">
        <v>150</v>
      </c>
      <c r="O115" t="s">
        <v>56</v>
      </c>
      <c r="P115">
        <v>40</v>
      </c>
      <c r="Q115">
        <v>60</v>
      </c>
      <c r="R115">
        <v>30</v>
      </c>
      <c r="S115">
        <v>100</v>
      </c>
      <c r="T115">
        <v>39</v>
      </c>
      <c r="U115" t="s">
        <v>36</v>
      </c>
      <c r="V115" s="2">
        <v>0.48666666666666669</v>
      </c>
      <c r="W115" s="2">
        <v>0.64666666666666661</v>
      </c>
      <c r="X115">
        <v>23</v>
      </c>
    </row>
    <row r="116" spans="1:24" x14ac:dyDescent="0.3">
      <c r="A116">
        <v>206</v>
      </c>
      <c r="B116">
        <v>54</v>
      </c>
      <c r="C116">
        <v>-1</v>
      </c>
      <c r="D116" s="1">
        <v>41032</v>
      </c>
      <c r="E116">
        <v>391</v>
      </c>
      <c r="F116">
        <v>67</v>
      </c>
      <c r="G116" t="s">
        <v>40</v>
      </c>
      <c r="H116" t="s">
        <v>37</v>
      </c>
      <c r="I116">
        <v>20</v>
      </c>
      <c r="J116" t="s">
        <v>41</v>
      </c>
      <c r="K116" t="s">
        <v>42</v>
      </c>
      <c r="L116" t="s">
        <v>54</v>
      </c>
      <c r="M116">
        <v>19</v>
      </c>
      <c r="N116">
        <v>129</v>
      </c>
      <c r="O116" t="s">
        <v>61</v>
      </c>
      <c r="P116">
        <v>50</v>
      </c>
      <c r="Q116">
        <v>60</v>
      </c>
      <c r="R116">
        <v>20</v>
      </c>
      <c r="S116">
        <v>110</v>
      </c>
      <c r="T116">
        <v>54</v>
      </c>
      <c r="U116" t="s">
        <v>36</v>
      </c>
      <c r="V116" s="2">
        <v>0.14728682170542637</v>
      </c>
      <c r="W116" s="2">
        <v>0.58139534883720934</v>
      </c>
      <c r="X116">
        <v>34</v>
      </c>
    </row>
    <row r="117" spans="1:24" x14ac:dyDescent="0.3">
      <c r="A117">
        <v>580</v>
      </c>
      <c r="B117">
        <v>54</v>
      </c>
      <c r="C117">
        <v>-1</v>
      </c>
      <c r="D117" s="1">
        <v>41033</v>
      </c>
      <c r="E117">
        <v>391</v>
      </c>
      <c r="F117">
        <v>67</v>
      </c>
      <c r="G117" t="s">
        <v>40</v>
      </c>
      <c r="H117" t="s">
        <v>30</v>
      </c>
      <c r="I117">
        <v>20</v>
      </c>
      <c r="J117" t="s">
        <v>24</v>
      </c>
      <c r="K117" t="s">
        <v>25</v>
      </c>
      <c r="L117" t="s">
        <v>58</v>
      </c>
      <c r="M117">
        <v>19</v>
      </c>
      <c r="N117">
        <v>129</v>
      </c>
      <c r="O117" t="s">
        <v>48</v>
      </c>
      <c r="P117">
        <v>50</v>
      </c>
      <c r="Q117">
        <v>60</v>
      </c>
      <c r="R117">
        <v>20</v>
      </c>
      <c r="S117">
        <v>110</v>
      </c>
      <c r="T117">
        <v>54</v>
      </c>
      <c r="U117" t="s">
        <v>28</v>
      </c>
      <c r="V117" s="2">
        <v>0.14728682170542637</v>
      </c>
      <c r="W117" s="2">
        <v>0.58139534883720934</v>
      </c>
      <c r="X117">
        <v>34</v>
      </c>
    </row>
    <row r="118" spans="1:24" x14ac:dyDescent="0.3">
      <c r="A118">
        <v>435</v>
      </c>
      <c r="B118">
        <v>46</v>
      </c>
      <c r="C118">
        <v>15</v>
      </c>
      <c r="D118" s="1">
        <v>41034</v>
      </c>
      <c r="E118">
        <v>316</v>
      </c>
      <c r="F118">
        <v>67</v>
      </c>
      <c r="G118" t="s">
        <v>40</v>
      </c>
      <c r="H118" t="s">
        <v>37</v>
      </c>
      <c r="I118">
        <v>14</v>
      </c>
      <c r="J118" t="s">
        <v>24</v>
      </c>
      <c r="K118" t="s">
        <v>25</v>
      </c>
      <c r="L118" t="s">
        <v>58</v>
      </c>
      <c r="M118">
        <v>45</v>
      </c>
      <c r="N118">
        <v>120</v>
      </c>
      <c r="O118" t="s">
        <v>50</v>
      </c>
      <c r="P118">
        <v>40</v>
      </c>
      <c r="Q118">
        <v>60</v>
      </c>
      <c r="R118">
        <v>30</v>
      </c>
      <c r="S118">
        <v>100</v>
      </c>
      <c r="T118">
        <v>37</v>
      </c>
      <c r="U118" t="s">
        <v>28</v>
      </c>
      <c r="V118" s="2">
        <v>0.375</v>
      </c>
      <c r="W118" s="2">
        <v>0.6166666666666667</v>
      </c>
      <c r="X118">
        <v>23</v>
      </c>
    </row>
    <row r="119" spans="1:24" x14ac:dyDescent="0.3">
      <c r="A119">
        <v>435</v>
      </c>
      <c r="B119">
        <v>43</v>
      </c>
      <c r="C119">
        <v>0</v>
      </c>
      <c r="D119" s="1">
        <v>41035</v>
      </c>
      <c r="E119">
        <v>452</v>
      </c>
      <c r="F119">
        <v>66</v>
      </c>
      <c r="G119" t="s">
        <v>40</v>
      </c>
      <c r="H119" t="s">
        <v>37</v>
      </c>
      <c r="I119">
        <v>14</v>
      </c>
      <c r="J119" t="s">
        <v>24</v>
      </c>
      <c r="K119" t="s">
        <v>25</v>
      </c>
      <c r="L119" t="s">
        <v>26</v>
      </c>
      <c r="M119">
        <v>30</v>
      </c>
      <c r="N119">
        <v>116</v>
      </c>
      <c r="O119" t="s">
        <v>50</v>
      </c>
      <c r="P119">
        <v>40</v>
      </c>
      <c r="Q119">
        <v>60</v>
      </c>
      <c r="R119">
        <v>30</v>
      </c>
      <c r="S119">
        <v>100</v>
      </c>
      <c r="T119">
        <v>46</v>
      </c>
      <c r="U119" t="s">
        <v>28</v>
      </c>
      <c r="V119" s="2">
        <v>0.25862068965517243</v>
      </c>
      <c r="W119" s="2">
        <v>0.62931034482758619</v>
      </c>
      <c r="X119">
        <v>32</v>
      </c>
    </row>
    <row r="120" spans="1:24" x14ac:dyDescent="0.3">
      <c r="A120">
        <v>253</v>
      </c>
      <c r="B120">
        <v>47</v>
      </c>
      <c r="C120">
        <v>25</v>
      </c>
      <c r="D120" s="1">
        <v>41036</v>
      </c>
      <c r="E120">
        <v>834</v>
      </c>
      <c r="F120">
        <v>68</v>
      </c>
      <c r="G120" t="s">
        <v>40</v>
      </c>
      <c r="H120" t="s">
        <v>37</v>
      </c>
      <c r="I120">
        <v>13</v>
      </c>
      <c r="J120" t="s">
        <v>24</v>
      </c>
      <c r="K120" t="s">
        <v>25</v>
      </c>
      <c r="L120" t="s">
        <v>26</v>
      </c>
      <c r="M120">
        <v>65</v>
      </c>
      <c r="N120">
        <v>123</v>
      </c>
      <c r="O120" t="s">
        <v>61</v>
      </c>
      <c r="P120">
        <v>40</v>
      </c>
      <c r="Q120">
        <v>60</v>
      </c>
      <c r="R120">
        <v>40</v>
      </c>
      <c r="S120">
        <v>100</v>
      </c>
      <c r="T120">
        <v>24</v>
      </c>
      <c r="U120" t="s">
        <v>28</v>
      </c>
      <c r="V120" s="2">
        <v>0.52845528455284552</v>
      </c>
      <c r="W120" s="2">
        <v>0.61788617886178865</v>
      </c>
      <c r="X120">
        <v>11</v>
      </c>
    </row>
    <row r="121" spans="1:24" x14ac:dyDescent="0.3">
      <c r="A121">
        <v>203</v>
      </c>
      <c r="B121">
        <v>36</v>
      </c>
      <c r="C121">
        <v>9</v>
      </c>
      <c r="D121" s="1">
        <v>41037</v>
      </c>
      <c r="E121">
        <v>809</v>
      </c>
      <c r="F121">
        <v>54</v>
      </c>
      <c r="G121" t="s">
        <v>40</v>
      </c>
      <c r="H121" t="s">
        <v>32</v>
      </c>
      <c r="I121">
        <v>10</v>
      </c>
      <c r="J121" t="s">
        <v>24</v>
      </c>
      <c r="K121" t="s">
        <v>33</v>
      </c>
      <c r="L121" t="s">
        <v>38</v>
      </c>
      <c r="M121">
        <v>49</v>
      </c>
      <c r="N121">
        <v>96</v>
      </c>
      <c r="O121" t="s">
        <v>45</v>
      </c>
      <c r="P121">
        <v>30</v>
      </c>
      <c r="Q121">
        <v>60</v>
      </c>
      <c r="R121">
        <v>40</v>
      </c>
      <c r="S121">
        <v>90</v>
      </c>
      <c r="T121">
        <v>21</v>
      </c>
      <c r="U121" t="s">
        <v>36</v>
      </c>
      <c r="V121" s="2">
        <v>0.51041666666666663</v>
      </c>
      <c r="W121" s="2">
        <v>0.625</v>
      </c>
      <c r="X121">
        <v>11</v>
      </c>
    </row>
    <row r="122" spans="1:24" x14ac:dyDescent="0.3">
      <c r="A122">
        <v>509</v>
      </c>
      <c r="B122">
        <v>61</v>
      </c>
      <c r="C122">
        <v>1</v>
      </c>
      <c r="D122" s="1">
        <v>41038</v>
      </c>
      <c r="E122">
        <v>613</v>
      </c>
      <c r="F122">
        <v>86</v>
      </c>
      <c r="G122" t="s">
        <v>40</v>
      </c>
      <c r="H122" t="s">
        <v>37</v>
      </c>
      <c r="I122">
        <v>55</v>
      </c>
      <c r="J122" t="s">
        <v>24</v>
      </c>
      <c r="K122" t="s">
        <v>33</v>
      </c>
      <c r="L122" t="s">
        <v>38</v>
      </c>
      <c r="M122">
        <v>1</v>
      </c>
      <c r="N122">
        <v>157</v>
      </c>
      <c r="O122" t="s">
        <v>61</v>
      </c>
      <c r="P122">
        <v>40</v>
      </c>
      <c r="Q122">
        <v>60</v>
      </c>
      <c r="R122">
        <v>0</v>
      </c>
      <c r="S122">
        <v>100</v>
      </c>
      <c r="T122">
        <v>85</v>
      </c>
      <c r="U122" t="s">
        <v>36</v>
      </c>
      <c r="V122" s="2">
        <v>6.369426751592357E-3</v>
      </c>
      <c r="W122" s="2">
        <v>0.61146496815286622</v>
      </c>
      <c r="X122">
        <v>30</v>
      </c>
    </row>
    <row r="123" spans="1:24" x14ac:dyDescent="0.3">
      <c r="A123">
        <v>956</v>
      </c>
      <c r="B123">
        <v>43</v>
      </c>
      <c r="C123">
        <v>5</v>
      </c>
      <c r="D123" s="1">
        <v>41039</v>
      </c>
      <c r="E123">
        <v>531</v>
      </c>
      <c r="F123">
        <v>56</v>
      </c>
      <c r="G123" t="s">
        <v>22</v>
      </c>
      <c r="H123" t="s">
        <v>30</v>
      </c>
      <c r="I123">
        <v>14</v>
      </c>
      <c r="J123" t="s">
        <v>41</v>
      </c>
      <c r="K123" t="s">
        <v>46</v>
      </c>
      <c r="L123" t="s">
        <v>47</v>
      </c>
      <c r="M123">
        <v>45</v>
      </c>
      <c r="N123">
        <v>106</v>
      </c>
      <c r="O123" t="s">
        <v>31</v>
      </c>
      <c r="P123">
        <v>50</v>
      </c>
      <c r="Q123">
        <v>60</v>
      </c>
      <c r="R123">
        <v>40</v>
      </c>
      <c r="S123">
        <v>110</v>
      </c>
      <c r="T123">
        <v>26</v>
      </c>
      <c r="U123" t="s">
        <v>28</v>
      </c>
      <c r="V123" s="2">
        <v>0.42452830188679247</v>
      </c>
      <c r="W123" s="2">
        <v>0.59433962264150941</v>
      </c>
      <c r="X123">
        <v>12</v>
      </c>
    </row>
    <row r="124" spans="1:24" x14ac:dyDescent="0.3">
      <c r="A124">
        <v>430</v>
      </c>
      <c r="B124">
        <v>54</v>
      </c>
      <c r="C124">
        <v>37</v>
      </c>
      <c r="D124" s="1">
        <v>41040</v>
      </c>
      <c r="E124">
        <v>601</v>
      </c>
      <c r="F124">
        <v>79</v>
      </c>
      <c r="G124" t="s">
        <v>22</v>
      </c>
      <c r="H124" t="s">
        <v>30</v>
      </c>
      <c r="I124">
        <v>15</v>
      </c>
      <c r="J124" t="s">
        <v>41</v>
      </c>
      <c r="K124" t="s">
        <v>42</v>
      </c>
      <c r="L124" t="s">
        <v>43</v>
      </c>
      <c r="M124">
        <v>77</v>
      </c>
      <c r="N124">
        <v>142</v>
      </c>
      <c r="O124" t="s">
        <v>31</v>
      </c>
      <c r="P124">
        <v>40</v>
      </c>
      <c r="Q124">
        <v>60</v>
      </c>
      <c r="R124">
        <v>40</v>
      </c>
      <c r="S124">
        <v>100</v>
      </c>
      <c r="T124">
        <v>27</v>
      </c>
      <c r="U124" t="s">
        <v>28</v>
      </c>
      <c r="V124" s="2">
        <v>0.54225352112676062</v>
      </c>
      <c r="W124" s="2">
        <v>0.61971830985915488</v>
      </c>
      <c r="X124">
        <v>12</v>
      </c>
    </row>
    <row r="125" spans="1:24" x14ac:dyDescent="0.3">
      <c r="A125">
        <v>719</v>
      </c>
      <c r="B125">
        <v>47</v>
      </c>
      <c r="C125">
        <v>-9</v>
      </c>
      <c r="D125" s="1">
        <v>41041</v>
      </c>
      <c r="E125">
        <v>521</v>
      </c>
      <c r="F125">
        <v>65</v>
      </c>
      <c r="G125" t="s">
        <v>22</v>
      </c>
      <c r="H125" t="s">
        <v>23</v>
      </c>
      <c r="I125">
        <v>42</v>
      </c>
      <c r="J125" t="s">
        <v>24</v>
      </c>
      <c r="K125" t="s">
        <v>25</v>
      </c>
      <c r="L125" t="s">
        <v>26</v>
      </c>
      <c r="M125">
        <v>-9</v>
      </c>
      <c r="N125">
        <v>119</v>
      </c>
      <c r="O125" t="s">
        <v>27</v>
      </c>
      <c r="P125">
        <v>40</v>
      </c>
      <c r="Q125">
        <v>60</v>
      </c>
      <c r="R125">
        <v>0</v>
      </c>
      <c r="S125">
        <v>100</v>
      </c>
      <c r="T125">
        <v>71</v>
      </c>
      <c r="U125" t="s">
        <v>28</v>
      </c>
      <c r="V125" s="2">
        <v>-7.5630252100840331E-2</v>
      </c>
      <c r="W125" s="2">
        <v>0.60504201680672265</v>
      </c>
      <c r="X125">
        <v>29</v>
      </c>
    </row>
    <row r="126" spans="1:24" x14ac:dyDescent="0.3">
      <c r="A126">
        <v>970</v>
      </c>
      <c r="B126">
        <v>54</v>
      </c>
      <c r="C126">
        <v>13</v>
      </c>
      <c r="D126" s="1">
        <v>41042</v>
      </c>
      <c r="E126">
        <v>424</v>
      </c>
      <c r="F126">
        <v>73</v>
      </c>
      <c r="G126" t="s">
        <v>22</v>
      </c>
      <c r="H126" t="s">
        <v>23</v>
      </c>
      <c r="I126">
        <v>17</v>
      </c>
      <c r="J126" t="s">
        <v>24</v>
      </c>
      <c r="K126" t="s">
        <v>25</v>
      </c>
      <c r="L126" t="s">
        <v>29</v>
      </c>
      <c r="M126">
        <v>43</v>
      </c>
      <c r="N126">
        <v>135</v>
      </c>
      <c r="O126" t="s">
        <v>27</v>
      </c>
      <c r="P126">
        <v>50</v>
      </c>
      <c r="Q126">
        <v>60</v>
      </c>
      <c r="R126">
        <v>30</v>
      </c>
      <c r="S126">
        <v>110</v>
      </c>
      <c r="T126">
        <v>44</v>
      </c>
      <c r="U126" t="s">
        <v>28</v>
      </c>
      <c r="V126" s="2">
        <v>0.31851851851851853</v>
      </c>
      <c r="W126" s="2">
        <v>0.6</v>
      </c>
      <c r="X126">
        <v>27</v>
      </c>
    </row>
    <row r="127" spans="1:24" x14ac:dyDescent="0.3">
      <c r="A127">
        <v>305</v>
      </c>
      <c r="B127">
        <v>65</v>
      </c>
      <c r="C127">
        <v>14</v>
      </c>
      <c r="D127" s="1">
        <v>41043</v>
      </c>
      <c r="E127">
        <v>403</v>
      </c>
      <c r="F127">
        <v>80</v>
      </c>
      <c r="G127" t="s">
        <v>22</v>
      </c>
      <c r="H127" t="s">
        <v>32</v>
      </c>
      <c r="I127">
        <v>24</v>
      </c>
      <c r="J127" t="s">
        <v>24</v>
      </c>
      <c r="K127" t="s">
        <v>25</v>
      </c>
      <c r="L127" t="s">
        <v>26</v>
      </c>
      <c r="M127">
        <v>34</v>
      </c>
      <c r="N127">
        <v>155</v>
      </c>
      <c r="O127" t="s">
        <v>35</v>
      </c>
      <c r="P127">
        <v>40</v>
      </c>
      <c r="Q127">
        <v>60</v>
      </c>
      <c r="R127">
        <v>20</v>
      </c>
      <c r="S127">
        <v>100</v>
      </c>
      <c r="T127">
        <v>57</v>
      </c>
      <c r="U127" t="s">
        <v>28</v>
      </c>
      <c r="V127" s="2">
        <v>0.21935483870967742</v>
      </c>
      <c r="W127" s="2">
        <v>0.58064516129032262</v>
      </c>
      <c r="X127">
        <v>33</v>
      </c>
    </row>
    <row r="128" spans="1:24" x14ac:dyDescent="0.3">
      <c r="A128">
        <v>407</v>
      </c>
      <c r="B128">
        <v>80</v>
      </c>
      <c r="C128">
        <v>44</v>
      </c>
      <c r="D128" s="1">
        <v>41044</v>
      </c>
      <c r="E128">
        <v>1079</v>
      </c>
      <c r="F128">
        <v>96</v>
      </c>
      <c r="G128" t="s">
        <v>22</v>
      </c>
      <c r="H128" t="s">
        <v>32</v>
      </c>
      <c r="I128">
        <v>24</v>
      </c>
      <c r="J128" t="s">
        <v>24</v>
      </c>
      <c r="K128" t="s">
        <v>25</v>
      </c>
      <c r="L128" t="s">
        <v>29</v>
      </c>
      <c r="M128">
        <v>74</v>
      </c>
      <c r="N128">
        <v>188</v>
      </c>
      <c r="O128" t="s">
        <v>35</v>
      </c>
      <c r="P128">
        <v>60</v>
      </c>
      <c r="Q128">
        <v>60</v>
      </c>
      <c r="R128">
        <v>30</v>
      </c>
      <c r="S128">
        <v>120</v>
      </c>
      <c r="T128">
        <v>46</v>
      </c>
      <c r="U128" t="s">
        <v>28</v>
      </c>
      <c r="V128" s="2">
        <v>0.39361702127659576</v>
      </c>
      <c r="W128" s="2">
        <v>0.57446808510638303</v>
      </c>
      <c r="X128">
        <v>22</v>
      </c>
    </row>
    <row r="129" spans="1:24" x14ac:dyDescent="0.3">
      <c r="A129">
        <v>325</v>
      </c>
      <c r="B129">
        <v>54</v>
      </c>
      <c r="C129">
        <v>12</v>
      </c>
      <c r="D129" s="1">
        <v>41045</v>
      </c>
      <c r="E129">
        <v>424</v>
      </c>
      <c r="F129">
        <v>73</v>
      </c>
      <c r="G129" t="s">
        <v>22</v>
      </c>
      <c r="H129" t="s">
        <v>30</v>
      </c>
      <c r="I129">
        <v>17</v>
      </c>
      <c r="J129" t="s">
        <v>24</v>
      </c>
      <c r="K129" t="s">
        <v>25</v>
      </c>
      <c r="L129" t="s">
        <v>58</v>
      </c>
      <c r="M129">
        <v>42</v>
      </c>
      <c r="N129">
        <v>135</v>
      </c>
      <c r="O129" t="s">
        <v>31</v>
      </c>
      <c r="P129">
        <v>50</v>
      </c>
      <c r="Q129">
        <v>60</v>
      </c>
      <c r="R129">
        <v>30</v>
      </c>
      <c r="S129">
        <v>110</v>
      </c>
      <c r="T129">
        <v>45</v>
      </c>
      <c r="U129" t="s">
        <v>28</v>
      </c>
      <c r="V129" s="2">
        <v>0.31111111111111112</v>
      </c>
      <c r="W129" s="2">
        <v>0.6</v>
      </c>
      <c r="X129">
        <v>28</v>
      </c>
    </row>
    <row r="130" spans="1:24" x14ac:dyDescent="0.3">
      <c r="A130">
        <v>430</v>
      </c>
      <c r="B130">
        <v>41</v>
      </c>
      <c r="C130">
        <v>6</v>
      </c>
      <c r="D130" s="1">
        <v>41046</v>
      </c>
      <c r="E130">
        <v>435</v>
      </c>
      <c r="F130">
        <v>60</v>
      </c>
      <c r="G130" t="s">
        <v>22</v>
      </c>
      <c r="H130" t="s">
        <v>30</v>
      </c>
      <c r="I130">
        <v>13</v>
      </c>
      <c r="J130" t="s">
        <v>24</v>
      </c>
      <c r="K130" t="s">
        <v>25</v>
      </c>
      <c r="L130" t="s">
        <v>26</v>
      </c>
      <c r="M130">
        <v>36</v>
      </c>
      <c r="N130">
        <v>108</v>
      </c>
      <c r="O130" t="s">
        <v>31</v>
      </c>
      <c r="P130">
        <v>30</v>
      </c>
      <c r="Q130">
        <v>60</v>
      </c>
      <c r="R130">
        <v>30</v>
      </c>
      <c r="S130">
        <v>90</v>
      </c>
      <c r="T130">
        <v>36</v>
      </c>
      <c r="U130" t="s">
        <v>28</v>
      </c>
      <c r="V130" s="2">
        <v>0.33333333333333331</v>
      </c>
      <c r="W130" s="2">
        <v>0.62037037037037035</v>
      </c>
      <c r="X130">
        <v>23</v>
      </c>
    </row>
    <row r="131" spans="1:24" x14ac:dyDescent="0.3">
      <c r="A131">
        <v>408</v>
      </c>
      <c r="B131">
        <v>54</v>
      </c>
      <c r="C131">
        <v>29</v>
      </c>
      <c r="D131" s="1">
        <v>41047</v>
      </c>
      <c r="E131">
        <v>601</v>
      </c>
      <c r="F131">
        <v>79</v>
      </c>
      <c r="G131" t="s">
        <v>22</v>
      </c>
      <c r="H131" t="s">
        <v>37</v>
      </c>
      <c r="I131">
        <v>15</v>
      </c>
      <c r="J131" t="s">
        <v>24</v>
      </c>
      <c r="K131" t="s">
        <v>33</v>
      </c>
      <c r="L131" t="s">
        <v>62</v>
      </c>
      <c r="M131">
        <v>79</v>
      </c>
      <c r="N131">
        <v>142</v>
      </c>
      <c r="O131" t="s">
        <v>39</v>
      </c>
      <c r="P131">
        <v>30</v>
      </c>
      <c r="Q131">
        <v>60</v>
      </c>
      <c r="R131">
        <v>50</v>
      </c>
      <c r="S131">
        <v>90</v>
      </c>
      <c r="T131">
        <v>26</v>
      </c>
      <c r="U131" t="s">
        <v>36</v>
      </c>
      <c r="V131" s="2">
        <v>0.55633802816901412</v>
      </c>
      <c r="W131" s="2">
        <v>0.61971830985915488</v>
      </c>
      <c r="X131">
        <v>11</v>
      </c>
    </row>
    <row r="132" spans="1:24" x14ac:dyDescent="0.3">
      <c r="A132">
        <v>816</v>
      </c>
      <c r="B132">
        <v>31</v>
      </c>
      <c r="C132">
        <v>-10</v>
      </c>
      <c r="D132" s="1">
        <v>41048</v>
      </c>
      <c r="E132">
        <v>844</v>
      </c>
      <c r="F132">
        <v>46</v>
      </c>
      <c r="G132" t="s">
        <v>40</v>
      </c>
      <c r="H132" t="s">
        <v>23</v>
      </c>
      <c r="I132">
        <v>8</v>
      </c>
      <c r="J132" t="s">
        <v>41</v>
      </c>
      <c r="K132" t="s">
        <v>42</v>
      </c>
      <c r="L132" t="s">
        <v>43</v>
      </c>
      <c r="M132">
        <v>40</v>
      </c>
      <c r="N132">
        <v>82</v>
      </c>
      <c r="O132" t="s">
        <v>59</v>
      </c>
      <c r="P132">
        <v>30</v>
      </c>
      <c r="Q132">
        <v>60</v>
      </c>
      <c r="R132">
        <v>50</v>
      </c>
      <c r="S132">
        <v>90</v>
      </c>
      <c r="T132">
        <v>19</v>
      </c>
      <c r="U132" t="s">
        <v>28</v>
      </c>
      <c r="V132" s="2">
        <v>0.48780487804878048</v>
      </c>
      <c r="W132" s="2">
        <v>0.62195121951219512</v>
      </c>
      <c r="X132">
        <v>11</v>
      </c>
    </row>
    <row r="133" spans="1:24" x14ac:dyDescent="0.3">
      <c r="A133">
        <v>337</v>
      </c>
      <c r="B133">
        <v>34</v>
      </c>
      <c r="C133">
        <v>-4</v>
      </c>
      <c r="D133" s="1">
        <v>41049</v>
      </c>
      <c r="E133">
        <v>863</v>
      </c>
      <c r="F133">
        <v>51</v>
      </c>
      <c r="G133" t="s">
        <v>40</v>
      </c>
      <c r="H133" t="s">
        <v>30</v>
      </c>
      <c r="I133">
        <v>9</v>
      </c>
      <c r="J133" t="s">
        <v>41</v>
      </c>
      <c r="K133" t="s">
        <v>46</v>
      </c>
      <c r="L133" t="s">
        <v>47</v>
      </c>
      <c r="M133">
        <v>46</v>
      </c>
      <c r="N133">
        <v>91</v>
      </c>
      <c r="O133" t="s">
        <v>56</v>
      </c>
      <c r="P133">
        <v>40</v>
      </c>
      <c r="Q133">
        <v>60</v>
      </c>
      <c r="R133">
        <v>50</v>
      </c>
      <c r="S133">
        <v>100</v>
      </c>
      <c r="T133">
        <v>20</v>
      </c>
      <c r="U133" t="s">
        <v>28</v>
      </c>
      <c r="V133" s="2">
        <v>0.50549450549450547</v>
      </c>
      <c r="W133" s="2">
        <v>0.62637362637362637</v>
      </c>
      <c r="X133">
        <v>11</v>
      </c>
    </row>
    <row r="134" spans="1:24" x14ac:dyDescent="0.3">
      <c r="A134">
        <v>918</v>
      </c>
      <c r="B134">
        <v>33</v>
      </c>
      <c r="C134">
        <v>-8</v>
      </c>
      <c r="D134" s="1">
        <v>41050</v>
      </c>
      <c r="E134">
        <v>870</v>
      </c>
      <c r="F134">
        <v>49</v>
      </c>
      <c r="G134" t="s">
        <v>40</v>
      </c>
      <c r="H134" t="s">
        <v>30</v>
      </c>
      <c r="I134">
        <v>9</v>
      </c>
      <c r="J134" t="s">
        <v>41</v>
      </c>
      <c r="K134" t="s">
        <v>46</v>
      </c>
      <c r="L134" t="s">
        <v>47</v>
      </c>
      <c r="M134">
        <v>42</v>
      </c>
      <c r="N134">
        <v>87</v>
      </c>
      <c r="O134" t="s">
        <v>48</v>
      </c>
      <c r="P134">
        <v>30</v>
      </c>
      <c r="Q134">
        <v>60</v>
      </c>
      <c r="R134">
        <v>50</v>
      </c>
      <c r="S134">
        <v>90</v>
      </c>
      <c r="T134">
        <v>21</v>
      </c>
      <c r="U134" t="s">
        <v>28</v>
      </c>
      <c r="V134" s="2">
        <v>0.48275862068965519</v>
      </c>
      <c r="W134" s="2">
        <v>0.62068965517241381</v>
      </c>
      <c r="X134">
        <v>12</v>
      </c>
    </row>
    <row r="135" spans="1:24" x14ac:dyDescent="0.3">
      <c r="A135">
        <v>603</v>
      </c>
      <c r="B135">
        <v>48</v>
      </c>
      <c r="C135">
        <v>12</v>
      </c>
      <c r="D135" s="1">
        <v>41051</v>
      </c>
      <c r="E135">
        <v>462</v>
      </c>
      <c r="F135">
        <v>74</v>
      </c>
      <c r="G135" t="s">
        <v>40</v>
      </c>
      <c r="H135" t="s">
        <v>32</v>
      </c>
      <c r="I135">
        <v>15</v>
      </c>
      <c r="J135" t="s">
        <v>41</v>
      </c>
      <c r="K135" t="s">
        <v>46</v>
      </c>
      <c r="L135" t="s">
        <v>53</v>
      </c>
      <c r="M135">
        <v>42</v>
      </c>
      <c r="N135">
        <v>130</v>
      </c>
      <c r="O135" t="s">
        <v>52</v>
      </c>
      <c r="P135">
        <v>40</v>
      </c>
      <c r="Q135">
        <v>60</v>
      </c>
      <c r="R135">
        <v>30</v>
      </c>
      <c r="S135">
        <v>100</v>
      </c>
      <c r="T135">
        <v>46</v>
      </c>
      <c r="U135" t="s">
        <v>36</v>
      </c>
      <c r="V135" s="2">
        <v>0.32307692307692309</v>
      </c>
      <c r="W135" s="2">
        <v>0.63076923076923075</v>
      </c>
      <c r="X135">
        <v>31</v>
      </c>
    </row>
    <row r="136" spans="1:24" x14ac:dyDescent="0.3">
      <c r="A136">
        <v>225</v>
      </c>
      <c r="B136">
        <v>55</v>
      </c>
      <c r="C136">
        <v>-4</v>
      </c>
      <c r="D136" s="1">
        <v>41052</v>
      </c>
      <c r="E136">
        <v>-1053</v>
      </c>
      <c r="F136">
        <v>76</v>
      </c>
      <c r="G136" t="s">
        <v>40</v>
      </c>
      <c r="H136" t="s">
        <v>30</v>
      </c>
      <c r="I136">
        <v>49</v>
      </c>
      <c r="J136" t="s">
        <v>41</v>
      </c>
      <c r="K136" t="s">
        <v>42</v>
      </c>
      <c r="L136" t="s">
        <v>55</v>
      </c>
      <c r="M136">
        <v>-4</v>
      </c>
      <c r="N136">
        <v>140</v>
      </c>
      <c r="O136" t="s">
        <v>56</v>
      </c>
      <c r="P136">
        <v>40</v>
      </c>
      <c r="Q136">
        <v>60</v>
      </c>
      <c r="R136">
        <v>0</v>
      </c>
      <c r="S136">
        <v>100</v>
      </c>
      <c r="T136">
        <v>79</v>
      </c>
      <c r="U136" t="s">
        <v>36</v>
      </c>
      <c r="V136" s="2">
        <v>-2.8571428571428571E-2</v>
      </c>
      <c r="W136" s="2">
        <v>0.6071428571428571</v>
      </c>
      <c r="X136">
        <v>30</v>
      </c>
    </row>
    <row r="137" spans="1:24" x14ac:dyDescent="0.3">
      <c r="A137">
        <v>505</v>
      </c>
      <c r="B137">
        <v>49</v>
      </c>
      <c r="C137">
        <v>-17</v>
      </c>
      <c r="D137" s="1">
        <v>41053</v>
      </c>
      <c r="E137">
        <v>335</v>
      </c>
      <c r="F137">
        <v>69</v>
      </c>
      <c r="G137" t="s">
        <v>40</v>
      </c>
      <c r="H137" t="s">
        <v>30</v>
      </c>
      <c r="I137">
        <v>44</v>
      </c>
      <c r="J137" t="s">
        <v>41</v>
      </c>
      <c r="K137" t="s">
        <v>42</v>
      </c>
      <c r="L137" t="s">
        <v>54</v>
      </c>
      <c r="M137">
        <v>-7</v>
      </c>
      <c r="N137">
        <v>126</v>
      </c>
      <c r="O137" t="s">
        <v>65</v>
      </c>
      <c r="P137">
        <v>30</v>
      </c>
      <c r="Q137">
        <v>60</v>
      </c>
      <c r="R137">
        <v>10</v>
      </c>
      <c r="S137">
        <v>90</v>
      </c>
      <c r="T137">
        <v>74</v>
      </c>
      <c r="U137" t="s">
        <v>36</v>
      </c>
      <c r="V137" s="2">
        <v>-5.5555555555555552E-2</v>
      </c>
      <c r="W137" s="2">
        <v>0.61111111111111116</v>
      </c>
      <c r="X137">
        <v>30</v>
      </c>
    </row>
    <row r="138" spans="1:24" x14ac:dyDescent="0.3">
      <c r="A138">
        <v>702</v>
      </c>
      <c r="B138">
        <v>39</v>
      </c>
      <c r="C138">
        <v>-19</v>
      </c>
      <c r="D138" s="1">
        <v>41054</v>
      </c>
      <c r="E138">
        <v>250</v>
      </c>
      <c r="F138">
        <v>49</v>
      </c>
      <c r="G138" t="s">
        <v>40</v>
      </c>
      <c r="H138" t="s">
        <v>37</v>
      </c>
      <c r="I138">
        <v>14</v>
      </c>
      <c r="J138" t="s">
        <v>41</v>
      </c>
      <c r="K138" t="s">
        <v>46</v>
      </c>
      <c r="L138" t="s">
        <v>53</v>
      </c>
      <c r="M138">
        <v>1</v>
      </c>
      <c r="N138">
        <v>94</v>
      </c>
      <c r="O138" t="s">
        <v>49</v>
      </c>
      <c r="P138">
        <v>40</v>
      </c>
      <c r="Q138">
        <v>60</v>
      </c>
      <c r="R138">
        <v>20</v>
      </c>
      <c r="S138">
        <v>100</v>
      </c>
      <c r="T138">
        <v>48</v>
      </c>
      <c r="U138" t="s">
        <v>36</v>
      </c>
      <c r="V138" s="2">
        <v>1.0638297872340425E-2</v>
      </c>
      <c r="W138" s="2">
        <v>0.58510638297872342</v>
      </c>
      <c r="X138">
        <v>34</v>
      </c>
    </row>
    <row r="139" spans="1:24" x14ac:dyDescent="0.3">
      <c r="A139">
        <v>314</v>
      </c>
      <c r="B139">
        <v>49</v>
      </c>
      <c r="C139">
        <v>-7</v>
      </c>
      <c r="D139" s="1">
        <v>41055</v>
      </c>
      <c r="E139">
        <v>335</v>
      </c>
      <c r="F139">
        <v>69</v>
      </c>
      <c r="G139" t="s">
        <v>40</v>
      </c>
      <c r="H139" t="s">
        <v>23</v>
      </c>
      <c r="I139">
        <v>44</v>
      </c>
      <c r="J139" t="s">
        <v>24</v>
      </c>
      <c r="K139" t="s">
        <v>25</v>
      </c>
      <c r="L139" t="s">
        <v>58</v>
      </c>
      <c r="M139">
        <v>-7</v>
      </c>
      <c r="N139">
        <v>126</v>
      </c>
      <c r="O139" t="s">
        <v>59</v>
      </c>
      <c r="P139">
        <v>40</v>
      </c>
      <c r="Q139">
        <v>60</v>
      </c>
      <c r="R139">
        <v>0</v>
      </c>
      <c r="S139">
        <v>100</v>
      </c>
      <c r="T139">
        <v>74</v>
      </c>
      <c r="U139" t="s">
        <v>28</v>
      </c>
      <c r="V139" s="2">
        <v>-5.5555555555555552E-2</v>
      </c>
      <c r="W139" s="2">
        <v>0.61111111111111116</v>
      </c>
      <c r="X139">
        <v>30</v>
      </c>
    </row>
    <row r="140" spans="1:24" x14ac:dyDescent="0.3">
      <c r="A140">
        <v>920</v>
      </c>
      <c r="B140">
        <v>41</v>
      </c>
      <c r="C140">
        <v>15</v>
      </c>
      <c r="D140" s="1">
        <v>41056</v>
      </c>
      <c r="E140">
        <v>320</v>
      </c>
      <c r="F140">
        <v>66</v>
      </c>
      <c r="G140" t="s">
        <v>40</v>
      </c>
      <c r="H140" t="s">
        <v>23</v>
      </c>
      <c r="I140">
        <v>12</v>
      </c>
      <c r="J140" t="s">
        <v>24</v>
      </c>
      <c r="K140" t="s">
        <v>25</v>
      </c>
      <c r="L140" t="s">
        <v>58</v>
      </c>
      <c r="M140">
        <v>45</v>
      </c>
      <c r="N140">
        <v>114</v>
      </c>
      <c r="O140" t="s">
        <v>60</v>
      </c>
      <c r="P140">
        <v>30</v>
      </c>
      <c r="Q140">
        <v>60</v>
      </c>
      <c r="R140">
        <v>30</v>
      </c>
      <c r="S140">
        <v>90</v>
      </c>
      <c r="T140">
        <v>36</v>
      </c>
      <c r="U140" t="s">
        <v>28</v>
      </c>
      <c r="V140" s="2">
        <v>0.39473684210526316</v>
      </c>
      <c r="W140" s="2">
        <v>0.64035087719298245</v>
      </c>
      <c r="X140">
        <v>24</v>
      </c>
    </row>
    <row r="141" spans="1:24" x14ac:dyDescent="0.3">
      <c r="A141">
        <v>417</v>
      </c>
      <c r="B141">
        <v>92</v>
      </c>
      <c r="C141">
        <v>4</v>
      </c>
      <c r="D141" s="1">
        <v>41057</v>
      </c>
      <c r="E141">
        <v>1898</v>
      </c>
      <c r="F141">
        <v>68</v>
      </c>
      <c r="G141" t="s">
        <v>40</v>
      </c>
      <c r="H141" t="s">
        <v>23</v>
      </c>
      <c r="I141">
        <v>28</v>
      </c>
      <c r="J141" t="s">
        <v>24</v>
      </c>
      <c r="K141" t="s">
        <v>25</v>
      </c>
      <c r="L141" t="s">
        <v>26</v>
      </c>
      <c r="M141">
        <v>24</v>
      </c>
      <c r="N141">
        <v>171</v>
      </c>
      <c r="O141" t="s">
        <v>59</v>
      </c>
      <c r="P141">
        <v>80</v>
      </c>
      <c r="Q141">
        <v>60</v>
      </c>
      <c r="R141">
        <v>20</v>
      </c>
      <c r="S141">
        <v>140</v>
      </c>
      <c r="T141">
        <v>52</v>
      </c>
      <c r="U141" t="s">
        <v>28</v>
      </c>
      <c r="V141" s="2">
        <v>0.14035087719298245</v>
      </c>
      <c r="W141" s="2">
        <v>0.46198830409356723</v>
      </c>
      <c r="X141">
        <v>24</v>
      </c>
    </row>
    <row r="142" spans="1:24" x14ac:dyDescent="0.3">
      <c r="A142">
        <v>860</v>
      </c>
      <c r="B142">
        <v>68</v>
      </c>
      <c r="C142">
        <v>20</v>
      </c>
      <c r="D142" s="1">
        <v>41058</v>
      </c>
      <c r="E142">
        <v>619</v>
      </c>
      <c r="F142">
        <v>85</v>
      </c>
      <c r="G142" t="s">
        <v>40</v>
      </c>
      <c r="H142" t="s">
        <v>32</v>
      </c>
      <c r="I142">
        <v>25</v>
      </c>
      <c r="J142" t="s">
        <v>24</v>
      </c>
      <c r="K142" t="s">
        <v>25</v>
      </c>
      <c r="L142" t="s">
        <v>26</v>
      </c>
      <c r="M142">
        <v>40</v>
      </c>
      <c r="N142">
        <v>163</v>
      </c>
      <c r="O142" t="s">
        <v>45</v>
      </c>
      <c r="P142">
        <v>50</v>
      </c>
      <c r="Q142">
        <v>60</v>
      </c>
      <c r="R142">
        <v>20</v>
      </c>
      <c r="S142">
        <v>110</v>
      </c>
      <c r="T142">
        <v>58</v>
      </c>
      <c r="U142" t="s">
        <v>28</v>
      </c>
      <c r="V142" s="2">
        <v>0.24539877300613497</v>
      </c>
      <c r="W142" s="2">
        <v>0.58282208588957052</v>
      </c>
      <c r="X142">
        <v>33</v>
      </c>
    </row>
    <row r="143" spans="1:24" x14ac:dyDescent="0.3">
      <c r="A143">
        <v>203</v>
      </c>
      <c r="B143">
        <v>63</v>
      </c>
      <c r="C143">
        <v>13</v>
      </c>
      <c r="D143" s="1">
        <v>41059</v>
      </c>
      <c r="E143">
        <v>1075</v>
      </c>
      <c r="F143">
        <v>76</v>
      </c>
      <c r="G143" t="s">
        <v>40</v>
      </c>
      <c r="H143" t="s">
        <v>32</v>
      </c>
      <c r="I143">
        <v>19</v>
      </c>
      <c r="J143" t="s">
        <v>24</v>
      </c>
      <c r="K143" t="s">
        <v>25</v>
      </c>
      <c r="L143" t="s">
        <v>29</v>
      </c>
      <c r="M143">
        <v>53</v>
      </c>
      <c r="N143">
        <v>148</v>
      </c>
      <c r="O143" t="s">
        <v>45</v>
      </c>
      <c r="P143">
        <v>40</v>
      </c>
      <c r="Q143">
        <v>60</v>
      </c>
      <c r="R143">
        <v>40</v>
      </c>
      <c r="S143">
        <v>100</v>
      </c>
      <c r="T143">
        <v>40</v>
      </c>
      <c r="U143" t="s">
        <v>28</v>
      </c>
      <c r="V143" s="2">
        <v>0.35810810810810811</v>
      </c>
      <c r="W143" s="2">
        <v>0.57432432432432434</v>
      </c>
      <c r="X143">
        <v>21</v>
      </c>
    </row>
    <row r="144" spans="1:24" x14ac:dyDescent="0.3">
      <c r="A144">
        <v>435</v>
      </c>
      <c r="B144">
        <v>92</v>
      </c>
      <c r="C144">
        <v>5</v>
      </c>
      <c r="D144" s="1">
        <v>41060</v>
      </c>
      <c r="E144">
        <v>1898</v>
      </c>
      <c r="F144">
        <v>68</v>
      </c>
      <c r="G144" t="s">
        <v>40</v>
      </c>
      <c r="H144" t="s">
        <v>37</v>
      </c>
      <c r="I144">
        <v>28</v>
      </c>
      <c r="J144" t="s">
        <v>24</v>
      </c>
      <c r="K144" t="s">
        <v>25</v>
      </c>
      <c r="L144" t="s">
        <v>29</v>
      </c>
      <c r="M144">
        <v>25</v>
      </c>
      <c r="N144">
        <v>171</v>
      </c>
      <c r="O144" t="s">
        <v>50</v>
      </c>
      <c r="P144">
        <v>80</v>
      </c>
      <c r="Q144">
        <v>60</v>
      </c>
      <c r="R144">
        <v>20</v>
      </c>
      <c r="S144">
        <v>140</v>
      </c>
      <c r="T144">
        <v>51</v>
      </c>
      <c r="U144" t="s">
        <v>28</v>
      </c>
      <c r="V144" s="2">
        <v>0.14619883040935672</v>
      </c>
      <c r="W144" s="2">
        <v>0.46198830409356723</v>
      </c>
      <c r="X144">
        <v>23</v>
      </c>
    </row>
    <row r="145" spans="1:24" x14ac:dyDescent="0.3">
      <c r="A145">
        <v>262</v>
      </c>
      <c r="B145">
        <v>55</v>
      </c>
      <c r="C145">
        <v>-4</v>
      </c>
      <c r="D145" s="1">
        <v>41061</v>
      </c>
      <c r="E145">
        <v>627</v>
      </c>
      <c r="F145">
        <v>76</v>
      </c>
      <c r="G145" t="s">
        <v>40</v>
      </c>
      <c r="H145" t="s">
        <v>23</v>
      </c>
      <c r="I145">
        <v>49</v>
      </c>
      <c r="J145" t="s">
        <v>24</v>
      </c>
      <c r="K145" t="s">
        <v>33</v>
      </c>
      <c r="L145" t="s">
        <v>62</v>
      </c>
      <c r="M145">
        <v>-4</v>
      </c>
      <c r="N145">
        <v>140</v>
      </c>
      <c r="O145" t="s">
        <v>60</v>
      </c>
      <c r="P145">
        <v>40</v>
      </c>
      <c r="Q145">
        <v>60</v>
      </c>
      <c r="R145">
        <v>0</v>
      </c>
      <c r="S145">
        <v>100</v>
      </c>
      <c r="T145">
        <v>79</v>
      </c>
      <c r="U145" t="s">
        <v>36</v>
      </c>
      <c r="V145" s="2">
        <v>-2.8571428571428571E-2</v>
      </c>
      <c r="W145" s="2">
        <v>0.6071428571428571</v>
      </c>
      <c r="X145">
        <v>30</v>
      </c>
    </row>
    <row r="146" spans="1:24" x14ac:dyDescent="0.3">
      <c r="A146">
        <v>719</v>
      </c>
      <c r="B146">
        <v>39</v>
      </c>
      <c r="C146">
        <v>-23</v>
      </c>
      <c r="D146" s="1">
        <v>41062</v>
      </c>
      <c r="E146">
        <v>541</v>
      </c>
      <c r="F146">
        <v>51</v>
      </c>
      <c r="G146" t="s">
        <v>22</v>
      </c>
      <c r="H146" t="s">
        <v>23</v>
      </c>
      <c r="I146">
        <v>12</v>
      </c>
      <c r="J146" t="s">
        <v>41</v>
      </c>
      <c r="K146" t="s">
        <v>46</v>
      </c>
      <c r="L146" t="s">
        <v>53</v>
      </c>
      <c r="M146">
        <v>27</v>
      </c>
      <c r="N146">
        <v>90</v>
      </c>
      <c r="O146" t="s">
        <v>27</v>
      </c>
      <c r="P146">
        <v>30</v>
      </c>
      <c r="Q146">
        <v>50</v>
      </c>
      <c r="R146">
        <v>50</v>
      </c>
      <c r="S146">
        <v>80</v>
      </c>
      <c r="T146">
        <v>24</v>
      </c>
      <c r="U146" t="s">
        <v>36</v>
      </c>
      <c r="V146" s="2">
        <v>0.3</v>
      </c>
      <c r="W146" s="2">
        <v>0.56666666666666665</v>
      </c>
      <c r="X146">
        <v>12</v>
      </c>
    </row>
    <row r="147" spans="1:24" x14ac:dyDescent="0.3">
      <c r="A147">
        <v>305</v>
      </c>
      <c r="B147">
        <v>80</v>
      </c>
      <c r="C147">
        <v>8</v>
      </c>
      <c r="D147" s="1">
        <v>41063</v>
      </c>
      <c r="E147">
        <v>1055</v>
      </c>
      <c r="F147">
        <v>94</v>
      </c>
      <c r="G147" t="s">
        <v>22</v>
      </c>
      <c r="H147" t="s">
        <v>32</v>
      </c>
      <c r="I147">
        <v>24</v>
      </c>
      <c r="J147" t="s">
        <v>24</v>
      </c>
      <c r="K147" t="s">
        <v>25</v>
      </c>
      <c r="L147" t="s">
        <v>29</v>
      </c>
      <c r="M147">
        <v>48</v>
      </c>
      <c r="N147">
        <v>174</v>
      </c>
      <c r="O147" t="s">
        <v>35</v>
      </c>
      <c r="P147">
        <v>40</v>
      </c>
      <c r="Q147">
        <v>50</v>
      </c>
      <c r="R147">
        <v>40</v>
      </c>
      <c r="S147">
        <v>90</v>
      </c>
      <c r="T147">
        <v>46</v>
      </c>
      <c r="U147" t="s">
        <v>28</v>
      </c>
      <c r="V147" s="2">
        <v>0.27586206896551724</v>
      </c>
      <c r="W147" s="2">
        <v>0.54022988505747127</v>
      </c>
      <c r="X147">
        <v>22</v>
      </c>
    </row>
    <row r="148" spans="1:24" x14ac:dyDescent="0.3">
      <c r="A148">
        <v>303</v>
      </c>
      <c r="B148">
        <v>54</v>
      </c>
      <c r="C148">
        <v>-17</v>
      </c>
      <c r="D148" s="1">
        <v>41064</v>
      </c>
      <c r="E148">
        <v>404</v>
      </c>
      <c r="F148">
        <v>66</v>
      </c>
      <c r="G148" t="s">
        <v>22</v>
      </c>
      <c r="H148" t="s">
        <v>23</v>
      </c>
      <c r="I148">
        <v>20</v>
      </c>
      <c r="J148" t="s">
        <v>24</v>
      </c>
      <c r="K148" t="s">
        <v>33</v>
      </c>
      <c r="L148" t="s">
        <v>34</v>
      </c>
      <c r="M148">
        <v>13</v>
      </c>
      <c r="N148">
        <v>120</v>
      </c>
      <c r="O148" t="s">
        <v>27</v>
      </c>
      <c r="P148">
        <v>30</v>
      </c>
      <c r="Q148">
        <v>50</v>
      </c>
      <c r="R148">
        <v>30</v>
      </c>
      <c r="S148">
        <v>80</v>
      </c>
      <c r="T148">
        <v>53</v>
      </c>
      <c r="U148" t="s">
        <v>36</v>
      </c>
      <c r="V148" s="2">
        <v>0.10833333333333334</v>
      </c>
      <c r="W148" s="2">
        <v>0.55000000000000004</v>
      </c>
      <c r="X148">
        <v>33</v>
      </c>
    </row>
    <row r="149" spans="1:24" x14ac:dyDescent="0.3">
      <c r="A149">
        <v>303</v>
      </c>
      <c r="B149">
        <v>54</v>
      </c>
      <c r="C149">
        <v>-13</v>
      </c>
      <c r="D149" s="1">
        <v>41065</v>
      </c>
      <c r="E149">
        <v>1037</v>
      </c>
      <c r="F149">
        <v>64</v>
      </c>
      <c r="G149" t="s">
        <v>22</v>
      </c>
      <c r="H149" t="s">
        <v>23</v>
      </c>
      <c r="I149">
        <v>16</v>
      </c>
      <c r="J149" t="s">
        <v>24</v>
      </c>
      <c r="K149" t="s">
        <v>33</v>
      </c>
      <c r="L149" t="s">
        <v>62</v>
      </c>
      <c r="M149">
        <v>27</v>
      </c>
      <c r="N149">
        <v>118</v>
      </c>
      <c r="O149" t="s">
        <v>27</v>
      </c>
      <c r="P149">
        <v>30</v>
      </c>
      <c r="Q149">
        <v>50</v>
      </c>
      <c r="R149">
        <v>40</v>
      </c>
      <c r="S149">
        <v>80</v>
      </c>
      <c r="T149">
        <v>37</v>
      </c>
      <c r="U149" t="s">
        <v>36</v>
      </c>
      <c r="V149" s="2">
        <v>0.2288135593220339</v>
      </c>
      <c r="W149" s="2">
        <v>0.5423728813559322</v>
      </c>
      <c r="X149">
        <v>21</v>
      </c>
    </row>
    <row r="150" spans="1:24" x14ac:dyDescent="0.3">
      <c r="A150">
        <v>508</v>
      </c>
      <c r="B150">
        <v>27</v>
      </c>
      <c r="C150">
        <v>-30</v>
      </c>
      <c r="D150" s="1">
        <v>41066</v>
      </c>
      <c r="E150">
        <v>859</v>
      </c>
      <c r="F150">
        <v>39</v>
      </c>
      <c r="G150" t="s">
        <v>22</v>
      </c>
      <c r="H150" t="s">
        <v>32</v>
      </c>
      <c r="I150">
        <v>7</v>
      </c>
      <c r="J150" t="s">
        <v>24</v>
      </c>
      <c r="K150" t="s">
        <v>33</v>
      </c>
      <c r="L150" t="s">
        <v>34</v>
      </c>
      <c r="M150">
        <v>20</v>
      </c>
      <c r="N150">
        <v>66</v>
      </c>
      <c r="O150" t="s">
        <v>63</v>
      </c>
      <c r="P150">
        <v>20</v>
      </c>
      <c r="Q150">
        <v>50</v>
      </c>
      <c r="R150">
        <v>50</v>
      </c>
      <c r="S150">
        <v>70</v>
      </c>
      <c r="T150">
        <v>19</v>
      </c>
      <c r="U150" t="s">
        <v>36</v>
      </c>
      <c r="V150" s="2">
        <v>0.30303030303030304</v>
      </c>
      <c r="W150" s="2">
        <v>0.59090909090909094</v>
      </c>
      <c r="X150">
        <v>12</v>
      </c>
    </row>
    <row r="151" spans="1:24" x14ac:dyDescent="0.3">
      <c r="A151">
        <v>209</v>
      </c>
      <c r="B151">
        <v>76</v>
      </c>
      <c r="C151">
        <v>29</v>
      </c>
      <c r="D151" s="1">
        <v>41067</v>
      </c>
      <c r="E151">
        <v>580</v>
      </c>
      <c r="F151">
        <v>111</v>
      </c>
      <c r="G151" t="s">
        <v>22</v>
      </c>
      <c r="H151" t="s">
        <v>37</v>
      </c>
      <c r="I151">
        <v>21</v>
      </c>
      <c r="J151" t="s">
        <v>24</v>
      </c>
      <c r="K151" t="s">
        <v>33</v>
      </c>
      <c r="L151" t="s">
        <v>62</v>
      </c>
      <c r="M151">
        <v>79</v>
      </c>
      <c r="N151">
        <v>187</v>
      </c>
      <c r="O151" t="s">
        <v>39</v>
      </c>
      <c r="P151">
        <v>30</v>
      </c>
      <c r="Q151">
        <v>50</v>
      </c>
      <c r="R151">
        <v>50</v>
      </c>
      <c r="S151">
        <v>80</v>
      </c>
      <c r="T151">
        <v>32</v>
      </c>
      <c r="U151" t="s">
        <v>36</v>
      </c>
      <c r="V151" s="2">
        <v>0.42245989304812837</v>
      </c>
      <c r="W151" s="2">
        <v>0.5935828877005348</v>
      </c>
      <c r="X151">
        <v>11</v>
      </c>
    </row>
    <row r="152" spans="1:24" x14ac:dyDescent="0.3">
      <c r="A152">
        <v>715</v>
      </c>
      <c r="B152">
        <v>22</v>
      </c>
      <c r="C152">
        <v>-40</v>
      </c>
      <c r="D152" s="1">
        <v>41068</v>
      </c>
      <c r="E152">
        <v>573</v>
      </c>
      <c r="F152">
        <v>29</v>
      </c>
      <c r="G152" t="s">
        <v>40</v>
      </c>
      <c r="H152" t="s">
        <v>23</v>
      </c>
      <c r="I152">
        <v>7</v>
      </c>
      <c r="J152" t="s">
        <v>41</v>
      </c>
      <c r="K152" t="s">
        <v>42</v>
      </c>
      <c r="L152" t="s">
        <v>43</v>
      </c>
      <c r="M152">
        <v>10</v>
      </c>
      <c r="N152">
        <v>51</v>
      </c>
      <c r="O152" t="s">
        <v>60</v>
      </c>
      <c r="P152">
        <v>20</v>
      </c>
      <c r="Q152">
        <v>50</v>
      </c>
      <c r="R152">
        <v>50</v>
      </c>
      <c r="S152">
        <v>70</v>
      </c>
      <c r="T152">
        <v>19</v>
      </c>
      <c r="U152" t="s">
        <v>28</v>
      </c>
      <c r="V152" s="2">
        <v>0.19607843137254902</v>
      </c>
      <c r="W152" s="2">
        <v>0.56862745098039214</v>
      </c>
      <c r="X152">
        <v>12</v>
      </c>
    </row>
    <row r="153" spans="1:24" x14ac:dyDescent="0.3">
      <c r="A153">
        <v>319</v>
      </c>
      <c r="B153">
        <v>23</v>
      </c>
      <c r="C153">
        <v>-32</v>
      </c>
      <c r="D153" s="1">
        <v>41069</v>
      </c>
      <c r="E153">
        <v>800</v>
      </c>
      <c r="F153">
        <v>35</v>
      </c>
      <c r="G153" t="s">
        <v>40</v>
      </c>
      <c r="H153" t="s">
        <v>23</v>
      </c>
      <c r="I153">
        <v>6</v>
      </c>
      <c r="J153" t="s">
        <v>41</v>
      </c>
      <c r="K153" t="s">
        <v>42</v>
      </c>
      <c r="L153" t="s">
        <v>54</v>
      </c>
      <c r="M153">
        <v>18</v>
      </c>
      <c r="N153">
        <v>58</v>
      </c>
      <c r="O153" t="s">
        <v>44</v>
      </c>
      <c r="P153">
        <v>20</v>
      </c>
      <c r="Q153">
        <v>50</v>
      </c>
      <c r="R153">
        <v>50</v>
      </c>
      <c r="S153">
        <v>70</v>
      </c>
      <c r="T153">
        <v>17</v>
      </c>
      <c r="U153" t="s">
        <v>36</v>
      </c>
      <c r="V153" s="2">
        <v>0.31034482758620691</v>
      </c>
      <c r="W153" s="2">
        <v>0.60344827586206895</v>
      </c>
      <c r="X153">
        <v>11</v>
      </c>
    </row>
    <row r="154" spans="1:24" x14ac:dyDescent="0.3">
      <c r="A154">
        <v>959</v>
      </c>
      <c r="B154">
        <v>79</v>
      </c>
      <c r="C154">
        <v>4</v>
      </c>
      <c r="D154" s="1">
        <v>41070</v>
      </c>
      <c r="E154">
        <v>593</v>
      </c>
      <c r="F154">
        <v>98</v>
      </c>
      <c r="G154" t="s">
        <v>40</v>
      </c>
      <c r="H154" t="s">
        <v>32</v>
      </c>
      <c r="I154">
        <v>30</v>
      </c>
      <c r="J154" t="s">
        <v>24</v>
      </c>
      <c r="K154" t="s">
        <v>25</v>
      </c>
      <c r="L154" t="s">
        <v>26</v>
      </c>
      <c r="M154">
        <v>34</v>
      </c>
      <c r="N154">
        <v>177</v>
      </c>
      <c r="O154" t="s">
        <v>45</v>
      </c>
      <c r="P154">
        <v>40</v>
      </c>
      <c r="Q154">
        <v>50</v>
      </c>
      <c r="R154">
        <v>30</v>
      </c>
      <c r="S154">
        <v>90</v>
      </c>
      <c r="T154">
        <v>64</v>
      </c>
      <c r="U154" t="s">
        <v>28</v>
      </c>
      <c r="V154" s="2">
        <v>0.19209039548022599</v>
      </c>
      <c r="W154" s="2">
        <v>0.5536723163841808</v>
      </c>
      <c r="X154">
        <v>34</v>
      </c>
    </row>
    <row r="155" spans="1:24" x14ac:dyDescent="0.3">
      <c r="A155">
        <v>860</v>
      </c>
      <c r="B155">
        <v>65</v>
      </c>
      <c r="C155">
        <v>-15</v>
      </c>
      <c r="D155" s="1">
        <v>41071</v>
      </c>
      <c r="E155">
        <v>1053</v>
      </c>
      <c r="F155">
        <v>77</v>
      </c>
      <c r="G155" t="s">
        <v>40</v>
      </c>
      <c r="H155" t="s">
        <v>32</v>
      </c>
      <c r="I155">
        <v>20</v>
      </c>
      <c r="J155" t="s">
        <v>24</v>
      </c>
      <c r="K155" t="s">
        <v>25</v>
      </c>
      <c r="L155" t="s">
        <v>29</v>
      </c>
      <c r="M155">
        <v>35</v>
      </c>
      <c r="N155">
        <v>142</v>
      </c>
      <c r="O155" t="s">
        <v>45</v>
      </c>
      <c r="P155">
        <v>30</v>
      </c>
      <c r="Q155">
        <v>50</v>
      </c>
      <c r="R155">
        <v>50</v>
      </c>
      <c r="S155">
        <v>80</v>
      </c>
      <c r="T155">
        <v>42</v>
      </c>
      <c r="U155" t="s">
        <v>28</v>
      </c>
      <c r="V155" s="2">
        <v>0.24647887323943662</v>
      </c>
      <c r="W155" s="2">
        <v>0.54225352112676062</v>
      </c>
      <c r="X155">
        <v>22</v>
      </c>
    </row>
    <row r="156" spans="1:24" x14ac:dyDescent="0.3">
      <c r="A156">
        <v>262</v>
      </c>
      <c r="B156">
        <v>46</v>
      </c>
      <c r="C156">
        <v>-10</v>
      </c>
      <c r="D156" s="1">
        <v>41072</v>
      </c>
      <c r="E156">
        <v>449</v>
      </c>
      <c r="F156">
        <v>67</v>
      </c>
      <c r="G156" t="s">
        <v>40</v>
      </c>
      <c r="H156" t="s">
        <v>23</v>
      </c>
      <c r="I156">
        <v>14</v>
      </c>
      <c r="J156" t="s">
        <v>24</v>
      </c>
      <c r="K156" t="s">
        <v>33</v>
      </c>
      <c r="L156" t="s">
        <v>34</v>
      </c>
      <c r="M156">
        <v>30</v>
      </c>
      <c r="N156">
        <v>113</v>
      </c>
      <c r="O156" t="s">
        <v>60</v>
      </c>
      <c r="P156">
        <v>20</v>
      </c>
      <c r="Q156">
        <v>50</v>
      </c>
      <c r="R156">
        <v>40</v>
      </c>
      <c r="S156">
        <v>70</v>
      </c>
      <c r="T156">
        <v>37</v>
      </c>
      <c r="U156" t="s">
        <v>36</v>
      </c>
      <c r="V156" s="2">
        <v>0.26548672566371684</v>
      </c>
      <c r="W156" s="2">
        <v>0.59292035398230092</v>
      </c>
      <c r="X156">
        <v>23</v>
      </c>
    </row>
    <row r="157" spans="1:24" x14ac:dyDescent="0.3">
      <c r="A157">
        <v>715</v>
      </c>
      <c r="B157">
        <v>60</v>
      </c>
      <c r="C157">
        <v>0</v>
      </c>
      <c r="D157" s="1">
        <v>41073</v>
      </c>
      <c r="E157">
        <v>606</v>
      </c>
      <c r="F157">
        <v>84</v>
      </c>
      <c r="G157" t="s">
        <v>40</v>
      </c>
      <c r="H157" t="s">
        <v>23</v>
      </c>
      <c r="I157">
        <v>54</v>
      </c>
      <c r="J157" t="s">
        <v>24</v>
      </c>
      <c r="K157" t="s">
        <v>33</v>
      </c>
      <c r="L157" t="s">
        <v>62</v>
      </c>
      <c r="M157">
        <v>0</v>
      </c>
      <c r="N157">
        <v>144</v>
      </c>
      <c r="O157" t="s">
        <v>60</v>
      </c>
      <c r="P157">
        <v>40</v>
      </c>
      <c r="Q157">
        <v>50</v>
      </c>
      <c r="R157">
        <v>0</v>
      </c>
      <c r="S157">
        <v>90</v>
      </c>
      <c r="T157">
        <v>84</v>
      </c>
      <c r="U157" t="s">
        <v>36</v>
      </c>
      <c r="V157" s="2">
        <v>0</v>
      </c>
      <c r="W157" s="2">
        <v>0.58333333333333337</v>
      </c>
      <c r="X157">
        <v>30</v>
      </c>
    </row>
    <row r="158" spans="1:24" x14ac:dyDescent="0.3">
      <c r="A158">
        <v>206</v>
      </c>
      <c r="B158">
        <v>60</v>
      </c>
      <c r="C158">
        <v>17</v>
      </c>
      <c r="D158" s="1">
        <v>41074</v>
      </c>
      <c r="E158">
        <v>329</v>
      </c>
      <c r="F158">
        <v>99</v>
      </c>
      <c r="G158" t="s">
        <v>40</v>
      </c>
      <c r="H158" t="s">
        <v>37</v>
      </c>
      <c r="I158">
        <v>18</v>
      </c>
      <c r="J158" t="s">
        <v>24</v>
      </c>
      <c r="K158" t="s">
        <v>33</v>
      </c>
      <c r="L158" t="s">
        <v>34</v>
      </c>
      <c r="M158">
        <v>57</v>
      </c>
      <c r="N158">
        <v>159</v>
      </c>
      <c r="O158" t="s">
        <v>61</v>
      </c>
      <c r="P158">
        <v>20</v>
      </c>
      <c r="Q158">
        <v>50</v>
      </c>
      <c r="R158">
        <v>40</v>
      </c>
      <c r="S158">
        <v>70</v>
      </c>
      <c r="T158">
        <v>42</v>
      </c>
      <c r="U158" t="s">
        <v>36</v>
      </c>
      <c r="V158" s="2">
        <v>0.35849056603773582</v>
      </c>
      <c r="W158" s="2">
        <v>0.62264150943396224</v>
      </c>
      <c r="X158">
        <v>24</v>
      </c>
    </row>
    <row r="159" spans="1:24" x14ac:dyDescent="0.3">
      <c r="A159">
        <v>773</v>
      </c>
      <c r="B159">
        <v>40</v>
      </c>
      <c r="C159">
        <v>-3</v>
      </c>
      <c r="D159" s="1">
        <v>41075</v>
      </c>
      <c r="E159">
        <v>536</v>
      </c>
      <c r="F159">
        <v>52</v>
      </c>
      <c r="G159" t="s">
        <v>22</v>
      </c>
      <c r="H159" t="s">
        <v>23</v>
      </c>
      <c r="I159">
        <v>13</v>
      </c>
      <c r="J159" t="s">
        <v>24</v>
      </c>
      <c r="K159" t="s">
        <v>25</v>
      </c>
      <c r="L159" t="s">
        <v>26</v>
      </c>
      <c r="M159">
        <v>27</v>
      </c>
      <c r="N159">
        <v>92</v>
      </c>
      <c r="O159" t="s">
        <v>64</v>
      </c>
      <c r="P159">
        <v>30</v>
      </c>
      <c r="Q159">
        <v>50</v>
      </c>
      <c r="R159">
        <v>30</v>
      </c>
      <c r="S159">
        <v>80</v>
      </c>
      <c r="T159">
        <v>25</v>
      </c>
      <c r="U159" t="s">
        <v>28</v>
      </c>
      <c r="V159" s="2">
        <v>0.29347826086956524</v>
      </c>
      <c r="W159" s="2">
        <v>0.56521739130434778</v>
      </c>
      <c r="X159">
        <v>12</v>
      </c>
    </row>
    <row r="160" spans="1:24" x14ac:dyDescent="0.3">
      <c r="A160">
        <v>614</v>
      </c>
      <c r="B160">
        <v>36</v>
      </c>
      <c r="C160">
        <v>-10</v>
      </c>
      <c r="D160" s="1">
        <v>41076</v>
      </c>
      <c r="E160">
        <v>862</v>
      </c>
      <c r="F160">
        <v>52</v>
      </c>
      <c r="G160" t="s">
        <v>22</v>
      </c>
      <c r="H160" t="s">
        <v>23</v>
      </c>
      <c r="I160">
        <v>10</v>
      </c>
      <c r="J160" t="s">
        <v>24</v>
      </c>
      <c r="K160" t="s">
        <v>25</v>
      </c>
      <c r="L160" t="s">
        <v>26</v>
      </c>
      <c r="M160">
        <v>30</v>
      </c>
      <c r="N160">
        <v>88</v>
      </c>
      <c r="O160" t="s">
        <v>66</v>
      </c>
      <c r="P160">
        <v>30</v>
      </c>
      <c r="Q160">
        <v>50</v>
      </c>
      <c r="R160">
        <v>40</v>
      </c>
      <c r="S160">
        <v>80</v>
      </c>
      <c r="T160">
        <v>22</v>
      </c>
      <c r="U160" t="s">
        <v>28</v>
      </c>
      <c r="V160" s="2">
        <v>0.34090909090909088</v>
      </c>
      <c r="W160" s="2">
        <v>0.59090909090909094</v>
      </c>
      <c r="X160">
        <v>12</v>
      </c>
    </row>
    <row r="161" spans="1:24" x14ac:dyDescent="0.3">
      <c r="A161">
        <v>617</v>
      </c>
      <c r="B161">
        <v>55</v>
      </c>
      <c r="C161">
        <v>-5</v>
      </c>
      <c r="D161" s="1">
        <v>41077</v>
      </c>
      <c r="E161">
        <v>410</v>
      </c>
      <c r="F161">
        <v>69</v>
      </c>
      <c r="G161" t="s">
        <v>22</v>
      </c>
      <c r="H161" t="s">
        <v>32</v>
      </c>
      <c r="I161">
        <v>20</v>
      </c>
      <c r="J161" t="s">
        <v>24</v>
      </c>
      <c r="K161" t="s">
        <v>25</v>
      </c>
      <c r="L161" t="s">
        <v>26</v>
      </c>
      <c r="M161">
        <v>15</v>
      </c>
      <c r="N161">
        <v>124</v>
      </c>
      <c r="O161" t="s">
        <v>63</v>
      </c>
      <c r="P161">
        <v>40</v>
      </c>
      <c r="Q161">
        <v>50</v>
      </c>
      <c r="R161">
        <v>20</v>
      </c>
      <c r="S161">
        <v>90</v>
      </c>
      <c r="T161">
        <v>54</v>
      </c>
      <c r="U161" t="s">
        <v>28</v>
      </c>
      <c r="V161" s="2">
        <v>0.12096774193548387</v>
      </c>
      <c r="W161" s="2">
        <v>0.55645161290322576</v>
      </c>
      <c r="X161">
        <v>34</v>
      </c>
    </row>
    <row r="162" spans="1:24" x14ac:dyDescent="0.3">
      <c r="A162">
        <v>707</v>
      </c>
      <c r="B162">
        <v>40</v>
      </c>
      <c r="C162">
        <v>-3</v>
      </c>
      <c r="D162" s="1">
        <v>41078</v>
      </c>
      <c r="E162">
        <v>536</v>
      </c>
      <c r="F162">
        <v>52</v>
      </c>
      <c r="G162" t="s">
        <v>22</v>
      </c>
      <c r="H162" t="s">
        <v>37</v>
      </c>
      <c r="I162">
        <v>13</v>
      </c>
      <c r="J162" t="s">
        <v>24</v>
      </c>
      <c r="K162" t="s">
        <v>25</v>
      </c>
      <c r="L162" t="s">
        <v>29</v>
      </c>
      <c r="M162">
        <v>27</v>
      </c>
      <c r="N162">
        <v>92</v>
      </c>
      <c r="O162" t="s">
        <v>39</v>
      </c>
      <c r="P162">
        <v>30</v>
      </c>
      <c r="Q162">
        <v>50</v>
      </c>
      <c r="R162">
        <v>30</v>
      </c>
      <c r="S162">
        <v>80</v>
      </c>
      <c r="T162">
        <v>25</v>
      </c>
      <c r="U162" t="s">
        <v>28</v>
      </c>
      <c r="V162" s="2">
        <v>0.29347826086956524</v>
      </c>
      <c r="W162" s="2">
        <v>0.56521739130434778</v>
      </c>
      <c r="X162">
        <v>12</v>
      </c>
    </row>
    <row r="163" spans="1:24" x14ac:dyDescent="0.3">
      <c r="A163">
        <v>352</v>
      </c>
      <c r="B163">
        <v>28</v>
      </c>
      <c r="C163">
        <v>-17</v>
      </c>
      <c r="D163" s="1">
        <v>41079</v>
      </c>
      <c r="E163">
        <v>875</v>
      </c>
      <c r="F163">
        <v>42</v>
      </c>
      <c r="G163" t="s">
        <v>22</v>
      </c>
      <c r="H163" t="s">
        <v>32</v>
      </c>
      <c r="I163">
        <v>7</v>
      </c>
      <c r="J163" t="s">
        <v>24</v>
      </c>
      <c r="K163" t="s">
        <v>33</v>
      </c>
      <c r="L163" t="s">
        <v>34</v>
      </c>
      <c r="M163">
        <v>23</v>
      </c>
      <c r="N163">
        <v>70</v>
      </c>
      <c r="O163" t="s">
        <v>35</v>
      </c>
      <c r="P163">
        <v>20</v>
      </c>
      <c r="Q163">
        <v>50</v>
      </c>
      <c r="R163">
        <v>40</v>
      </c>
      <c r="S163">
        <v>70</v>
      </c>
      <c r="T163">
        <v>19</v>
      </c>
      <c r="U163" t="s">
        <v>36</v>
      </c>
      <c r="V163" s="2">
        <v>0.32857142857142857</v>
      </c>
      <c r="W163" s="2">
        <v>0.6</v>
      </c>
      <c r="X163">
        <v>12</v>
      </c>
    </row>
    <row r="164" spans="1:24" x14ac:dyDescent="0.3">
      <c r="A164">
        <v>561</v>
      </c>
      <c r="B164">
        <v>31</v>
      </c>
      <c r="C164">
        <v>-12</v>
      </c>
      <c r="D164" s="1">
        <v>41080</v>
      </c>
      <c r="E164">
        <v>856</v>
      </c>
      <c r="F164">
        <v>47</v>
      </c>
      <c r="G164" t="s">
        <v>22</v>
      </c>
      <c r="H164" t="s">
        <v>32</v>
      </c>
      <c r="I164">
        <v>8</v>
      </c>
      <c r="J164" t="s">
        <v>24</v>
      </c>
      <c r="K164" t="s">
        <v>33</v>
      </c>
      <c r="L164" t="s">
        <v>38</v>
      </c>
      <c r="M164">
        <v>28</v>
      </c>
      <c r="N164">
        <v>78</v>
      </c>
      <c r="O164" t="s">
        <v>35</v>
      </c>
      <c r="P164">
        <v>30</v>
      </c>
      <c r="Q164">
        <v>50</v>
      </c>
      <c r="R164">
        <v>40</v>
      </c>
      <c r="S164">
        <v>80</v>
      </c>
      <c r="T164">
        <v>19</v>
      </c>
      <c r="U164" t="s">
        <v>36</v>
      </c>
      <c r="V164" s="2">
        <v>0.35897435897435898</v>
      </c>
      <c r="W164" s="2">
        <v>0.60256410256410253</v>
      </c>
      <c r="X164">
        <v>11</v>
      </c>
    </row>
    <row r="165" spans="1:24" x14ac:dyDescent="0.3">
      <c r="A165">
        <v>351</v>
      </c>
      <c r="B165">
        <v>32</v>
      </c>
      <c r="C165">
        <v>-11</v>
      </c>
      <c r="D165" s="1">
        <v>41081</v>
      </c>
      <c r="E165">
        <v>482</v>
      </c>
      <c r="F165">
        <v>48</v>
      </c>
      <c r="G165" t="s">
        <v>22</v>
      </c>
      <c r="H165" t="s">
        <v>32</v>
      </c>
      <c r="I165">
        <v>8</v>
      </c>
      <c r="J165" t="s">
        <v>24</v>
      </c>
      <c r="K165" t="s">
        <v>33</v>
      </c>
      <c r="L165" t="s">
        <v>38</v>
      </c>
      <c r="M165">
        <v>29</v>
      </c>
      <c r="N165">
        <v>80</v>
      </c>
      <c r="O165" t="s">
        <v>63</v>
      </c>
      <c r="P165">
        <v>30</v>
      </c>
      <c r="Q165">
        <v>50</v>
      </c>
      <c r="R165">
        <v>40</v>
      </c>
      <c r="S165">
        <v>80</v>
      </c>
      <c r="T165">
        <v>19</v>
      </c>
      <c r="U165" t="s">
        <v>36</v>
      </c>
      <c r="V165" s="2">
        <v>0.36249999999999999</v>
      </c>
      <c r="W165" s="2">
        <v>0.6</v>
      </c>
      <c r="X165">
        <v>11</v>
      </c>
    </row>
    <row r="166" spans="1:24" x14ac:dyDescent="0.3">
      <c r="A166">
        <v>650</v>
      </c>
      <c r="B166">
        <v>50</v>
      </c>
      <c r="C166">
        <v>7</v>
      </c>
      <c r="D166" s="1">
        <v>41082</v>
      </c>
      <c r="E166">
        <v>589</v>
      </c>
      <c r="F166">
        <v>73</v>
      </c>
      <c r="G166" t="s">
        <v>22</v>
      </c>
      <c r="H166" t="s">
        <v>37</v>
      </c>
      <c r="I166">
        <v>14</v>
      </c>
      <c r="J166" t="s">
        <v>24</v>
      </c>
      <c r="K166" t="s">
        <v>33</v>
      </c>
      <c r="L166" t="s">
        <v>62</v>
      </c>
      <c r="M166">
        <v>47</v>
      </c>
      <c r="N166">
        <v>123</v>
      </c>
      <c r="O166" t="s">
        <v>39</v>
      </c>
      <c r="P166">
        <v>30</v>
      </c>
      <c r="Q166">
        <v>50</v>
      </c>
      <c r="R166">
        <v>40</v>
      </c>
      <c r="S166">
        <v>80</v>
      </c>
      <c r="T166">
        <v>26</v>
      </c>
      <c r="U166" t="s">
        <v>36</v>
      </c>
      <c r="V166" s="2">
        <v>0.38211382113821141</v>
      </c>
      <c r="W166" s="2">
        <v>0.5934959349593496</v>
      </c>
      <c r="X166">
        <v>12</v>
      </c>
    </row>
    <row r="167" spans="1:24" x14ac:dyDescent="0.3">
      <c r="A167">
        <v>712</v>
      </c>
      <c r="B167">
        <v>0</v>
      </c>
      <c r="C167">
        <v>-9</v>
      </c>
      <c r="D167" s="1">
        <v>41083</v>
      </c>
      <c r="E167">
        <v>387</v>
      </c>
      <c r="F167">
        <v>43</v>
      </c>
      <c r="G167" t="s">
        <v>40</v>
      </c>
      <c r="H167" t="s">
        <v>23</v>
      </c>
      <c r="I167">
        <v>0</v>
      </c>
      <c r="J167" t="s">
        <v>41</v>
      </c>
      <c r="K167" t="s">
        <v>42</v>
      </c>
      <c r="L167" t="s">
        <v>43</v>
      </c>
      <c r="M167">
        <v>31</v>
      </c>
      <c r="N167">
        <v>43</v>
      </c>
      <c r="O167" t="s">
        <v>44</v>
      </c>
      <c r="P167">
        <v>0</v>
      </c>
      <c r="Q167">
        <v>50</v>
      </c>
      <c r="R167">
        <v>40</v>
      </c>
      <c r="S167">
        <v>50</v>
      </c>
      <c r="T167">
        <v>12</v>
      </c>
      <c r="U167" t="s">
        <v>28</v>
      </c>
      <c r="V167" s="2">
        <v>0.72093023255813948</v>
      </c>
      <c r="W167" s="2">
        <v>1</v>
      </c>
      <c r="X167">
        <v>12</v>
      </c>
    </row>
    <row r="168" spans="1:24" x14ac:dyDescent="0.3">
      <c r="A168">
        <v>505</v>
      </c>
      <c r="B168">
        <v>82</v>
      </c>
      <c r="C168">
        <v>-18</v>
      </c>
      <c r="D168" s="1">
        <v>41084</v>
      </c>
      <c r="E168">
        <v>1804</v>
      </c>
      <c r="F168">
        <v>40</v>
      </c>
      <c r="G168" t="s">
        <v>40</v>
      </c>
      <c r="H168" t="s">
        <v>30</v>
      </c>
      <c r="I168">
        <v>25</v>
      </c>
      <c r="J168" t="s">
        <v>41</v>
      </c>
      <c r="K168" t="s">
        <v>46</v>
      </c>
      <c r="L168" t="s">
        <v>47</v>
      </c>
      <c r="M168">
        <v>-8</v>
      </c>
      <c r="N168">
        <v>122</v>
      </c>
      <c r="O168" t="s">
        <v>65</v>
      </c>
      <c r="P168">
        <v>90</v>
      </c>
      <c r="Q168">
        <v>50</v>
      </c>
      <c r="R168">
        <v>10</v>
      </c>
      <c r="S168">
        <v>140</v>
      </c>
      <c r="T168">
        <v>48</v>
      </c>
      <c r="U168" t="s">
        <v>28</v>
      </c>
      <c r="V168" s="2">
        <v>-6.5573770491803282E-2</v>
      </c>
      <c r="W168" s="2">
        <v>0.32786885245901637</v>
      </c>
      <c r="X168">
        <v>23</v>
      </c>
    </row>
    <row r="169" spans="1:24" x14ac:dyDescent="0.3">
      <c r="A169">
        <v>515</v>
      </c>
      <c r="B169">
        <v>22</v>
      </c>
      <c r="C169">
        <v>-24</v>
      </c>
      <c r="D169" s="1">
        <v>41085</v>
      </c>
      <c r="E169">
        <v>802</v>
      </c>
      <c r="F169">
        <v>34</v>
      </c>
      <c r="G169" t="s">
        <v>40</v>
      </c>
      <c r="H169" t="s">
        <v>23</v>
      </c>
      <c r="I169">
        <v>6</v>
      </c>
      <c r="J169" t="s">
        <v>41</v>
      </c>
      <c r="K169" t="s">
        <v>42</v>
      </c>
      <c r="L169" t="s">
        <v>54</v>
      </c>
      <c r="M169">
        <v>16</v>
      </c>
      <c r="N169">
        <v>56</v>
      </c>
      <c r="O169" t="s">
        <v>44</v>
      </c>
      <c r="P169">
        <v>20</v>
      </c>
      <c r="Q169">
        <v>50</v>
      </c>
      <c r="R169">
        <v>40</v>
      </c>
      <c r="S169">
        <v>70</v>
      </c>
      <c r="T169">
        <v>18</v>
      </c>
      <c r="U169" t="s">
        <v>36</v>
      </c>
      <c r="V169" s="2">
        <v>0.2857142857142857</v>
      </c>
      <c r="W169" s="2">
        <v>0.6071428571428571</v>
      </c>
      <c r="X169">
        <v>12</v>
      </c>
    </row>
    <row r="170" spans="1:24" x14ac:dyDescent="0.3">
      <c r="A170">
        <v>505</v>
      </c>
      <c r="B170">
        <v>44</v>
      </c>
      <c r="C170">
        <v>-7</v>
      </c>
      <c r="D170" s="1">
        <v>41086</v>
      </c>
      <c r="E170">
        <v>325</v>
      </c>
      <c r="F170">
        <v>62</v>
      </c>
      <c r="G170" t="s">
        <v>40</v>
      </c>
      <c r="H170" t="s">
        <v>30</v>
      </c>
      <c r="I170">
        <v>40</v>
      </c>
      <c r="J170" t="s">
        <v>41</v>
      </c>
      <c r="K170" t="s">
        <v>42</v>
      </c>
      <c r="L170" t="s">
        <v>54</v>
      </c>
      <c r="M170">
        <v>-7</v>
      </c>
      <c r="N170">
        <v>106</v>
      </c>
      <c r="O170" t="s">
        <v>65</v>
      </c>
      <c r="P170">
        <v>30</v>
      </c>
      <c r="Q170">
        <v>50</v>
      </c>
      <c r="R170">
        <v>0</v>
      </c>
      <c r="S170">
        <v>80</v>
      </c>
      <c r="T170">
        <v>69</v>
      </c>
      <c r="U170" t="s">
        <v>36</v>
      </c>
      <c r="V170" s="2">
        <v>-6.6037735849056603E-2</v>
      </c>
      <c r="W170" s="2">
        <v>0.58490566037735847</v>
      </c>
      <c r="X170">
        <v>29</v>
      </c>
    </row>
    <row r="171" spans="1:24" x14ac:dyDescent="0.3">
      <c r="A171">
        <v>775</v>
      </c>
      <c r="B171">
        <v>33</v>
      </c>
      <c r="C171">
        <v>-14</v>
      </c>
      <c r="D171" s="1">
        <v>41087</v>
      </c>
      <c r="E171">
        <v>243</v>
      </c>
      <c r="F171">
        <v>41</v>
      </c>
      <c r="G171" t="s">
        <v>40</v>
      </c>
      <c r="H171" t="s">
        <v>37</v>
      </c>
      <c r="I171">
        <v>12</v>
      </c>
      <c r="J171" t="s">
        <v>41</v>
      </c>
      <c r="K171" t="s">
        <v>46</v>
      </c>
      <c r="L171" t="s">
        <v>53</v>
      </c>
      <c r="M171">
        <v>-4</v>
      </c>
      <c r="N171">
        <v>74</v>
      </c>
      <c r="O171" t="s">
        <v>49</v>
      </c>
      <c r="P171">
        <v>30</v>
      </c>
      <c r="Q171">
        <v>50</v>
      </c>
      <c r="R171">
        <v>10</v>
      </c>
      <c r="S171">
        <v>80</v>
      </c>
      <c r="T171">
        <v>45</v>
      </c>
      <c r="U171" t="s">
        <v>36</v>
      </c>
      <c r="V171" s="2">
        <v>-5.4054054054054057E-2</v>
      </c>
      <c r="W171" s="2">
        <v>0.55405405405405406</v>
      </c>
      <c r="X171">
        <v>33</v>
      </c>
    </row>
    <row r="172" spans="1:24" x14ac:dyDescent="0.3">
      <c r="A172">
        <v>573</v>
      </c>
      <c r="B172">
        <v>44</v>
      </c>
      <c r="C172">
        <v>-8</v>
      </c>
      <c r="D172" s="1">
        <v>41088</v>
      </c>
      <c r="E172">
        <v>325</v>
      </c>
      <c r="F172">
        <v>62</v>
      </c>
      <c r="G172" t="s">
        <v>40</v>
      </c>
      <c r="H172" t="s">
        <v>23</v>
      </c>
      <c r="I172">
        <v>40</v>
      </c>
      <c r="J172" t="s">
        <v>24</v>
      </c>
      <c r="K172" t="s">
        <v>25</v>
      </c>
      <c r="L172" t="s">
        <v>58</v>
      </c>
      <c r="M172">
        <v>-8</v>
      </c>
      <c r="N172">
        <v>106</v>
      </c>
      <c r="O172" t="s">
        <v>59</v>
      </c>
      <c r="P172">
        <v>40</v>
      </c>
      <c r="Q172">
        <v>50</v>
      </c>
      <c r="R172">
        <v>0</v>
      </c>
      <c r="S172">
        <v>90</v>
      </c>
      <c r="T172">
        <v>70</v>
      </c>
      <c r="U172" t="s">
        <v>28</v>
      </c>
      <c r="V172" s="2">
        <v>-7.5471698113207544E-2</v>
      </c>
      <c r="W172" s="2">
        <v>0.58490566037735847</v>
      </c>
      <c r="X172">
        <v>30</v>
      </c>
    </row>
    <row r="173" spans="1:24" x14ac:dyDescent="0.3">
      <c r="A173">
        <v>262</v>
      </c>
      <c r="B173">
        <v>31</v>
      </c>
      <c r="C173">
        <v>-13</v>
      </c>
      <c r="D173" s="1">
        <v>41089</v>
      </c>
      <c r="E173">
        <v>856</v>
      </c>
      <c r="F173">
        <v>47</v>
      </c>
      <c r="G173" t="s">
        <v>40</v>
      </c>
      <c r="H173" t="s">
        <v>23</v>
      </c>
      <c r="I173">
        <v>8</v>
      </c>
      <c r="J173" t="s">
        <v>24</v>
      </c>
      <c r="K173" t="s">
        <v>25</v>
      </c>
      <c r="L173" t="s">
        <v>26</v>
      </c>
      <c r="M173">
        <v>27</v>
      </c>
      <c r="N173">
        <v>78</v>
      </c>
      <c r="O173" t="s">
        <v>60</v>
      </c>
      <c r="P173">
        <v>20</v>
      </c>
      <c r="Q173">
        <v>50</v>
      </c>
      <c r="R173">
        <v>40</v>
      </c>
      <c r="S173">
        <v>70</v>
      </c>
      <c r="T173">
        <v>20</v>
      </c>
      <c r="U173" t="s">
        <v>28</v>
      </c>
      <c r="V173" s="2">
        <v>0.34615384615384615</v>
      </c>
      <c r="W173" s="2">
        <v>0.60256410256410253</v>
      </c>
      <c r="X173">
        <v>12</v>
      </c>
    </row>
    <row r="174" spans="1:24" x14ac:dyDescent="0.3">
      <c r="A174">
        <v>475</v>
      </c>
      <c r="B174">
        <v>69</v>
      </c>
      <c r="C174">
        <v>8</v>
      </c>
      <c r="D174" s="1">
        <v>41090</v>
      </c>
      <c r="E174">
        <v>1060</v>
      </c>
      <c r="F174">
        <v>81</v>
      </c>
      <c r="G174" t="s">
        <v>40</v>
      </c>
      <c r="H174" t="s">
        <v>32</v>
      </c>
      <c r="I174">
        <v>21</v>
      </c>
      <c r="J174" t="s">
        <v>24</v>
      </c>
      <c r="K174" t="s">
        <v>25</v>
      </c>
      <c r="L174" t="s">
        <v>29</v>
      </c>
      <c r="M174">
        <v>38</v>
      </c>
      <c r="N174">
        <v>150</v>
      </c>
      <c r="O174" t="s">
        <v>45</v>
      </c>
      <c r="P174">
        <v>50</v>
      </c>
      <c r="Q174">
        <v>50</v>
      </c>
      <c r="R174">
        <v>30</v>
      </c>
      <c r="S174">
        <v>100</v>
      </c>
      <c r="T174">
        <v>43</v>
      </c>
      <c r="U174" t="s">
        <v>28</v>
      </c>
      <c r="V174" s="2">
        <v>0.25333333333333335</v>
      </c>
      <c r="W174" s="2">
        <v>0.54</v>
      </c>
      <c r="X174">
        <v>22</v>
      </c>
    </row>
    <row r="175" spans="1:24" x14ac:dyDescent="0.3">
      <c r="A175">
        <v>262</v>
      </c>
      <c r="B175">
        <v>49</v>
      </c>
      <c r="C175">
        <v>13</v>
      </c>
      <c r="D175" s="1">
        <v>41091</v>
      </c>
      <c r="E175">
        <v>454</v>
      </c>
      <c r="F175">
        <v>71</v>
      </c>
      <c r="G175" t="s">
        <v>40</v>
      </c>
      <c r="H175" t="s">
        <v>23</v>
      </c>
      <c r="I175">
        <v>15</v>
      </c>
      <c r="J175" t="s">
        <v>24</v>
      </c>
      <c r="K175" t="s">
        <v>33</v>
      </c>
      <c r="L175" t="s">
        <v>34</v>
      </c>
      <c r="M175">
        <v>33</v>
      </c>
      <c r="N175">
        <v>120</v>
      </c>
      <c r="O175" t="s">
        <v>60</v>
      </c>
      <c r="P175">
        <v>40</v>
      </c>
      <c r="Q175">
        <v>50</v>
      </c>
      <c r="R175">
        <v>20</v>
      </c>
      <c r="S175">
        <v>90</v>
      </c>
      <c r="T175">
        <v>38</v>
      </c>
      <c r="U175" t="s">
        <v>36</v>
      </c>
      <c r="V175" s="2">
        <v>0.27500000000000002</v>
      </c>
      <c r="W175" s="2">
        <v>0.59166666666666667</v>
      </c>
      <c r="X175">
        <v>23</v>
      </c>
    </row>
    <row r="176" spans="1:24" x14ac:dyDescent="0.3">
      <c r="A176">
        <v>206</v>
      </c>
      <c r="B176">
        <v>49</v>
      </c>
      <c r="C176">
        <v>4</v>
      </c>
      <c r="D176" s="1">
        <v>41092</v>
      </c>
      <c r="E176">
        <v>454</v>
      </c>
      <c r="F176">
        <v>71</v>
      </c>
      <c r="G176" t="s">
        <v>40</v>
      </c>
      <c r="H176" t="s">
        <v>37</v>
      </c>
      <c r="I176">
        <v>15</v>
      </c>
      <c r="J176" t="s">
        <v>24</v>
      </c>
      <c r="K176" t="s">
        <v>33</v>
      </c>
      <c r="L176" t="s">
        <v>62</v>
      </c>
      <c r="M176">
        <v>34</v>
      </c>
      <c r="N176">
        <v>120</v>
      </c>
      <c r="O176" t="s">
        <v>61</v>
      </c>
      <c r="P176">
        <v>30</v>
      </c>
      <c r="Q176">
        <v>50</v>
      </c>
      <c r="R176">
        <v>30</v>
      </c>
      <c r="S176">
        <v>80</v>
      </c>
      <c r="T176">
        <v>37</v>
      </c>
      <c r="U176" t="s">
        <v>36</v>
      </c>
      <c r="V176" s="2">
        <v>0.28333333333333333</v>
      </c>
      <c r="W176" s="2">
        <v>0.59166666666666667</v>
      </c>
      <c r="X176">
        <v>22</v>
      </c>
    </row>
    <row r="177" spans="1:24" x14ac:dyDescent="0.3">
      <c r="A177">
        <v>970</v>
      </c>
      <c r="B177">
        <v>43</v>
      </c>
      <c r="C177">
        <v>-1</v>
      </c>
      <c r="D177" s="1">
        <v>41093</v>
      </c>
      <c r="E177">
        <v>531</v>
      </c>
      <c r="F177">
        <v>56</v>
      </c>
      <c r="G177" t="s">
        <v>22</v>
      </c>
      <c r="H177" t="s">
        <v>23</v>
      </c>
      <c r="I177">
        <v>14</v>
      </c>
      <c r="J177" t="s">
        <v>41</v>
      </c>
      <c r="K177" t="s">
        <v>46</v>
      </c>
      <c r="L177" t="s">
        <v>53</v>
      </c>
      <c r="M177">
        <v>29</v>
      </c>
      <c r="N177">
        <v>99</v>
      </c>
      <c r="O177" t="s">
        <v>27</v>
      </c>
      <c r="P177">
        <v>40</v>
      </c>
      <c r="Q177">
        <v>50</v>
      </c>
      <c r="R177">
        <v>30</v>
      </c>
      <c r="S177">
        <v>90</v>
      </c>
      <c r="T177">
        <v>27</v>
      </c>
      <c r="U177" t="s">
        <v>36</v>
      </c>
      <c r="V177" s="2">
        <v>0.29292929292929293</v>
      </c>
      <c r="W177" s="2">
        <v>0.56565656565656564</v>
      </c>
      <c r="X177">
        <v>13</v>
      </c>
    </row>
    <row r="178" spans="1:24" x14ac:dyDescent="0.3">
      <c r="A178">
        <v>614</v>
      </c>
      <c r="B178">
        <v>41</v>
      </c>
      <c r="C178">
        <v>4</v>
      </c>
      <c r="D178" s="1">
        <v>41094</v>
      </c>
      <c r="E178">
        <v>435</v>
      </c>
      <c r="F178">
        <v>60</v>
      </c>
      <c r="G178" t="s">
        <v>22</v>
      </c>
      <c r="H178" t="s">
        <v>23</v>
      </c>
      <c r="I178">
        <v>13</v>
      </c>
      <c r="J178" t="s">
        <v>41</v>
      </c>
      <c r="K178" t="s">
        <v>46</v>
      </c>
      <c r="L178" t="s">
        <v>53</v>
      </c>
      <c r="M178">
        <v>24</v>
      </c>
      <c r="N178">
        <v>101</v>
      </c>
      <c r="O178" t="s">
        <v>66</v>
      </c>
      <c r="P178">
        <v>40</v>
      </c>
      <c r="Q178">
        <v>50</v>
      </c>
      <c r="R178">
        <v>20</v>
      </c>
      <c r="S178">
        <v>90</v>
      </c>
      <c r="T178">
        <v>36</v>
      </c>
      <c r="U178" t="s">
        <v>36</v>
      </c>
      <c r="V178" s="2">
        <v>0.23762376237623761</v>
      </c>
      <c r="W178" s="2">
        <v>0.59405940594059403</v>
      </c>
      <c r="X178">
        <v>23</v>
      </c>
    </row>
    <row r="179" spans="1:24" x14ac:dyDescent="0.3">
      <c r="A179">
        <v>339</v>
      </c>
      <c r="B179">
        <v>47</v>
      </c>
      <c r="C179">
        <v>-10</v>
      </c>
      <c r="D179" s="1">
        <v>41095</v>
      </c>
      <c r="E179">
        <v>571</v>
      </c>
      <c r="F179">
        <v>52</v>
      </c>
      <c r="G179" t="s">
        <v>22</v>
      </c>
      <c r="H179" t="s">
        <v>32</v>
      </c>
      <c r="I179">
        <v>42</v>
      </c>
      <c r="J179" t="s">
        <v>41</v>
      </c>
      <c r="K179" t="s">
        <v>42</v>
      </c>
      <c r="L179" t="s">
        <v>54</v>
      </c>
      <c r="M179">
        <v>-20</v>
      </c>
      <c r="N179">
        <v>99</v>
      </c>
      <c r="O179" t="s">
        <v>63</v>
      </c>
      <c r="P179">
        <v>40</v>
      </c>
      <c r="Q179">
        <v>50</v>
      </c>
      <c r="R179">
        <v>-10</v>
      </c>
      <c r="S179">
        <v>90</v>
      </c>
      <c r="T179">
        <v>72</v>
      </c>
      <c r="U179" t="s">
        <v>36</v>
      </c>
      <c r="V179" s="2">
        <v>-0.20202020202020202</v>
      </c>
      <c r="W179" s="2">
        <v>0.5252525252525253</v>
      </c>
      <c r="X179">
        <v>30</v>
      </c>
    </row>
    <row r="180" spans="1:24" x14ac:dyDescent="0.3">
      <c r="A180">
        <v>773</v>
      </c>
      <c r="B180">
        <v>43</v>
      </c>
      <c r="C180">
        <v>-1</v>
      </c>
      <c r="D180" s="1">
        <v>41096</v>
      </c>
      <c r="E180">
        <v>531</v>
      </c>
      <c r="F180">
        <v>56</v>
      </c>
      <c r="G180" t="s">
        <v>22</v>
      </c>
      <c r="H180" t="s">
        <v>23</v>
      </c>
      <c r="I180">
        <v>14</v>
      </c>
      <c r="J180" t="s">
        <v>24</v>
      </c>
      <c r="K180" t="s">
        <v>25</v>
      </c>
      <c r="L180" t="s">
        <v>26</v>
      </c>
      <c r="M180">
        <v>29</v>
      </c>
      <c r="N180">
        <v>99</v>
      </c>
      <c r="O180" t="s">
        <v>64</v>
      </c>
      <c r="P180">
        <v>40</v>
      </c>
      <c r="Q180">
        <v>50</v>
      </c>
      <c r="R180">
        <v>30</v>
      </c>
      <c r="S180">
        <v>90</v>
      </c>
      <c r="T180">
        <v>27</v>
      </c>
      <c r="U180" t="s">
        <v>28</v>
      </c>
      <c r="V180" s="2">
        <v>0.29292929292929293</v>
      </c>
      <c r="W180" s="2">
        <v>0.56565656565656564</v>
      </c>
      <c r="X180">
        <v>13</v>
      </c>
    </row>
    <row r="181" spans="1:24" x14ac:dyDescent="0.3">
      <c r="A181">
        <v>805</v>
      </c>
      <c r="B181">
        <v>43</v>
      </c>
      <c r="C181">
        <v>-1</v>
      </c>
      <c r="D181" s="1">
        <v>41097</v>
      </c>
      <c r="E181">
        <v>531</v>
      </c>
      <c r="F181">
        <v>56</v>
      </c>
      <c r="G181" t="s">
        <v>22</v>
      </c>
      <c r="H181" t="s">
        <v>37</v>
      </c>
      <c r="I181">
        <v>14</v>
      </c>
      <c r="J181" t="s">
        <v>24</v>
      </c>
      <c r="K181" t="s">
        <v>25</v>
      </c>
      <c r="L181" t="s">
        <v>29</v>
      </c>
      <c r="M181">
        <v>29</v>
      </c>
      <c r="N181">
        <v>99</v>
      </c>
      <c r="O181" t="s">
        <v>39</v>
      </c>
      <c r="P181">
        <v>40</v>
      </c>
      <c r="Q181">
        <v>50</v>
      </c>
      <c r="R181">
        <v>30</v>
      </c>
      <c r="S181">
        <v>90</v>
      </c>
      <c r="T181">
        <v>27</v>
      </c>
      <c r="U181" t="s">
        <v>28</v>
      </c>
      <c r="V181" s="2">
        <v>0.29292929292929293</v>
      </c>
      <c r="W181" s="2">
        <v>0.56565656565656564</v>
      </c>
      <c r="X181">
        <v>13</v>
      </c>
    </row>
    <row r="182" spans="1:24" x14ac:dyDescent="0.3">
      <c r="A182">
        <v>303</v>
      </c>
      <c r="B182">
        <v>46</v>
      </c>
      <c r="C182">
        <v>-4</v>
      </c>
      <c r="D182" s="1">
        <v>41098</v>
      </c>
      <c r="E182">
        <v>422</v>
      </c>
      <c r="F182">
        <v>57</v>
      </c>
      <c r="G182" t="s">
        <v>22</v>
      </c>
      <c r="H182" t="s">
        <v>23</v>
      </c>
      <c r="I182">
        <v>17</v>
      </c>
      <c r="J182" t="s">
        <v>24</v>
      </c>
      <c r="K182" t="s">
        <v>33</v>
      </c>
      <c r="L182" t="s">
        <v>34</v>
      </c>
      <c r="M182">
        <v>6</v>
      </c>
      <c r="N182">
        <v>103</v>
      </c>
      <c r="O182" t="s">
        <v>27</v>
      </c>
      <c r="P182">
        <v>30</v>
      </c>
      <c r="Q182">
        <v>50</v>
      </c>
      <c r="R182">
        <v>10</v>
      </c>
      <c r="S182">
        <v>80</v>
      </c>
      <c r="T182">
        <v>51</v>
      </c>
      <c r="U182" t="s">
        <v>36</v>
      </c>
      <c r="V182" s="2">
        <v>5.8252427184466021E-2</v>
      </c>
      <c r="W182" s="2">
        <v>0.55339805825242716</v>
      </c>
      <c r="X182">
        <v>34</v>
      </c>
    </row>
    <row r="183" spans="1:24" x14ac:dyDescent="0.3">
      <c r="A183">
        <v>303</v>
      </c>
      <c r="B183">
        <v>53</v>
      </c>
      <c r="C183">
        <v>6</v>
      </c>
      <c r="D183" s="1">
        <v>41099</v>
      </c>
      <c r="E183">
        <v>1054</v>
      </c>
      <c r="F183">
        <v>63</v>
      </c>
      <c r="G183" t="s">
        <v>22</v>
      </c>
      <c r="H183" t="s">
        <v>23</v>
      </c>
      <c r="I183">
        <v>16</v>
      </c>
      <c r="J183" t="s">
        <v>24</v>
      </c>
      <c r="K183" t="s">
        <v>33</v>
      </c>
      <c r="L183" t="s">
        <v>62</v>
      </c>
      <c r="M183">
        <v>26</v>
      </c>
      <c r="N183">
        <v>116</v>
      </c>
      <c r="O183" t="s">
        <v>27</v>
      </c>
      <c r="P183">
        <v>40</v>
      </c>
      <c r="Q183">
        <v>50</v>
      </c>
      <c r="R183">
        <v>20</v>
      </c>
      <c r="S183">
        <v>90</v>
      </c>
      <c r="T183">
        <v>37</v>
      </c>
      <c r="U183" t="s">
        <v>36</v>
      </c>
      <c r="V183" s="2">
        <v>0.22413793103448276</v>
      </c>
      <c r="W183" s="2">
        <v>0.5431034482758621</v>
      </c>
      <c r="X183">
        <v>21</v>
      </c>
    </row>
    <row r="184" spans="1:24" x14ac:dyDescent="0.3">
      <c r="A184">
        <v>617</v>
      </c>
      <c r="B184">
        <v>33</v>
      </c>
      <c r="C184">
        <v>-11</v>
      </c>
      <c r="D184" s="1">
        <v>41100</v>
      </c>
      <c r="E184">
        <v>870</v>
      </c>
      <c r="F184">
        <v>49</v>
      </c>
      <c r="G184" t="s">
        <v>22</v>
      </c>
      <c r="H184" t="s">
        <v>32</v>
      </c>
      <c r="I184">
        <v>9</v>
      </c>
      <c r="J184" t="s">
        <v>24</v>
      </c>
      <c r="K184" t="s">
        <v>33</v>
      </c>
      <c r="L184" t="s">
        <v>34</v>
      </c>
      <c r="M184">
        <v>29</v>
      </c>
      <c r="N184">
        <v>82</v>
      </c>
      <c r="O184" t="s">
        <v>63</v>
      </c>
      <c r="P184">
        <v>30</v>
      </c>
      <c r="Q184">
        <v>50</v>
      </c>
      <c r="R184">
        <v>40</v>
      </c>
      <c r="S184">
        <v>80</v>
      </c>
      <c r="T184">
        <v>20</v>
      </c>
      <c r="U184" t="s">
        <v>36</v>
      </c>
      <c r="V184" s="2">
        <v>0.35365853658536583</v>
      </c>
      <c r="W184" s="2">
        <v>0.59756097560975607</v>
      </c>
      <c r="X184">
        <v>11</v>
      </c>
    </row>
    <row r="185" spans="1:24" x14ac:dyDescent="0.3">
      <c r="A185">
        <v>863</v>
      </c>
      <c r="B185">
        <v>34</v>
      </c>
      <c r="C185">
        <v>-10</v>
      </c>
      <c r="D185" s="1">
        <v>41101</v>
      </c>
      <c r="E185">
        <v>863</v>
      </c>
      <c r="F185">
        <v>51</v>
      </c>
      <c r="G185" t="s">
        <v>22</v>
      </c>
      <c r="H185" t="s">
        <v>32</v>
      </c>
      <c r="I185">
        <v>9</v>
      </c>
      <c r="J185" t="s">
        <v>24</v>
      </c>
      <c r="K185" t="s">
        <v>33</v>
      </c>
      <c r="L185" t="s">
        <v>38</v>
      </c>
      <c r="M185">
        <v>30</v>
      </c>
      <c r="N185">
        <v>85</v>
      </c>
      <c r="O185" t="s">
        <v>35</v>
      </c>
      <c r="P185">
        <v>30</v>
      </c>
      <c r="Q185">
        <v>50</v>
      </c>
      <c r="R185">
        <v>40</v>
      </c>
      <c r="S185">
        <v>80</v>
      </c>
      <c r="T185">
        <v>21</v>
      </c>
      <c r="U185" t="s">
        <v>36</v>
      </c>
      <c r="V185" s="2">
        <v>0.35294117647058826</v>
      </c>
      <c r="W185" s="2">
        <v>0.6</v>
      </c>
      <c r="X185">
        <v>12</v>
      </c>
    </row>
    <row r="186" spans="1:24" x14ac:dyDescent="0.3">
      <c r="A186">
        <v>641</v>
      </c>
      <c r="B186">
        <v>0</v>
      </c>
      <c r="C186">
        <v>-8</v>
      </c>
      <c r="D186" s="1">
        <v>41102</v>
      </c>
      <c r="E186">
        <v>344</v>
      </c>
      <c r="F186">
        <v>43</v>
      </c>
      <c r="G186" t="s">
        <v>40</v>
      </c>
      <c r="H186" t="s">
        <v>23</v>
      </c>
      <c r="I186">
        <v>0</v>
      </c>
      <c r="J186" t="s">
        <v>41</v>
      </c>
      <c r="K186" t="s">
        <v>42</v>
      </c>
      <c r="L186" t="s">
        <v>43</v>
      </c>
      <c r="M186">
        <v>32</v>
      </c>
      <c r="N186">
        <v>43</v>
      </c>
      <c r="O186" t="s">
        <v>44</v>
      </c>
      <c r="P186">
        <v>0</v>
      </c>
      <c r="Q186">
        <v>50</v>
      </c>
      <c r="R186">
        <v>40</v>
      </c>
      <c r="S186">
        <v>50</v>
      </c>
      <c r="T186">
        <v>11</v>
      </c>
      <c r="U186" t="s">
        <v>28</v>
      </c>
      <c r="V186" s="2">
        <v>0.7441860465116279</v>
      </c>
      <c r="W186" s="2">
        <v>1</v>
      </c>
      <c r="X186">
        <v>11</v>
      </c>
    </row>
    <row r="187" spans="1:24" x14ac:dyDescent="0.3">
      <c r="A187">
        <v>225</v>
      </c>
      <c r="B187">
        <v>43</v>
      </c>
      <c r="C187">
        <v>7</v>
      </c>
      <c r="D187" s="1">
        <v>41103</v>
      </c>
      <c r="E187">
        <v>466</v>
      </c>
      <c r="F187">
        <v>63</v>
      </c>
      <c r="G187" t="s">
        <v>40</v>
      </c>
      <c r="H187" t="s">
        <v>30</v>
      </c>
      <c r="I187">
        <v>13</v>
      </c>
      <c r="J187" t="s">
        <v>41</v>
      </c>
      <c r="K187" t="s">
        <v>42</v>
      </c>
      <c r="L187" t="s">
        <v>43</v>
      </c>
      <c r="M187">
        <v>27</v>
      </c>
      <c r="N187">
        <v>106</v>
      </c>
      <c r="O187" t="s">
        <v>56</v>
      </c>
      <c r="P187">
        <v>30</v>
      </c>
      <c r="Q187">
        <v>50</v>
      </c>
      <c r="R187">
        <v>20</v>
      </c>
      <c r="S187">
        <v>80</v>
      </c>
      <c r="T187">
        <v>36</v>
      </c>
      <c r="U187" t="s">
        <v>28</v>
      </c>
      <c r="V187" s="2">
        <v>0.25471698113207547</v>
      </c>
      <c r="W187" s="2">
        <v>0.59433962264150941</v>
      </c>
      <c r="X187">
        <v>23</v>
      </c>
    </row>
    <row r="188" spans="1:24" x14ac:dyDescent="0.3">
      <c r="A188">
        <v>702</v>
      </c>
      <c r="B188">
        <v>31</v>
      </c>
      <c r="C188">
        <v>-22</v>
      </c>
      <c r="D188" s="1">
        <v>41104</v>
      </c>
      <c r="E188">
        <v>1009</v>
      </c>
      <c r="F188">
        <v>38</v>
      </c>
      <c r="G188" t="s">
        <v>40</v>
      </c>
      <c r="H188" t="s">
        <v>37</v>
      </c>
      <c r="I188">
        <v>9</v>
      </c>
      <c r="J188" t="s">
        <v>41</v>
      </c>
      <c r="K188" t="s">
        <v>46</v>
      </c>
      <c r="L188" t="s">
        <v>47</v>
      </c>
      <c r="M188">
        <v>8</v>
      </c>
      <c r="N188">
        <v>69</v>
      </c>
      <c r="O188" t="s">
        <v>49</v>
      </c>
      <c r="P188">
        <v>30</v>
      </c>
      <c r="Q188">
        <v>50</v>
      </c>
      <c r="R188">
        <v>30</v>
      </c>
      <c r="S188">
        <v>80</v>
      </c>
      <c r="T188">
        <v>30</v>
      </c>
      <c r="U188" t="s">
        <v>28</v>
      </c>
      <c r="V188" s="2">
        <v>0.11594202898550725</v>
      </c>
      <c r="W188" s="2">
        <v>0.55072463768115942</v>
      </c>
      <c r="X188">
        <v>21</v>
      </c>
    </row>
    <row r="189" spans="1:24" x14ac:dyDescent="0.3">
      <c r="A189">
        <v>515</v>
      </c>
      <c r="B189">
        <v>23</v>
      </c>
      <c r="C189">
        <v>-23</v>
      </c>
      <c r="D189" s="1">
        <v>41105</v>
      </c>
      <c r="E189">
        <v>807</v>
      </c>
      <c r="F189">
        <v>35</v>
      </c>
      <c r="G189" t="s">
        <v>40</v>
      </c>
      <c r="H189" t="s">
        <v>23</v>
      </c>
      <c r="I189">
        <v>6</v>
      </c>
      <c r="J189" t="s">
        <v>41</v>
      </c>
      <c r="K189" t="s">
        <v>42</v>
      </c>
      <c r="L189" t="s">
        <v>54</v>
      </c>
      <c r="M189">
        <v>17</v>
      </c>
      <c r="N189">
        <v>58</v>
      </c>
      <c r="O189" t="s">
        <v>44</v>
      </c>
      <c r="P189">
        <v>20</v>
      </c>
      <c r="Q189">
        <v>50</v>
      </c>
      <c r="R189">
        <v>40</v>
      </c>
      <c r="S189">
        <v>70</v>
      </c>
      <c r="T189">
        <v>18</v>
      </c>
      <c r="U189" t="s">
        <v>36</v>
      </c>
      <c r="V189" s="2">
        <v>0.29310344827586204</v>
      </c>
      <c r="W189" s="2">
        <v>0.60344827586206895</v>
      </c>
      <c r="X189">
        <v>12</v>
      </c>
    </row>
    <row r="190" spans="1:24" x14ac:dyDescent="0.3">
      <c r="A190">
        <v>985</v>
      </c>
      <c r="B190">
        <v>41</v>
      </c>
      <c r="C190">
        <v>11</v>
      </c>
      <c r="D190" s="1">
        <v>41106</v>
      </c>
      <c r="E190">
        <v>320</v>
      </c>
      <c r="F190">
        <v>66</v>
      </c>
      <c r="G190" t="s">
        <v>40</v>
      </c>
      <c r="H190" t="s">
        <v>30</v>
      </c>
      <c r="I190">
        <v>12</v>
      </c>
      <c r="J190" t="s">
        <v>41</v>
      </c>
      <c r="K190" t="s">
        <v>42</v>
      </c>
      <c r="L190" t="s">
        <v>54</v>
      </c>
      <c r="M190">
        <v>31</v>
      </c>
      <c r="N190">
        <v>107</v>
      </c>
      <c r="O190" t="s">
        <v>56</v>
      </c>
      <c r="P190">
        <v>30</v>
      </c>
      <c r="Q190">
        <v>50</v>
      </c>
      <c r="R190">
        <v>20</v>
      </c>
      <c r="S190">
        <v>80</v>
      </c>
      <c r="T190">
        <v>35</v>
      </c>
      <c r="U190" t="s">
        <v>36</v>
      </c>
      <c r="V190" s="2">
        <v>0.28971962616822428</v>
      </c>
      <c r="W190" s="2">
        <v>0.61682242990654201</v>
      </c>
      <c r="X190">
        <v>23</v>
      </c>
    </row>
    <row r="191" spans="1:24" x14ac:dyDescent="0.3">
      <c r="A191">
        <v>971</v>
      </c>
      <c r="B191">
        <v>46</v>
      </c>
      <c r="C191">
        <v>-4</v>
      </c>
      <c r="D191" s="1">
        <v>41107</v>
      </c>
      <c r="E191">
        <v>422</v>
      </c>
      <c r="F191">
        <v>57</v>
      </c>
      <c r="G191" t="s">
        <v>40</v>
      </c>
      <c r="H191" t="s">
        <v>37</v>
      </c>
      <c r="I191">
        <v>17</v>
      </c>
      <c r="J191" t="s">
        <v>41</v>
      </c>
      <c r="K191" t="s">
        <v>42</v>
      </c>
      <c r="L191" t="s">
        <v>55</v>
      </c>
      <c r="M191">
        <v>6</v>
      </c>
      <c r="N191">
        <v>103</v>
      </c>
      <c r="O191" t="s">
        <v>57</v>
      </c>
      <c r="P191">
        <v>40</v>
      </c>
      <c r="Q191">
        <v>50</v>
      </c>
      <c r="R191">
        <v>10</v>
      </c>
      <c r="S191">
        <v>90</v>
      </c>
      <c r="T191">
        <v>51</v>
      </c>
      <c r="U191" t="s">
        <v>36</v>
      </c>
      <c r="V191" s="2">
        <v>5.8252427184466021E-2</v>
      </c>
      <c r="W191" s="2">
        <v>0.55339805825242716</v>
      </c>
      <c r="X191">
        <v>34</v>
      </c>
    </row>
    <row r="192" spans="1:24" x14ac:dyDescent="0.3">
      <c r="A192">
        <v>262</v>
      </c>
      <c r="B192">
        <v>43</v>
      </c>
      <c r="C192">
        <v>8</v>
      </c>
      <c r="D192" s="1">
        <v>41108</v>
      </c>
      <c r="E192">
        <v>466</v>
      </c>
      <c r="F192">
        <v>63</v>
      </c>
      <c r="G192" t="s">
        <v>40</v>
      </c>
      <c r="H192" t="s">
        <v>23</v>
      </c>
      <c r="I192">
        <v>13</v>
      </c>
      <c r="J192" t="s">
        <v>24</v>
      </c>
      <c r="K192" t="s">
        <v>33</v>
      </c>
      <c r="L192" t="s">
        <v>34</v>
      </c>
      <c r="M192">
        <v>28</v>
      </c>
      <c r="N192">
        <v>106</v>
      </c>
      <c r="O192" t="s">
        <v>60</v>
      </c>
      <c r="P192">
        <v>30</v>
      </c>
      <c r="Q192">
        <v>50</v>
      </c>
      <c r="R192">
        <v>20</v>
      </c>
      <c r="S192">
        <v>80</v>
      </c>
      <c r="T192">
        <v>35</v>
      </c>
      <c r="U192" t="s">
        <v>36</v>
      </c>
      <c r="V192" s="2">
        <v>0.26415094339622641</v>
      </c>
      <c r="W192" s="2">
        <v>0.59433962264150941</v>
      </c>
      <c r="X192">
        <v>22</v>
      </c>
    </row>
    <row r="193" spans="1:24" x14ac:dyDescent="0.3">
      <c r="A193">
        <v>959</v>
      </c>
      <c r="B193">
        <v>33</v>
      </c>
      <c r="C193">
        <v>-12</v>
      </c>
      <c r="D193" s="1">
        <v>41109</v>
      </c>
      <c r="E193">
        <v>818</v>
      </c>
      <c r="F193">
        <v>49</v>
      </c>
      <c r="G193" t="s">
        <v>40</v>
      </c>
      <c r="H193" t="s">
        <v>32</v>
      </c>
      <c r="I193">
        <v>9</v>
      </c>
      <c r="J193" t="s">
        <v>24</v>
      </c>
      <c r="K193" t="s">
        <v>33</v>
      </c>
      <c r="L193" t="s">
        <v>38</v>
      </c>
      <c r="M193">
        <v>28</v>
      </c>
      <c r="N193">
        <v>82</v>
      </c>
      <c r="O193" t="s">
        <v>45</v>
      </c>
      <c r="P193">
        <v>30</v>
      </c>
      <c r="Q193">
        <v>50</v>
      </c>
      <c r="R193">
        <v>40</v>
      </c>
      <c r="S193">
        <v>80</v>
      </c>
      <c r="T193">
        <v>21</v>
      </c>
      <c r="U193" t="s">
        <v>36</v>
      </c>
      <c r="V193" s="2">
        <v>0.34146341463414637</v>
      </c>
      <c r="W193" s="2">
        <v>0.59756097560975607</v>
      </c>
      <c r="X193">
        <v>12</v>
      </c>
    </row>
    <row r="194" spans="1:24" x14ac:dyDescent="0.3">
      <c r="A194">
        <v>435</v>
      </c>
      <c r="B194">
        <v>49</v>
      </c>
      <c r="C194">
        <v>-4</v>
      </c>
      <c r="D194" s="1">
        <v>41110</v>
      </c>
      <c r="E194">
        <v>335</v>
      </c>
      <c r="F194">
        <v>69</v>
      </c>
      <c r="G194" t="s">
        <v>40</v>
      </c>
      <c r="H194" t="s">
        <v>37</v>
      </c>
      <c r="I194">
        <v>44</v>
      </c>
      <c r="J194" t="s">
        <v>24</v>
      </c>
      <c r="K194" t="s">
        <v>33</v>
      </c>
      <c r="L194" t="s">
        <v>34</v>
      </c>
      <c r="M194">
        <v>-4</v>
      </c>
      <c r="N194">
        <v>118</v>
      </c>
      <c r="O194" t="s">
        <v>50</v>
      </c>
      <c r="P194">
        <v>30</v>
      </c>
      <c r="Q194">
        <v>50</v>
      </c>
      <c r="R194">
        <v>0</v>
      </c>
      <c r="S194">
        <v>80</v>
      </c>
      <c r="T194">
        <v>73</v>
      </c>
      <c r="U194" t="s">
        <v>36</v>
      </c>
      <c r="V194" s="2">
        <v>-3.3898305084745763E-2</v>
      </c>
      <c r="W194" s="2">
        <v>0.5847457627118644</v>
      </c>
      <c r="X194">
        <v>29</v>
      </c>
    </row>
    <row r="195" spans="1:24" x14ac:dyDescent="0.3">
      <c r="A195">
        <v>360</v>
      </c>
      <c r="B195">
        <v>55</v>
      </c>
      <c r="C195">
        <v>7</v>
      </c>
      <c r="D195" s="1">
        <v>41111</v>
      </c>
      <c r="E195">
        <v>627</v>
      </c>
      <c r="F195">
        <v>76</v>
      </c>
      <c r="G195" t="s">
        <v>40</v>
      </c>
      <c r="H195" t="s">
        <v>37</v>
      </c>
      <c r="I195">
        <v>49</v>
      </c>
      <c r="J195" t="s">
        <v>24</v>
      </c>
      <c r="K195" t="s">
        <v>33</v>
      </c>
      <c r="L195" t="s">
        <v>38</v>
      </c>
      <c r="M195">
        <v>-3</v>
      </c>
      <c r="N195">
        <v>131</v>
      </c>
      <c r="O195" t="s">
        <v>61</v>
      </c>
      <c r="P195">
        <v>40</v>
      </c>
      <c r="Q195">
        <v>50</v>
      </c>
      <c r="R195">
        <v>-10</v>
      </c>
      <c r="S195">
        <v>90</v>
      </c>
      <c r="T195">
        <v>79</v>
      </c>
      <c r="U195" t="s">
        <v>36</v>
      </c>
      <c r="V195" s="2">
        <v>-2.2900763358778626E-2</v>
      </c>
      <c r="W195" s="2">
        <v>0.58015267175572516</v>
      </c>
      <c r="X195">
        <v>30</v>
      </c>
    </row>
    <row r="196" spans="1:24" x14ac:dyDescent="0.3">
      <c r="A196">
        <v>303</v>
      </c>
      <c r="B196">
        <v>39</v>
      </c>
      <c r="C196">
        <v>-10</v>
      </c>
      <c r="D196" s="1">
        <v>41112</v>
      </c>
      <c r="E196">
        <v>541</v>
      </c>
      <c r="F196">
        <v>51</v>
      </c>
      <c r="G196" t="s">
        <v>22</v>
      </c>
      <c r="H196" t="s">
        <v>23</v>
      </c>
      <c r="I196">
        <v>12</v>
      </c>
      <c r="J196" t="s">
        <v>41</v>
      </c>
      <c r="K196" t="s">
        <v>46</v>
      </c>
      <c r="L196" t="s">
        <v>53</v>
      </c>
      <c r="M196">
        <v>40</v>
      </c>
      <c r="N196">
        <v>96</v>
      </c>
      <c r="O196" t="s">
        <v>27</v>
      </c>
      <c r="P196">
        <v>30</v>
      </c>
      <c r="Q196">
        <v>50</v>
      </c>
      <c r="R196">
        <v>50</v>
      </c>
      <c r="S196">
        <v>80</v>
      </c>
      <c r="T196">
        <v>24</v>
      </c>
      <c r="U196" t="s">
        <v>36</v>
      </c>
      <c r="V196" s="2">
        <v>0.41666666666666669</v>
      </c>
      <c r="W196" s="2">
        <v>0.59375</v>
      </c>
      <c r="X196">
        <v>12</v>
      </c>
    </row>
    <row r="197" spans="1:24" x14ac:dyDescent="0.3">
      <c r="A197">
        <v>904</v>
      </c>
      <c r="B197">
        <v>80</v>
      </c>
      <c r="C197">
        <v>31</v>
      </c>
      <c r="D197" s="1">
        <v>41113</v>
      </c>
      <c r="E197">
        <v>1055</v>
      </c>
      <c r="F197">
        <v>94</v>
      </c>
      <c r="G197" t="s">
        <v>22</v>
      </c>
      <c r="H197" t="s">
        <v>32</v>
      </c>
      <c r="I197">
        <v>24</v>
      </c>
      <c r="J197" t="s">
        <v>24</v>
      </c>
      <c r="K197" t="s">
        <v>25</v>
      </c>
      <c r="L197" t="s">
        <v>29</v>
      </c>
      <c r="M197">
        <v>71</v>
      </c>
      <c r="N197">
        <v>185</v>
      </c>
      <c r="O197" t="s">
        <v>35</v>
      </c>
      <c r="P197">
        <v>40</v>
      </c>
      <c r="Q197">
        <v>50</v>
      </c>
      <c r="R197">
        <v>40</v>
      </c>
      <c r="S197">
        <v>90</v>
      </c>
      <c r="T197">
        <v>46</v>
      </c>
      <c r="U197" t="s">
        <v>28</v>
      </c>
      <c r="V197" s="2">
        <v>0.38378378378378381</v>
      </c>
      <c r="W197" s="2">
        <v>0.56756756756756754</v>
      </c>
      <c r="X197">
        <v>22</v>
      </c>
    </row>
    <row r="198" spans="1:24" x14ac:dyDescent="0.3">
      <c r="A198">
        <v>720</v>
      </c>
      <c r="B198">
        <v>54</v>
      </c>
      <c r="C198">
        <v>-11</v>
      </c>
      <c r="D198" s="1">
        <v>41114</v>
      </c>
      <c r="E198">
        <v>404</v>
      </c>
      <c r="F198">
        <v>66</v>
      </c>
      <c r="G198" t="s">
        <v>22</v>
      </c>
      <c r="H198" t="s">
        <v>23</v>
      </c>
      <c r="I198">
        <v>20</v>
      </c>
      <c r="J198" t="s">
        <v>24</v>
      </c>
      <c r="K198" t="s">
        <v>33</v>
      </c>
      <c r="L198" t="s">
        <v>34</v>
      </c>
      <c r="M198">
        <v>19</v>
      </c>
      <c r="N198">
        <v>128</v>
      </c>
      <c r="O198" t="s">
        <v>27</v>
      </c>
      <c r="P198">
        <v>30</v>
      </c>
      <c r="Q198">
        <v>50</v>
      </c>
      <c r="R198">
        <v>30</v>
      </c>
      <c r="S198">
        <v>80</v>
      </c>
      <c r="T198">
        <v>53</v>
      </c>
      <c r="U198" t="s">
        <v>36</v>
      </c>
      <c r="V198" s="2">
        <v>0.1484375</v>
      </c>
      <c r="W198" s="2">
        <v>0.578125</v>
      </c>
      <c r="X198">
        <v>33</v>
      </c>
    </row>
    <row r="199" spans="1:24" x14ac:dyDescent="0.3">
      <c r="A199">
        <v>970</v>
      </c>
      <c r="B199">
        <v>54</v>
      </c>
      <c r="C199">
        <v>0</v>
      </c>
      <c r="D199" s="1">
        <v>41115</v>
      </c>
      <c r="E199">
        <v>1037</v>
      </c>
      <c r="F199">
        <v>64</v>
      </c>
      <c r="G199" t="s">
        <v>22</v>
      </c>
      <c r="H199" t="s">
        <v>23</v>
      </c>
      <c r="I199">
        <v>16</v>
      </c>
      <c r="J199" t="s">
        <v>24</v>
      </c>
      <c r="K199" t="s">
        <v>33</v>
      </c>
      <c r="L199" t="s">
        <v>62</v>
      </c>
      <c r="M199">
        <v>40</v>
      </c>
      <c r="N199">
        <v>126</v>
      </c>
      <c r="O199" t="s">
        <v>27</v>
      </c>
      <c r="P199">
        <v>30</v>
      </c>
      <c r="Q199">
        <v>50</v>
      </c>
      <c r="R199">
        <v>40</v>
      </c>
      <c r="S199">
        <v>80</v>
      </c>
      <c r="T199">
        <v>37</v>
      </c>
      <c r="U199" t="s">
        <v>36</v>
      </c>
      <c r="V199" s="2">
        <v>0.31746031746031744</v>
      </c>
      <c r="W199" s="2">
        <v>0.5714285714285714</v>
      </c>
      <c r="X199">
        <v>21</v>
      </c>
    </row>
    <row r="200" spans="1:24" x14ac:dyDescent="0.3">
      <c r="A200">
        <v>978</v>
      </c>
      <c r="B200">
        <v>27</v>
      </c>
      <c r="C200">
        <v>-20</v>
      </c>
      <c r="D200" s="1">
        <v>41116</v>
      </c>
      <c r="E200">
        <v>859</v>
      </c>
      <c r="F200">
        <v>39</v>
      </c>
      <c r="G200" t="s">
        <v>22</v>
      </c>
      <c r="H200" t="s">
        <v>32</v>
      </c>
      <c r="I200">
        <v>7</v>
      </c>
      <c r="J200" t="s">
        <v>24</v>
      </c>
      <c r="K200" t="s">
        <v>33</v>
      </c>
      <c r="L200" t="s">
        <v>34</v>
      </c>
      <c r="M200">
        <v>30</v>
      </c>
      <c r="N200">
        <v>70</v>
      </c>
      <c r="O200" t="s">
        <v>63</v>
      </c>
      <c r="P200">
        <v>20</v>
      </c>
      <c r="Q200">
        <v>50</v>
      </c>
      <c r="R200">
        <v>50</v>
      </c>
      <c r="S200">
        <v>70</v>
      </c>
      <c r="T200">
        <v>19</v>
      </c>
      <c r="U200" t="s">
        <v>36</v>
      </c>
      <c r="V200" s="2">
        <v>0.42857142857142855</v>
      </c>
      <c r="W200" s="2">
        <v>0.61428571428571432</v>
      </c>
      <c r="X200">
        <v>12</v>
      </c>
    </row>
    <row r="201" spans="1:24" x14ac:dyDescent="0.3">
      <c r="A201">
        <v>626</v>
      </c>
      <c r="B201">
        <v>76</v>
      </c>
      <c r="C201">
        <v>67</v>
      </c>
      <c r="D201" s="1">
        <v>41117</v>
      </c>
      <c r="E201">
        <v>580</v>
      </c>
      <c r="F201">
        <v>111</v>
      </c>
      <c r="G201" t="s">
        <v>22</v>
      </c>
      <c r="H201" t="s">
        <v>37</v>
      </c>
      <c r="I201">
        <v>21</v>
      </c>
      <c r="J201" t="s">
        <v>24</v>
      </c>
      <c r="K201" t="s">
        <v>33</v>
      </c>
      <c r="L201" t="s">
        <v>62</v>
      </c>
      <c r="M201">
        <v>117</v>
      </c>
      <c r="N201">
        <v>199</v>
      </c>
      <c r="O201" t="s">
        <v>39</v>
      </c>
      <c r="P201">
        <v>30</v>
      </c>
      <c r="Q201">
        <v>50</v>
      </c>
      <c r="R201">
        <v>50</v>
      </c>
      <c r="S201">
        <v>80</v>
      </c>
      <c r="T201">
        <v>32</v>
      </c>
      <c r="U201" t="s">
        <v>36</v>
      </c>
      <c r="V201" s="2">
        <v>0.5879396984924623</v>
      </c>
      <c r="W201" s="2">
        <v>0.61809045226130654</v>
      </c>
      <c r="X201">
        <v>11</v>
      </c>
    </row>
    <row r="202" spans="1:24" x14ac:dyDescent="0.3">
      <c r="A202">
        <v>262</v>
      </c>
      <c r="B202">
        <v>22</v>
      </c>
      <c r="C202">
        <v>-35</v>
      </c>
      <c r="D202" s="1">
        <v>41118</v>
      </c>
      <c r="E202">
        <v>573</v>
      </c>
      <c r="F202">
        <v>29</v>
      </c>
      <c r="G202" t="s">
        <v>40</v>
      </c>
      <c r="H202" t="s">
        <v>23</v>
      </c>
      <c r="I202">
        <v>7</v>
      </c>
      <c r="J202" t="s">
        <v>41</v>
      </c>
      <c r="K202" t="s">
        <v>42</v>
      </c>
      <c r="L202" t="s">
        <v>43</v>
      </c>
      <c r="M202">
        <v>15</v>
      </c>
      <c r="N202">
        <v>54</v>
      </c>
      <c r="O202" t="s">
        <v>60</v>
      </c>
      <c r="P202">
        <v>20</v>
      </c>
      <c r="Q202">
        <v>50</v>
      </c>
      <c r="R202">
        <v>50</v>
      </c>
      <c r="S202">
        <v>70</v>
      </c>
      <c r="T202">
        <v>19</v>
      </c>
      <c r="U202" t="s">
        <v>28</v>
      </c>
      <c r="V202" s="2">
        <v>0.27777777777777779</v>
      </c>
      <c r="W202" s="2">
        <v>0.59259259259259256</v>
      </c>
      <c r="X202">
        <v>12</v>
      </c>
    </row>
    <row r="203" spans="1:24" x14ac:dyDescent="0.3">
      <c r="A203">
        <v>641</v>
      </c>
      <c r="B203">
        <v>23</v>
      </c>
      <c r="C203">
        <v>-23</v>
      </c>
      <c r="D203" s="1">
        <v>41119</v>
      </c>
      <c r="E203">
        <v>800</v>
      </c>
      <c r="F203">
        <v>35</v>
      </c>
      <c r="G203" t="s">
        <v>40</v>
      </c>
      <c r="H203" t="s">
        <v>23</v>
      </c>
      <c r="I203">
        <v>6</v>
      </c>
      <c r="J203" t="s">
        <v>41</v>
      </c>
      <c r="K203" t="s">
        <v>42</v>
      </c>
      <c r="L203" t="s">
        <v>54</v>
      </c>
      <c r="M203">
        <v>27</v>
      </c>
      <c r="N203">
        <v>62</v>
      </c>
      <c r="O203" t="s">
        <v>44</v>
      </c>
      <c r="P203">
        <v>20</v>
      </c>
      <c r="Q203">
        <v>50</v>
      </c>
      <c r="R203">
        <v>50</v>
      </c>
      <c r="S203">
        <v>70</v>
      </c>
      <c r="T203">
        <v>17</v>
      </c>
      <c r="U203" t="s">
        <v>36</v>
      </c>
      <c r="V203" s="2">
        <v>0.43548387096774194</v>
      </c>
      <c r="W203" s="2">
        <v>0.62903225806451613</v>
      </c>
      <c r="X203">
        <v>11</v>
      </c>
    </row>
    <row r="204" spans="1:24" x14ac:dyDescent="0.3">
      <c r="A204">
        <v>203</v>
      </c>
      <c r="B204">
        <v>79</v>
      </c>
      <c r="C204">
        <v>20</v>
      </c>
      <c r="D204" s="1">
        <v>41120</v>
      </c>
      <c r="E204">
        <v>593</v>
      </c>
      <c r="F204">
        <v>98</v>
      </c>
      <c r="G204" t="s">
        <v>40</v>
      </c>
      <c r="H204" t="s">
        <v>32</v>
      </c>
      <c r="I204">
        <v>30</v>
      </c>
      <c r="J204" t="s">
        <v>24</v>
      </c>
      <c r="K204" t="s">
        <v>25</v>
      </c>
      <c r="L204" t="s">
        <v>26</v>
      </c>
      <c r="M204">
        <v>50</v>
      </c>
      <c r="N204">
        <v>189</v>
      </c>
      <c r="O204" t="s">
        <v>45</v>
      </c>
      <c r="P204">
        <v>40</v>
      </c>
      <c r="Q204">
        <v>50</v>
      </c>
      <c r="R204">
        <v>30</v>
      </c>
      <c r="S204">
        <v>90</v>
      </c>
      <c r="T204">
        <v>64</v>
      </c>
      <c r="U204" t="s">
        <v>28</v>
      </c>
      <c r="V204" s="2">
        <v>0.26455026455026454</v>
      </c>
      <c r="W204" s="2">
        <v>0.58201058201058198</v>
      </c>
      <c r="X204">
        <v>34</v>
      </c>
    </row>
    <row r="205" spans="1:24" x14ac:dyDescent="0.3">
      <c r="A205">
        <v>203</v>
      </c>
      <c r="B205">
        <v>65</v>
      </c>
      <c r="C205">
        <v>2</v>
      </c>
      <c r="D205" s="1">
        <v>41121</v>
      </c>
      <c r="E205">
        <v>1053</v>
      </c>
      <c r="F205">
        <v>77</v>
      </c>
      <c r="G205" t="s">
        <v>40</v>
      </c>
      <c r="H205" t="s">
        <v>32</v>
      </c>
      <c r="I205">
        <v>20</v>
      </c>
      <c r="J205" t="s">
        <v>24</v>
      </c>
      <c r="K205" t="s">
        <v>25</v>
      </c>
      <c r="L205" t="s">
        <v>29</v>
      </c>
      <c r="M205">
        <v>52</v>
      </c>
      <c r="N205">
        <v>151</v>
      </c>
      <c r="O205" t="s">
        <v>45</v>
      </c>
      <c r="P205">
        <v>30</v>
      </c>
      <c r="Q205">
        <v>50</v>
      </c>
      <c r="R205">
        <v>50</v>
      </c>
      <c r="S205">
        <v>80</v>
      </c>
      <c r="T205">
        <v>42</v>
      </c>
      <c r="U205" t="s">
        <v>28</v>
      </c>
      <c r="V205" s="2">
        <v>0.3443708609271523</v>
      </c>
      <c r="W205" s="2">
        <v>0.56953642384105962</v>
      </c>
      <c r="X205">
        <v>22</v>
      </c>
    </row>
    <row r="206" spans="1:24" x14ac:dyDescent="0.3">
      <c r="A206">
        <v>262</v>
      </c>
      <c r="B206">
        <v>46</v>
      </c>
      <c r="C206">
        <v>5</v>
      </c>
      <c r="D206" s="1">
        <v>41122</v>
      </c>
      <c r="E206">
        <v>449</v>
      </c>
      <c r="F206">
        <v>67</v>
      </c>
      <c r="G206" t="s">
        <v>40</v>
      </c>
      <c r="H206" t="s">
        <v>23</v>
      </c>
      <c r="I206">
        <v>14</v>
      </c>
      <c r="J206" t="s">
        <v>24</v>
      </c>
      <c r="K206" t="s">
        <v>33</v>
      </c>
      <c r="L206" t="s">
        <v>34</v>
      </c>
      <c r="M206">
        <v>45</v>
      </c>
      <c r="N206">
        <v>120</v>
      </c>
      <c r="O206" t="s">
        <v>60</v>
      </c>
      <c r="P206">
        <v>20</v>
      </c>
      <c r="Q206">
        <v>50</v>
      </c>
      <c r="R206">
        <v>40</v>
      </c>
      <c r="S206">
        <v>70</v>
      </c>
      <c r="T206">
        <v>37</v>
      </c>
      <c r="U206" t="s">
        <v>36</v>
      </c>
      <c r="V206" s="2">
        <v>0.375</v>
      </c>
      <c r="W206" s="2">
        <v>0.6166666666666667</v>
      </c>
      <c r="X206">
        <v>23</v>
      </c>
    </row>
    <row r="207" spans="1:24" x14ac:dyDescent="0.3">
      <c r="A207">
        <v>262</v>
      </c>
      <c r="B207">
        <v>60</v>
      </c>
      <c r="C207">
        <v>0</v>
      </c>
      <c r="D207" s="1">
        <v>41123</v>
      </c>
      <c r="E207">
        <v>606</v>
      </c>
      <c r="F207">
        <v>84</v>
      </c>
      <c r="G207" t="s">
        <v>40</v>
      </c>
      <c r="H207" t="s">
        <v>23</v>
      </c>
      <c r="I207">
        <v>54</v>
      </c>
      <c r="J207" t="s">
        <v>24</v>
      </c>
      <c r="K207" t="s">
        <v>33</v>
      </c>
      <c r="L207" t="s">
        <v>62</v>
      </c>
      <c r="M207">
        <v>0</v>
      </c>
      <c r="N207">
        <v>153</v>
      </c>
      <c r="O207" t="s">
        <v>60</v>
      </c>
      <c r="P207">
        <v>40</v>
      </c>
      <c r="Q207">
        <v>50</v>
      </c>
      <c r="R207">
        <v>0</v>
      </c>
      <c r="S207">
        <v>90</v>
      </c>
      <c r="T207">
        <v>84</v>
      </c>
      <c r="U207" t="s">
        <v>36</v>
      </c>
      <c r="V207" s="2">
        <v>0</v>
      </c>
      <c r="W207" s="2">
        <v>0.60784313725490191</v>
      </c>
      <c r="X207">
        <v>30</v>
      </c>
    </row>
    <row r="208" spans="1:24" x14ac:dyDescent="0.3">
      <c r="A208">
        <v>425</v>
      </c>
      <c r="B208">
        <v>60</v>
      </c>
      <c r="C208">
        <v>45</v>
      </c>
      <c r="D208" s="1">
        <v>41124</v>
      </c>
      <c r="E208">
        <v>329</v>
      </c>
      <c r="F208">
        <v>99</v>
      </c>
      <c r="G208" t="s">
        <v>40</v>
      </c>
      <c r="H208" t="s">
        <v>37</v>
      </c>
      <c r="I208">
        <v>18</v>
      </c>
      <c r="J208" t="s">
        <v>24</v>
      </c>
      <c r="K208" t="s">
        <v>33</v>
      </c>
      <c r="L208" t="s">
        <v>34</v>
      </c>
      <c r="M208">
        <v>85</v>
      </c>
      <c r="N208">
        <v>169</v>
      </c>
      <c r="O208" t="s">
        <v>61</v>
      </c>
      <c r="P208">
        <v>20</v>
      </c>
      <c r="Q208">
        <v>50</v>
      </c>
      <c r="R208">
        <v>40</v>
      </c>
      <c r="S208">
        <v>70</v>
      </c>
      <c r="T208">
        <v>42</v>
      </c>
      <c r="U208" t="s">
        <v>36</v>
      </c>
      <c r="V208" s="2">
        <v>0.50295857988165682</v>
      </c>
      <c r="W208" s="2">
        <v>0.6449704142011834</v>
      </c>
      <c r="X208">
        <v>24</v>
      </c>
    </row>
    <row r="209" spans="1:24" x14ac:dyDescent="0.3">
      <c r="A209">
        <v>312</v>
      </c>
      <c r="B209">
        <v>40</v>
      </c>
      <c r="C209">
        <v>10</v>
      </c>
      <c r="D209" s="1">
        <v>41125</v>
      </c>
      <c r="E209">
        <v>536</v>
      </c>
      <c r="F209">
        <v>52</v>
      </c>
      <c r="G209" t="s">
        <v>22</v>
      </c>
      <c r="H209" t="s">
        <v>23</v>
      </c>
      <c r="I209">
        <v>13</v>
      </c>
      <c r="J209" t="s">
        <v>24</v>
      </c>
      <c r="K209" t="s">
        <v>25</v>
      </c>
      <c r="L209" t="s">
        <v>26</v>
      </c>
      <c r="M209">
        <v>40</v>
      </c>
      <c r="N209">
        <v>98</v>
      </c>
      <c r="O209" t="s">
        <v>64</v>
      </c>
      <c r="P209">
        <v>30</v>
      </c>
      <c r="Q209">
        <v>50</v>
      </c>
      <c r="R209">
        <v>30</v>
      </c>
      <c r="S209">
        <v>80</v>
      </c>
      <c r="T209">
        <v>25</v>
      </c>
      <c r="U209" t="s">
        <v>28</v>
      </c>
      <c r="V209" s="2">
        <v>0.40816326530612246</v>
      </c>
      <c r="W209" s="2">
        <v>0.59183673469387754</v>
      </c>
      <c r="X209">
        <v>12</v>
      </c>
    </row>
    <row r="210" spans="1:24" x14ac:dyDescent="0.3">
      <c r="A210">
        <v>419</v>
      </c>
      <c r="B210">
        <v>36</v>
      </c>
      <c r="C210">
        <v>5</v>
      </c>
      <c r="D210" s="1">
        <v>41126</v>
      </c>
      <c r="E210">
        <v>862</v>
      </c>
      <c r="F210">
        <v>52</v>
      </c>
      <c r="G210" t="s">
        <v>22</v>
      </c>
      <c r="H210" t="s">
        <v>23</v>
      </c>
      <c r="I210">
        <v>10</v>
      </c>
      <c r="J210" t="s">
        <v>24</v>
      </c>
      <c r="K210" t="s">
        <v>25</v>
      </c>
      <c r="L210" t="s">
        <v>26</v>
      </c>
      <c r="M210">
        <v>45</v>
      </c>
      <c r="N210">
        <v>94</v>
      </c>
      <c r="O210" t="s">
        <v>66</v>
      </c>
      <c r="P210">
        <v>30</v>
      </c>
      <c r="Q210">
        <v>50</v>
      </c>
      <c r="R210">
        <v>40</v>
      </c>
      <c r="S210">
        <v>80</v>
      </c>
      <c r="T210">
        <v>22</v>
      </c>
      <c r="U210" t="s">
        <v>28</v>
      </c>
      <c r="V210" s="2">
        <v>0.47872340425531917</v>
      </c>
      <c r="W210" s="2">
        <v>0.61702127659574468</v>
      </c>
      <c r="X210">
        <v>12</v>
      </c>
    </row>
    <row r="211" spans="1:24" x14ac:dyDescent="0.3">
      <c r="A211">
        <v>857</v>
      </c>
      <c r="B211">
        <v>55</v>
      </c>
      <c r="C211">
        <v>2</v>
      </c>
      <c r="D211" s="1">
        <v>41127</v>
      </c>
      <c r="E211">
        <v>410</v>
      </c>
      <c r="F211">
        <v>69</v>
      </c>
      <c r="G211" t="s">
        <v>22</v>
      </c>
      <c r="H211" t="s">
        <v>32</v>
      </c>
      <c r="I211">
        <v>20</v>
      </c>
      <c r="J211" t="s">
        <v>24</v>
      </c>
      <c r="K211" t="s">
        <v>25</v>
      </c>
      <c r="L211" t="s">
        <v>26</v>
      </c>
      <c r="M211">
        <v>22</v>
      </c>
      <c r="N211">
        <v>132</v>
      </c>
      <c r="O211" t="s">
        <v>63</v>
      </c>
      <c r="P211">
        <v>40</v>
      </c>
      <c r="Q211">
        <v>50</v>
      </c>
      <c r="R211">
        <v>20</v>
      </c>
      <c r="S211">
        <v>90</v>
      </c>
      <c r="T211">
        <v>54</v>
      </c>
      <c r="U211" t="s">
        <v>28</v>
      </c>
      <c r="V211" s="2">
        <v>0.16666666666666666</v>
      </c>
      <c r="W211" s="2">
        <v>0.58333333333333337</v>
      </c>
      <c r="X211">
        <v>34</v>
      </c>
    </row>
    <row r="212" spans="1:24" x14ac:dyDescent="0.3">
      <c r="A212">
        <v>323</v>
      </c>
      <c r="B212">
        <v>40</v>
      </c>
      <c r="C212">
        <v>10</v>
      </c>
      <c r="D212" s="1">
        <v>41128</v>
      </c>
      <c r="E212">
        <v>536</v>
      </c>
      <c r="F212">
        <v>52</v>
      </c>
      <c r="G212" t="s">
        <v>22</v>
      </c>
      <c r="H212" t="s">
        <v>37</v>
      </c>
      <c r="I212">
        <v>13</v>
      </c>
      <c r="J212" t="s">
        <v>24</v>
      </c>
      <c r="K212" t="s">
        <v>25</v>
      </c>
      <c r="L212" t="s">
        <v>29</v>
      </c>
      <c r="M212">
        <v>40</v>
      </c>
      <c r="N212">
        <v>98</v>
      </c>
      <c r="O212" t="s">
        <v>39</v>
      </c>
      <c r="P212">
        <v>30</v>
      </c>
      <c r="Q212">
        <v>50</v>
      </c>
      <c r="R212">
        <v>30</v>
      </c>
      <c r="S212">
        <v>80</v>
      </c>
      <c r="T212">
        <v>25</v>
      </c>
      <c r="U212" t="s">
        <v>28</v>
      </c>
      <c r="V212" s="2">
        <v>0.40816326530612246</v>
      </c>
      <c r="W212" s="2">
        <v>0.59183673469387754</v>
      </c>
      <c r="X212">
        <v>12</v>
      </c>
    </row>
    <row r="213" spans="1:24" x14ac:dyDescent="0.3">
      <c r="A213">
        <v>352</v>
      </c>
      <c r="B213">
        <v>28</v>
      </c>
      <c r="C213">
        <v>-6</v>
      </c>
      <c r="D213" s="1">
        <v>41129</v>
      </c>
      <c r="E213">
        <v>875</v>
      </c>
      <c r="F213">
        <v>42</v>
      </c>
      <c r="G213" t="s">
        <v>22</v>
      </c>
      <c r="H213" t="s">
        <v>32</v>
      </c>
      <c r="I213">
        <v>7</v>
      </c>
      <c r="J213" t="s">
        <v>24</v>
      </c>
      <c r="K213" t="s">
        <v>33</v>
      </c>
      <c r="L213" t="s">
        <v>34</v>
      </c>
      <c r="M213">
        <v>34</v>
      </c>
      <c r="N213">
        <v>75</v>
      </c>
      <c r="O213" t="s">
        <v>35</v>
      </c>
      <c r="P213">
        <v>20</v>
      </c>
      <c r="Q213">
        <v>50</v>
      </c>
      <c r="R213">
        <v>40</v>
      </c>
      <c r="S213">
        <v>70</v>
      </c>
      <c r="T213">
        <v>19</v>
      </c>
      <c r="U213" t="s">
        <v>36</v>
      </c>
      <c r="V213" s="2">
        <v>0.45333333333333331</v>
      </c>
      <c r="W213" s="2">
        <v>0.62666666666666671</v>
      </c>
      <c r="X213">
        <v>12</v>
      </c>
    </row>
    <row r="214" spans="1:24" x14ac:dyDescent="0.3">
      <c r="A214">
        <v>904</v>
      </c>
      <c r="B214">
        <v>31</v>
      </c>
      <c r="C214">
        <v>2</v>
      </c>
      <c r="D214" s="1">
        <v>41130</v>
      </c>
      <c r="E214">
        <v>856</v>
      </c>
      <c r="F214">
        <v>47</v>
      </c>
      <c r="G214" t="s">
        <v>22</v>
      </c>
      <c r="H214" t="s">
        <v>32</v>
      </c>
      <c r="I214">
        <v>8</v>
      </c>
      <c r="J214" t="s">
        <v>24</v>
      </c>
      <c r="K214" t="s">
        <v>33</v>
      </c>
      <c r="L214" t="s">
        <v>38</v>
      </c>
      <c r="M214">
        <v>42</v>
      </c>
      <c r="N214">
        <v>83</v>
      </c>
      <c r="O214" t="s">
        <v>35</v>
      </c>
      <c r="P214">
        <v>30</v>
      </c>
      <c r="Q214">
        <v>50</v>
      </c>
      <c r="R214">
        <v>40</v>
      </c>
      <c r="S214">
        <v>80</v>
      </c>
      <c r="T214">
        <v>19</v>
      </c>
      <c r="U214" t="s">
        <v>36</v>
      </c>
      <c r="V214" s="2">
        <v>0.50602409638554213</v>
      </c>
      <c r="W214" s="2">
        <v>0.62650602409638556</v>
      </c>
      <c r="X214">
        <v>11</v>
      </c>
    </row>
    <row r="215" spans="1:24" x14ac:dyDescent="0.3">
      <c r="A215">
        <v>978</v>
      </c>
      <c r="B215">
        <v>32</v>
      </c>
      <c r="C215">
        <v>3</v>
      </c>
      <c r="D215" s="1">
        <v>41131</v>
      </c>
      <c r="E215">
        <v>482</v>
      </c>
      <c r="F215">
        <v>48</v>
      </c>
      <c r="G215" t="s">
        <v>22</v>
      </c>
      <c r="H215" t="s">
        <v>32</v>
      </c>
      <c r="I215">
        <v>8</v>
      </c>
      <c r="J215" t="s">
        <v>24</v>
      </c>
      <c r="K215" t="s">
        <v>33</v>
      </c>
      <c r="L215" t="s">
        <v>38</v>
      </c>
      <c r="M215">
        <v>43</v>
      </c>
      <c r="N215">
        <v>85</v>
      </c>
      <c r="O215" t="s">
        <v>63</v>
      </c>
      <c r="P215">
        <v>30</v>
      </c>
      <c r="Q215">
        <v>50</v>
      </c>
      <c r="R215">
        <v>40</v>
      </c>
      <c r="S215">
        <v>80</v>
      </c>
      <c r="T215">
        <v>19</v>
      </c>
      <c r="U215" t="s">
        <v>36</v>
      </c>
      <c r="V215" s="2">
        <v>0.50588235294117645</v>
      </c>
      <c r="W215" s="2">
        <v>0.62352941176470589</v>
      </c>
      <c r="X215">
        <v>11</v>
      </c>
    </row>
    <row r="216" spans="1:24" x14ac:dyDescent="0.3">
      <c r="A216">
        <v>760</v>
      </c>
      <c r="B216">
        <v>50</v>
      </c>
      <c r="C216">
        <v>30</v>
      </c>
      <c r="D216" s="1">
        <v>41132</v>
      </c>
      <c r="E216">
        <v>589</v>
      </c>
      <c r="F216">
        <v>73</v>
      </c>
      <c r="G216" t="s">
        <v>22</v>
      </c>
      <c r="H216" t="s">
        <v>37</v>
      </c>
      <c r="I216">
        <v>14</v>
      </c>
      <c r="J216" t="s">
        <v>24</v>
      </c>
      <c r="K216" t="s">
        <v>33</v>
      </c>
      <c r="L216" t="s">
        <v>62</v>
      </c>
      <c r="M216">
        <v>70</v>
      </c>
      <c r="N216">
        <v>131</v>
      </c>
      <c r="O216" t="s">
        <v>39</v>
      </c>
      <c r="P216">
        <v>30</v>
      </c>
      <c r="Q216">
        <v>50</v>
      </c>
      <c r="R216">
        <v>40</v>
      </c>
      <c r="S216">
        <v>80</v>
      </c>
      <c r="T216">
        <v>26</v>
      </c>
      <c r="U216" t="s">
        <v>36</v>
      </c>
      <c r="V216" s="2">
        <v>0.53435114503816794</v>
      </c>
      <c r="W216" s="2">
        <v>0.61832061068702293</v>
      </c>
      <c r="X216">
        <v>12</v>
      </c>
    </row>
    <row r="217" spans="1:24" x14ac:dyDescent="0.3">
      <c r="A217">
        <v>515</v>
      </c>
      <c r="B217">
        <v>0</v>
      </c>
      <c r="C217">
        <v>6</v>
      </c>
      <c r="D217" s="1">
        <v>41133</v>
      </c>
      <c r="E217">
        <v>387</v>
      </c>
      <c r="F217">
        <v>43</v>
      </c>
      <c r="G217" t="s">
        <v>40</v>
      </c>
      <c r="H217" t="s">
        <v>23</v>
      </c>
      <c r="I217">
        <v>0</v>
      </c>
      <c r="J217" t="s">
        <v>41</v>
      </c>
      <c r="K217" t="s">
        <v>42</v>
      </c>
      <c r="L217" t="s">
        <v>43</v>
      </c>
      <c r="M217">
        <v>46</v>
      </c>
      <c r="N217">
        <v>46</v>
      </c>
      <c r="O217" t="s">
        <v>44</v>
      </c>
      <c r="P217">
        <v>0</v>
      </c>
      <c r="Q217">
        <v>50</v>
      </c>
      <c r="R217">
        <v>40</v>
      </c>
      <c r="S217">
        <v>50</v>
      </c>
      <c r="T217">
        <v>12</v>
      </c>
      <c r="U217" t="s">
        <v>28</v>
      </c>
      <c r="V217" s="2">
        <v>1</v>
      </c>
      <c r="W217" s="2">
        <v>1</v>
      </c>
      <c r="X217">
        <v>12</v>
      </c>
    </row>
    <row r="218" spans="1:24" x14ac:dyDescent="0.3">
      <c r="A218">
        <v>505</v>
      </c>
      <c r="B218">
        <v>82</v>
      </c>
      <c r="C218">
        <v>-22</v>
      </c>
      <c r="D218" s="1">
        <v>41134</v>
      </c>
      <c r="E218">
        <v>1804</v>
      </c>
      <c r="F218">
        <v>40</v>
      </c>
      <c r="G218" t="s">
        <v>40</v>
      </c>
      <c r="H218" t="s">
        <v>30</v>
      </c>
      <c r="I218">
        <v>25</v>
      </c>
      <c r="J218" t="s">
        <v>41</v>
      </c>
      <c r="K218" t="s">
        <v>46</v>
      </c>
      <c r="L218" t="s">
        <v>47</v>
      </c>
      <c r="M218">
        <v>-12</v>
      </c>
      <c r="N218">
        <v>130</v>
      </c>
      <c r="O218" t="s">
        <v>65</v>
      </c>
      <c r="P218">
        <v>90</v>
      </c>
      <c r="Q218">
        <v>50</v>
      </c>
      <c r="R218">
        <v>10</v>
      </c>
      <c r="S218">
        <v>140</v>
      </c>
      <c r="T218">
        <v>48</v>
      </c>
      <c r="U218" t="s">
        <v>28</v>
      </c>
      <c r="V218" s="2">
        <v>-9.2307692307692313E-2</v>
      </c>
      <c r="W218" s="2">
        <v>0.36923076923076925</v>
      </c>
      <c r="X218">
        <v>23</v>
      </c>
    </row>
    <row r="219" spans="1:24" x14ac:dyDescent="0.3">
      <c r="A219">
        <v>515</v>
      </c>
      <c r="B219">
        <v>22</v>
      </c>
      <c r="C219">
        <v>-16</v>
      </c>
      <c r="D219" s="1">
        <v>41135</v>
      </c>
      <c r="E219">
        <v>802</v>
      </c>
      <c r="F219">
        <v>34</v>
      </c>
      <c r="G219" t="s">
        <v>40</v>
      </c>
      <c r="H219" t="s">
        <v>23</v>
      </c>
      <c r="I219">
        <v>6</v>
      </c>
      <c r="J219" t="s">
        <v>41</v>
      </c>
      <c r="K219" t="s">
        <v>42</v>
      </c>
      <c r="L219" t="s">
        <v>54</v>
      </c>
      <c r="M219">
        <v>24</v>
      </c>
      <c r="N219">
        <v>60</v>
      </c>
      <c r="O219" t="s">
        <v>44</v>
      </c>
      <c r="P219">
        <v>20</v>
      </c>
      <c r="Q219">
        <v>50</v>
      </c>
      <c r="R219">
        <v>40</v>
      </c>
      <c r="S219">
        <v>70</v>
      </c>
      <c r="T219">
        <v>18</v>
      </c>
      <c r="U219" t="s">
        <v>36</v>
      </c>
      <c r="V219" s="2">
        <v>0.4</v>
      </c>
      <c r="W219" s="2">
        <v>0.6333333333333333</v>
      </c>
      <c r="X219">
        <v>12</v>
      </c>
    </row>
    <row r="220" spans="1:24" x14ac:dyDescent="0.3">
      <c r="A220">
        <v>505</v>
      </c>
      <c r="B220">
        <v>44</v>
      </c>
      <c r="C220">
        <v>-10</v>
      </c>
      <c r="D220" s="1">
        <v>41136</v>
      </c>
      <c r="E220">
        <v>325</v>
      </c>
      <c r="F220">
        <v>62</v>
      </c>
      <c r="G220" t="s">
        <v>40</v>
      </c>
      <c r="H220" t="s">
        <v>30</v>
      </c>
      <c r="I220">
        <v>40</v>
      </c>
      <c r="J220" t="s">
        <v>41</v>
      </c>
      <c r="K220" t="s">
        <v>42</v>
      </c>
      <c r="L220" t="s">
        <v>54</v>
      </c>
      <c r="M220">
        <v>-10</v>
      </c>
      <c r="N220">
        <v>113</v>
      </c>
      <c r="O220" t="s">
        <v>65</v>
      </c>
      <c r="P220">
        <v>30</v>
      </c>
      <c r="Q220">
        <v>50</v>
      </c>
      <c r="R220">
        <v>0</v>
      </c>
      <c r="S220">
        <v>80</v>
      </c>
      <c r="T220">
        <v>69</v>
      </c>
      <c r="U220" t="s">
        <v>36</v>
      </c>
      <c r="V220" s="2">
        <v>-8.8495575221238937E-2</v>
      </c>
      <c r="W220" s="2">
        <v>0.61061946902654862</v>
      </c>
      <c r="X220">
        <v>29</v>
      </c>
    </row>
    <row r="221" spans="1:24" x14ac:dyDescent="0.3">
      <c r="A221">
        <v>775</v>
      </c>
      <c r="B221">
        <v>33</v>
      </c>
      <c r="C221">
        <v>-16</v>
      </c>
      <c r="D221" s="1">
        <v>41137</v>
      </c>
      <c r="E221">
        <v>243</v>
      </c>
      <c r="F221">
        <v>41</v>
      </c>
      <c r="G221" t="s">
        <v>40</v>
      </c>
      <c r="H221" t="s">
        <v>37</v>
      </c>
      <c r="I221">
        <v>12</v>
      </c>
      <c r="J221" t="s">
        <v>41</v>
      </c>
      <c r="K221" t="s">
        <v>46</v>
      </c>
      <c r="L221" t="s">
        <v>53</v>
      </c>
      <c r="M221">
        <v>-6</v>
      </c>
      <c r="N221">
        <v>79</v>
      </c>
      <c r="O221" t="s">
        <v>49</v>
      </c>
      <c r="P221">
        <v>30</v>
      </c>
      <c r="Q221">
        <v>50</v>
      </c>
      <c r="R221">
        <v>10</v>
      </c>
      <c r="S221">
        <v>80</v>
      </c>
      <c r="T221">
        <v>45</v>
      </c>
      <c r="U221" t="s">
        <v>36</v>
      </c>
      <c r="V221" s="2">
        <v>-7.5949367088607597E-2</v>
      </c>
      <c r="W221" s="2">
        <v>0.58227848101265822</v>
      </c>
      <c r="X221">
        <v>33</v>
      </c>
    </row>
    <row r="222" spans="1:24" x14ac:dyDescent="0.3">
      <c r="A222">
        <v>314</v>
      </c>
      <c r="B222">
        <v>44</v>
      </c>
      <c r="C222">
        <v>-12</v>
      </c>
      <c r="D222" s="1">
        <v>41138</v>
      </c>
      <c r="E222">
        <v>325</v>
      </c>
      <c r="F222">
        <v>62</v>
      </c>
      <c r="G222" t="s">
        <v>40</v>
      </c>
      <c r="H222" t="s">
        <v>23</v>
      </c>
      <c r="I222">
        <v>40</v>
      </c>
      <c r="J222" t="s">
        <v>24</v>
      </c>
      <c r="K222" t="s">
        <v>25</v>
      </c>
      <c r="L222" t="s">
        <v>58</v>
      </c>
      <c r="M222">
        <v>-12</v>
      </c>
      <c r="N222">
        <v>113</v>
      </c>
      <c r="O222" t="s">
        <v>59</v>
      </c>
      <c r="P222">
        <v>40</v>
      </c>
      <c r="Q222">
        <v>50</v>
      </c>
      <c r="R222">
        <v>0</v>
      </c>
      <c r="S222">
        <v>90</v>
      </c>
      <c r="T222">
        <v>70</v>
      </c>
      <c r="U222" t="s">
        <v>28</v>
      </c>
      <c r="V222" s="2">
        <v>-0.10619469026548672</v>
      </c>
      <c r="W222" s="2">
        <v>0.61061946902654862</v>
      </c>
      <c r="X222">
        <v>30</v>
      </c>
    </row>
    <row r="223" spans="1:24" x14ac:dyDescent="0.3">
      <c r="A223">
        <v>715</v>
      </c>
      <c r="B223">
        <v>31</v>
      </c>
      <c r="C223">
        <v>0</v>
      </c>
      <c r="D223" s="1">
        <v>41139</v>
      </c>
      <c r="E223">
        <v>856</v>
      </c>
      <c r="F223">
        <v>47</v>
      </c>
      <c r="G223" t="s">
        <v>40</v>
      </c>
      <c r="H223" t="s">
        <v>23</v>
      </c>
      <c r="I223">
        <v>8</v>
      </c>
      <c r="J223" t="s">
        <v>24</v>
      </c>
      <c r="K223" t="s">
        <v>25</v>
      </c>
      <c r="L223" t="s">
        <v>26</v>
      </c>
      <c r="M223">
        <v>40</v>
      </c>
      <c r="N223">
        <v>83</v>
      </c>
      <c r="O223" t="s">
        <v>60</v>
      </c>
      <c r="P223">
        <v>20</v>
      </c>
      <c r="Q223">
        <v>50</v>
      </c>
      <c r="R223">
        <v>40</v>
      </c>
      <c r="S223">
        <v>70</v>
      </c>
      <c r="T223">
        <v>20</v>
      </c>
      <c r="U223" t="s">
        <v>28</v>
      </c>
      <c r="V223" s="2">
        <v>0.48192771084337349</v>
      </c>
      <c r="W223" s="2">
        <v>0.62650602409638556</v>
      </c>
      <c r="X223">
        <v>12</v>
      </c>
    </row>
    <row r="224" spans="1:24" x14ac:dyDescent="0.3">
      <c r="A224">
        <v>959</v>
      </c>
      <c r="B224">
        <v>69</v>
      </c>
      <c r="C224">
        <v>26</v>
      </c>
      <c r="D224" s="1">
        <v>41140</v>
      </c>
      <c r="E224">
        <v>1060</v>
      </c>
      <c r="F224">
        <v>81</v>
      </c>
      <c r="G224" t="s">
        <v>40</v>
      </c>
      <c r="H224" t="s">
        <v>32</v>
      </c>
      <c r="I224">
        <v>21</v>
      </c>
      <c r="J224" t="s">
        <v>24</v>
      </c>
      <c r="K224" t="s">
        <v>25</v>
      </c>
      <c r="L224" t="s">
        <v>29</v>
      </c>
      <c r="M224">
        <v>56</v>
      </c>
      <c r="N224">
        <v>160</v>
      </c>
      <c r="O224" t="s">
        <v>45</v>
      </c>
      <c r="P224">
        <v>50</v>
      </c>
      <c r="Q224">
        <v>50</v>
      </c>
      <c r="R224">
        <v>30</v>
      </c>
      <c r="S224">
        <v>100</v>
      </c>
      <c r="T224">
        <v>43</v>
      </c>
      <c r="U224" t="s">
        <v>28</v>
      </c>
      <c r="V224" s="2">
        <v>0.35</v>
      </c>
      <c r="W224" s="2">
        <v>0.56874999999999998</v>
      </c>
      <c r="X224">
        <v>22</v>
      </c>
    </row>
    <row r="225" spans="1:24" x14ac:dyDescent="0.3">
      <c r="A225">
        <v>715</v>
      </c>
      <c r="B225">
        <v>49</v>
      </c>
      <c r="C225">
        <v>29</v>
      </c>
      <c r="D225" s="1">
        <v>41141</v>
      </c>
      <c r="E225">
        <v>454</v>
      </c>
      <c r="F225">
        <v>71</v>
      </c>
      <c r="G225" t="s">
        <v>40</v>
      </c>
      <c r="H225" t="s">
        <v>23</v>
      </c>
      <c r="I225">
        <v>15</v>
      </c>
      <c r="J225" t="s">
        <v>24</v>
      </c>
      <c r="K225" t="s">
        <v>33</v>
      </c>
      <c r="L225" t="s">
        <v>34</v>
      </c>
      <c r="M225">
        <v>49</v>
      </c>
      <c r="N225">
        <v>128</v>
      </c>
      <c r="O225" t="s">
        <v>60</v>
      </c>
      <c r="P225">
        <v>40</v>
      </c>
      <c r="Q225">
        <v>50</v>
      </c>
      <c r="R225">
        <v>20</v>
      </c>
      <c r="S225">
        <v>90</v>
      </c>
      <c r="T225">
        <v>38</v>
      </c>
      <c r="U225" t="s">
        <v>36</v>
      </c>
      <c r="V225" s="2">
        <v>0.3828125</v>
      </c>
      <c r="W225" s="2">
        <v>0.6171875</v>
      </c>
      <c r="X225">
        <v>23</v>
      </c>
    </row>
    <row r="226" spans="1:24" x14ac:dyDescent="0.3">
      <c r="A226">
        <v>206</v>
      </c>
      <c r="B226">
        <v>49</v>
      </c>
      <c r="C226">
        <v>20</v>
      </c>
      <c r="D226" s="1">
        <v>41142</v>
      </c>
      <c r="E226">
        <v>454</v>
      </c>
      <c r="F226">
        <v>71</v>
      </c>
      <c r="G226" t="s">
        <v>40</v>
      </c>
      <c r="H226" t="s">
        <v>37</v>
      </c>
      <c r="I226">
        <v>15</v>
      </c>
      <c r="J226" t="s">
        <v>24</v>
      </c>
      <c r="K226" t="s">
        <v>33</v>
      </c>
      <c r="L226" t="s">
        <v>62</v>
      </c>
      <c r="M226">
        <v>50</v>
      </c>
      <c r="N226">
        <v>128</v>
      </c>
      <c r="O226" t="s">
        <v>61</v>
      </c>
      <c r="P226">
        <v>30</v>
      </c>
      <c r="Q226">
        <v>50</v>
      </c>
      <c r="R226">
        <v>30</v>
      </c>
      <c r="S226">
        <v>80</v>
      </c>
      <c r="T226">
        <v>37</v>
      </c>
      <c r="U226" t="s">
        <v>36</v>
      </c>
      <c r="V226" s="2">
        <v>0.390625</v>
      </c>
      <c r="W226" s="2">
        <v>0.6171875</v>
      </c>
      <c r="X226">
        <v>22</v>
      </c>
    </row>
    <row r="227" spans="1:24" x14ac:dyDescent="0.3">
      <c r="A227">
        <v>970</v>
      </c>
      <c r="B227">
        <v>43</v>
      </c>
      <c r="C227">
        <v>13</v>
      </c>
      <c r="D227" s="1">
        <v>41143</v>
      </c>
      <c r="E227">
        <v>531</v>
      </c>
      <c r="F227">
        <v>56</v>
      </c>
      <c r="G227" t="s">
        <v>22</v>
      </c>
      <c r="H227" t="s">
        <v>23</v>
      </c>
      <c r="I227">
        <v>14</v>
      </c>
      <c r="J227" t="s">
        <v>41</v>
      </c>
      <c r="K227" t="s">
        <v>46</v>
      </c>
      <c r="L227" t="s">
        <v>53</v>
      </c>
      <c r="M227">
        <v>43</v>
      </c>
      <c r="N227">
        <v>106</v>
      </c>
      <c r="O227" t="s">
        <v>27</v>
      </c>
      <c r="P227">
        <v>40</v>
      </c>
      <c r="Q227">
        <v>50</v>
      </c>
      <c r="R227">
        <v>30</v>
      </c>
      <c r="S227">
        <v>90</v>
      </c>
      <c r="T227">
        <v>27</v>
      </c>
      <c r="U227" t="s">
        <v>36</v>
      </c>
      <c r="V227" s="2">
        <v>0.40566037735849059</v>
      </c>
      <c r="W227" s="2">
        <v>0.59433962264150941</v>
      </c>
      <c r="X227">
        <v>13</v>
      </c>
    </row>
    <row r="228" spans="1:24" x14ac:dyDescent="0.3">
      <c r="A228">
        <v>330</v>
      </c>
      <c r="B228">
        <v>41</v>
      </c>
      <c r="C228">
        <v>16</v>
      </c>
      <c r="D228" s="1">
        <v>41144</v>
      </c>
      <c r="E228">
        <v>435</v>
      </c>
      <c r="F228">
        <v>60</v>
      </c>
      <c r="G228" t="s">
        <v>22</v>
      </c>
      <c r="H228" t="s">
        <v>23</v>
      </c>
      <c r="I228">
        <v>13</v>
      </c>
      <c r="J228" t="s">
        <v>41</v>
      </c>
      <c r="K228" t="s">
        <v>46</v>
      </c>
      <c r="L228" t="s">
        <v>53</v>
      </c>
      <c r="M228">
        <v>36</v>
      </c>
      <c r="N228">
        <v>108</v>
      </c>
      <c r="O228" t="s">
        <v>66</v>
      </c>
      <c r="P228">
        <v>40</v>
      </c>
      <c r="Q228">
        <v>50</v>
      </c>
      <c r="R228">
        <v>20</v>
      </c>
      <c r="S228">
        <v>90</v>
      </c>
      <c r="T228">
        <v>36</v>
      </c>
      <c r="U228" t="s">
        <v>36</v>
      </c>
      <c r="V228" s="2">
        <v>0.33333333333333331</v>
      </c>
      <c r="W228" s="2">
        <v>0.62037037037037035</v>
      </c>
      <c r="X228">
        <v>23</v>
      </c>
    </row>
    <row r="229" spans="1:24" x14ac:dyDescent="0.3">
      <c r="A229">
        <v>978</v>
      </c>
      <c r="B229">
        <v>47</v>
      </c>
      <c r="C229">
        <v>-20</v>
      </c>
      <c r="D229" s="1">
        <v>41145</v>
      </c>
      <c r="E229">
        <v>571</v>
      </c>
      <c r="F229">
        <v>52</v>
      </c>
      <c r="G229" t="s">
        <v>22</v>
      </c>
      <c r="H229" t="s">
        <v>32</v>
      </c>
      <c r="I229">
        <v>42</v>
      </c>
      <c r="J229" t="s">
        <v>41</v>
      </c>
      <c r="K229" t="s">
        <v>42</v>
      </c>
      <c r="L229" t="s">
        <v>54</v>
      </c>
      <c r="M229">
        <v>-30</v>
      </c>
      <c r="N229">
        <v>106</v>
      </c>
      <c r="O229" t="s">
        <v>63</v>
      </c>
      <c r="P229">
        <v>40</v>
      </c>
      <c r="Q229">
        <v>50</v>
      </c>
      <c r="R229">
        <v>-10</v>
      </c>
      <c r="S229">
        <v>90</v>
      </c>
      <c r="T229">
        <v>72</v>
      </c>
      <c r="U229" t="s">
        <v>36</v>
      </c>
      <c r="V229" s="2">
        <v>-0.28301886792452829</v>
      </c>
      <c r="W229" s="2">
        <v>0.55660377358490565</v>
      </c>
      <c r="X229">
        <v>30</v>
      </c>
    </row>
    <row r="230" spans="1:24" x14ac:dyDescent="0.3">
      <c r="A230">
        <v>312</v>
      </c>
      <c r="B230">
        <v>43</v>
      </c>
      <c r="C230">
        <v>13</v>
      </c>
      <c r="D230" s="1">
        <v>41146</v>
      </c>
      <c r="E230">
        <v>531</v>
      </c>
      <c r="F230">
        <v>56</v>
      </c>
      <c r="G230" t="s">
        <v>22</v>
      </c>
      <c r="H230" t="s">
        <v>23</v>
      </c>
      <c r="I230">
        <v>14</v>
      </c>
      <c r="J230" t="s">
        <v>24</v>
      </c>
      <c r="K230" t="s">
        <v>25</v>
      </c>
      <c r="L230" t="s">
        <v>26</v>
      </c>
      <c r="M230">
        <v>43</v>
      </c>
      <c r="N230">
        <v>106</v>
      </c>
      <c r="O230" t="s">
        <v>64</v>
      </c>
      <c r="P230">
        <v>40</v>
      </c>
      <c r="Q230">
        <v>50</v>
      </c>
      <c r="R230">
        <v>30</v>
      </c>
      <c r="S230">
        <v>90</v>
      </c>
      <c r="T230">
        <v>27</v>
      </c>
      <c r="U230" t="s">
        <v>28</v>
      </c>
      <c r="V230" s="2">
        <v>0.40566037735849059</v>
      </c>
      <c r="W230" s="2">
        <v>0.59433962264150941</v>
      </c>
      <c r="X230">
        <v>13</v>
      </c>
    </row>
    <row r="231" spans="1:24" x14ac:dyDescent="0.3">
      <c r="A231">
        <v>323</v>
      </c>
      <c r="B231">
        <v>43</v>
      </c>
      <c r="C231">
        <v>13</v>
      </c>
      <c r="D231" s="1">
        <v>41147</v>
      </c>
      <c r="E231">
        <v>531</v>
      </c>
      <c r="F231">
        <v>56</v>
      </c>
      <c r="G231" t="s">
        <v>22</v>
      </c>
      <c r="H231" t="s">
        <v>37</v>
      </c>
      <c r="I231">
        <v>14</v>
      </c>
      <c r="J231" t="s">
        <v>24</v>
      </c>
      <c r="K231" t="s">
        <v>25</v>
      </c>
      <c r="L231" t="s">
        <v>29</v>
      </c>
      <c r="M231">
        <v>43</v>
      </c>
      <c r="N231">
        <v>106</v>
      </c>
      <c r="O231" t="s">
        <v>39</v>
      </c>
      <c r="P231">
        <v>40</v>
      </c>
      <c r="Q231">
        <v>50</v>
      </c>
      <c r="R231">
        <v>30</v>
      </c>
      <c r="S231">
        <v>90</v>
      </c>
      <c r="T231">
        <v>27</v>
      </c>
      <c r="U231" t="s">
        <v>28</v>
      </c>
      <c r="V231" s="2">
        <v>0.40566037735849059</v>
      </c>
      <c r="W231" s="2">
        <v>0.59433962264150941</v>
      </c>
      <c r="X231">
        <v>13</v>
      </c>
    </row>
    <row r="232" spans="1:24" x14ac:dyDescent="0.3">
      <c r="A232">
        <v>303</v>
      </c>
      <c r="B232">
        <v>46</v>
      </c>
      <c r="C232">
        <v>-1</v>
      </c>
      <c r="D232" s="1">
        <v>41148</v>
      </c>
      <c r="E232">
        <v>422</v>
      </c>
      <c r="F232">
        <v>57</v>
      </c>
      <c r="G232" t="s">
        <v>22</v>
      </c>
      <c r="H232" t="s">
        <v>23</v>
      </c>
      <c r="I232">
        <v>17</v>
      </c>
      <c r="J232" t="s">
        <v>24</v>
      </c>
      <c r="K232" t="s">
        <v>33</v>
      </c>
      <c r="L232" t="s">
        <v>34</v>
      </c>
      <c r="M232">
        <v>9</v>
      </c>
      <c r="N232">
        <v>110</v>
      </c>
      <c r="O232" t="s">
        <v>27</v>
      </c>
      <c r="P232">
        <v>30</v>
      </c>
      <c r="Q232">
        <v>50</v>
      </c>
      <c r="R232">
        <v>10</v>
      </c>
      <c r="S232">
        <v>80</v>
      </c>
      <c r="T232">
        <v>51</v>
      </c>
      <c r="U232" t="s">
        <v>36</v>
      </c>
      <c r="V232" s="2">
        <v>8.1818181818181818E-2</v>
      </c>
      <c r="W232" s="2">
        <v>0.58181818181818179</v>
      </c>
      <c r="X232">
        <v>34</v>
      </c>
    </row>
    <row r="233" spans="1:24" x14ac:dyDescent="0.3">
      <c r="A233">
        <v>970</v>
      </c>
      <c r="B233">
        <v>53</v>
      </c>
      <c r="C233">
        <v>19</v>
      </c>
      <c r="D233" s="1">
        <v>41149</v>
      </c>
      <c r="E233">
        <v>1054</v>
      </c>
      <c r="F233">
        <v>63</v>
      </c>
      <c r="G233" t="s">
        <v>22</v>
      </c>
      <c r="H233" t="s">
        <v>23</v>
      </c>
      <c r="I233">
        <v>16</v>
      </c>
      <c r="J233" t="s">
        <v>24</v>
      </c>
      <c r="K233" t="s">
        <v>33</v>
      </c>
      <c r="L233" t="s">
        <v>62</v>
      </c>
      <c r="M233">
        <v>39</v>
      </c>
      <c r="N233">
        <v>124</v>
      </c>
      <c r="O233" t="s">
        <v>27</v>
      </c>
      <c r="P233">
        <v>40</v>
      </c>
      <c r="Q233">
        <v>50</v>
      </c>
      <c r="R233">
        <v>20</v>
      </c>
      <c r="S233">
        <v>90</v>
      </c>
      <c r="T233">
        <v>37</v>
      </c>
      <c r="U233" t="s">
        <v>36</v>
      </c>
      <c r="V233" s="2">
        <v>0.31451612903225806</v>
      </c>
      <c r="W233" s="2">
        <v>0.57258064516129037</v>
      </c>
      <c r="X233">
        <v>21</v>
      </c>
    </row>
    <row r="234" spans="1:24" x14ac:dyDescent="0.3">
      <c r="A234">
        <v>978</v>
      </c>
      <c r="B234">
        <v>33</v>
      </c>
      <c r="C234">
        <v>3</v>
      </c>
      <c r="D234" s="1">
        <v>41150</v>
      </c>
      <c r="E234">
        <v>870</v>
      </c>
      <c r="F234">
        <v>49</v>
      </c>
      <c r="G234" t="s">
        <v>22</v>
      </c>
      <c r="H234" t="s">
        <v>32</v>
      </c>
      <c r="I234">
        <v>9</v>
      </c>
      <c r="J234" t="s">
        <v>24</v>
      </c>
      <c r="K234" t="s">
        <v>33</v>
      </c>
      <c r="L234" t="s">
        <v>34</v>
      </c>
      <c r="M234">
        <v>43</v>
      </c>
      <c r="N234">
        <v>87</v>
      </c>
      <c r="O234" t="s">
        <v>63</v>
      </c>
      <c r="P234">
        <v>30</v>
      </c>
      <c r="Q234">
        <v>50</v>
      </c>
      <c r="R234">
        <v>40</v>
      </c>
      <c r="S234">
        <v>80</v>
      </c>
      <c r="T234">
        <v>20</v>
      </c>
      <c r="U234" t="s">
        <v>36</v>
      </c>
      <c r="V234" s="2">
        <v>0.4942528735632184</v>
      </c>
      <c r="W234" s="2">
        <v>0.62068965517241381</v>
      </c>
      <c r="X234">
        <v>11</v>
      </c>
    </row>
    <row r="235" spans="1:24" x14ac:dyDescent="0.3">
      <c r="A235">
        <v>321</v>
      </c>
      <c r="B235">
        <v>34</v>
      </c>
      <c r="C235">
        <v>5</v>
      </c>
      <c r="D235" s="1">
        <v>41151</v>
      </c>
      <c r="E235">
        <v>863</v>
      </c>
      <c r="F235">
        <v>51</v>
      </c>
      <c r="G235" t="s">
        <v>22</v>
      </c>
      <c r="H235" t="s">
        <v>32</v>
      </c>
      <c r="I235">
        <v>9</v>
      </c>
      <c r="J235" t="s">
        <v>24</v>
      </c>
      <c r="K235" t="s">
        <v>33</v>
      </c>
      <c r="L235" t="s">
        <v>38</v>
      </c>
      <c r="M235">
        <v>45</v>
      </c>
      <c r="N235">
        <v>91</v>
      </c>
      <c r="O235" t="s">
        <v>35</v>
      </c>
      <c r="P235">
        <v>30</v>
      </c>
      <c r="Q235">
        <v>50</v>
      </c>
      <c r="R235">
        <v>40</v>
      </c>
      <c r="S235">
        <v>80</v>
      </c>
      <c r="T235">
        <v>21</v>
      </c>
      <c r="U235" t="s">
        <v>36</v>
      </c>
      <c r="V235" s="2">
        <v>0.49450549450549453</v>
      </c>
      <c r="W235" s="2">
        <v>0.62637362637362637</v>
      </c>
      <c r="X235">
        <v>12</v>
      </c>
    </row>
    <row r="236" spans="1:24" x14ac:dyDescent="0.3">
      <c r="A236">
        <v>563</v>
      </c>
      <c r="B236">
        <v>0</v>
      </c>
      <c r="C236">
        <v>7</v>
      </c>
      <c r="D236" s="1">
        <v>41152</v>
      </c>
      <c r="E236">
        <v>344</v>
      </c>
      <c r="F236">
        <v>43</v>
      </c>
      <c r="G236" t="s">
        <v>40</v>
      </c>
      <c r="H236" t="s">
        <v>23</v>
      </c>
      <c r="I236">
        <v>0</v>
      </c>
      <c r="J236" t="s">
        <v>41</v>
      </c>
      <c r="K236" t="s">
        <v>42</v>
      </c>
      <c r="L236" t="s">
        <v>43</v>
      </c>
      <c r="M236">
        <v>47</v>
      </c>
      <c r="N236">
        <v>46</v>
      </c>
      <c r="O236" t="s">
        <v>44</v>
      </c>
      <c r="P236">
        <v>0</v>
      </c>
      <c r="Q236">
        <v>50</v>
      </c>
      <c r="R236">
        <v>40</v>
      </c>
      <c r="S236">
        <v>50</v>
      </c>
      <c r="T236">
        <v>11</v>
      </c>
      <c r="U236" t="s">
        <v>28</v>
      </c>
      <c r="V236" s="2">
        <v>1.0217391304347827</v>
      </c>
      <c r="W236" s="2">
        <v>1</v>
      </c>
      <c r="X236">
        <v>11</v>
      </c>
    </row>
    <row r="237" spans="1:24" x14ac:dyDescent="0.3">
      <c r="A237">
        <v>318</v>
      </c>
      <c r="B237">
        <v>43</v>
      </c>
      <c r="C237">
        <v>20</v>
      </c>
      <c r="D237" s="1">
        <v>41153</v>
      </c>
      <c r="E237">
        <v>466</v>
      </c>
      <c r="F237">
        <v>63</v>
      </c>
      <c r="G237" t="s">
        <v>40</v>
      </c>
      <c r="H237" t="s">
        <v>30</v>
      </c>
      <c r="I237">
        <v>13</v>
      </c>
      <c r="J237" t="s">
        <v>41</v>
      </c>
      <c r="K237" t="s">
        <v>42</v>
      </c>
      <c r="L237" t="s">
        <v>43</v>
      </c>
      <c r="M237">
        <v>40</v>
      </c>
      <c r="N237">
        <v>113</v>
      </c>
      <c r="O237" t="s">
        <v>56</v>
      </c>
      <c r="P237">
        <v>30</v>
      </c>
      <c r="Q237">
        <v>50</v>
      </c>
      <c r="R237">
        <v>20</v>
      </c>
      <c r="S237">
        <v>80</v>
      </c>
      <c r="T237">
        <v>36</v>
      </c>
      <c r="U237" t="s">
        <v>28</v>
      </c>
      <c r="V237" s="2">
        <v>0.35398230088495575</v>
      </c>
      <c r="W237" s="2">
        <v>0.61946902654867253</v>
      </c>
      <c r="X237">
        <v>23</v>
      </c>
    </row>
    <row r="238" spans="1:24" x14ac:dyDescent="0.3">
      <c r="A238">
        <v>775</v>
      </c>
      <c r="B238">
        <v>31</v>
      </c>
      <c r="C238">
        <v>-18</v>
      </c>
      <c r="D238" s="1">
        <v>41154</v>
      </c>
      <c r="E238">
        <v>1009</v>
      </c>
      <c r="F238">
        <v>38</v>
      </c>
      <c r="G238" t="s">
        <v>40</v>
      </c>
      <c r="H238" t="s">
        <v>37</v>
      </c>
      <c r="I238">
        <v>9</v>
      </c>
      <c r="J238" t="s">
        <v>41</v>
      </c>
      <c r="K238" t="s">
        <v>46</v>
      </c>
      <c r="L238" t="s">
        <v>47</v>
      </c>
      <c r="M238">
        <v>12</v>
      </c>
      <c r="N238">
        <v>74</v>
      </c>
      <c r="O238" t="s">
        <v>49</v>
      </c>
      <c r="P238">
        <v>30</v>
      </c>
      <c r="Q238">
        <v>50</v>
      </c>
      <c r="R238">
        <v>30</v>
      </c>
      <c r="S238">
        <v>80</v>
      </c>
      <c r="T238">
        <v>30</v>
      </c>
      <c r="U238" t="s">
        <v>28</v>
      </c>
      <c r="V238" s="2">
        <v>0.16216216216216217</v>
      </c>
      <c r="W238" s="2">
        <v>0.58108108108108103</v>
      </c>
      <c r="X238">
        <v>21</v>
      </c>
    </row>
    <row r="239" spans="1:24" x14ac:dyDescent="0.3">
      <c r="A239">
        <v>515</v>
      </c>
      <c r="B239">
        <v>23</v>
      </c>
      <c r="C239">
        <v>-15</v>
      </c>
      <c r="D239" s="1">
        <v>41155</v>
      </c>
      <c r="E239">
        <v>807</v>
      </c>
      <c r="F239">
        <v>35</v>
      </c>
      <c r="G239" t="s">
        <v>40</v>
      </c>
      <c r="H239" t="s">
        <v>23</v>
      </c>
      <c r="I239">
        <v>6</v>
      </c>
      <c r="J239" t="s">
        <v>41</v>
      </c>
      <c r="K239" t="s">
        <v>42</v>
      </c>
      <c r="L239" t="s">
        <v>54</v>
      </c>
      <c r="M239">
        <v>25</v>
      </c>
      <c r="N239">
        <v>62</v>
      </c>
      <c r="O239" t="s">
        <v>44</v>
      </c>
      <c r="P239">
        <v>20</v>
      </c>
      <c r="Q239">
        <v>50</v>
      </c>
      <c r="R239">
        <v>40</v>
      </c>
      <c r="S239">
        <v>70</v>
      </c>
      <c r="T239">
        <v>18</v>
      </c>
      <c r="U239" t="s">
        <v>36</v>
      </c>
      <c r="V239" s="2">
        <v>0.40322580645161288</v>
      </c>
      <c r="W239" s="2">
        <v>0.62903225806451613</v>
      </c>
      <c r="X239">
        <v>12</v>
      </c>
    </row>
    <row r="240" spans="1:24" x14ac:dyDescent="0.3">
      <c r="A240">
        <v>225</v>
      </c>
      <c r="B240">
        <v>41</v>
      </c>
      <c r="C240">
        <v>26</v>
      </c>
      <c r="D240" s="1">
        <v>41156</v>
      </c>
      <c r="E240">
        <v>320</v>
      </c>
      <c r="F240">
        <v>66</v>
      </c>
      <c r="G240" t="s">
        <v>40</v>
      </c>
      <c r="H240" t="s">
        <v>30</v>
      </c>
      <c r="I240">
        <v>12</v>
      </c>
      <c r="J240" t="s">
        <v>41</v>
      </c>
      <c r="K240" t="s">
        <v>42</v>
      </c>
      <c r="L240" t="s">
        <v>54</v>
      </c>
      <c r="M240">
        <v>46</v>
      </c>
      <c r="N240">
        <v>114</v>
      </c>
      <c r="O240" t="s">
        <v>56</v>
      </c>
      <c r="P240">
        <v>30</v>
      </c>
      <c r="Q240">
        <v>50</v>
      </c>
      <c r="R240">
        <v>20</v>
      </c>
      <c r="S240">
        <v>80</v>
      </c>
      <c r="T240">
        <v>35</v>
      </c>
      <c r="U240" t="s">
        <v>36</v>
      </c>
      <c r="V240" s="2">
        <v>0.40350877192982454</v>
      </c>
      <c r="W240" s="2">
        <v>0.64035087719298245</v>
      </c>
      <c r="X240">
        <v>23</v>
      </c>
    </row>
    <row r="241" spans="1:24" x14ac:dyDescent="0.3">
      <c r="A241">
        <v>971</v>
      </c>
      <c r="B241">
        <v>46</v>
      </c>
      <c r="C241">
        <v>-1</v>
      </c>
      <c r="D241" s="1">
        <v>41157</v>
      </c>
      <c r="E241">
        <v>422</v>
      </c>
      <c r="F241">
        <v>57</v>
      </c>
      <c r="G241" t="s">
        <v>40</v>
      </c>
      <c r="H241" t="s">
        <v>37</v>
      </c>
      <c r="I241">
        <v>17</v>
      </c>
      <c r="J241" t="s">
        <v>41</v>
      </c>
      <c r="K241" t="s">
        <v>42</v>
      </c>
      <c r="L241" t="s">
        <v>55</v>
      </c>
      <c r="M241">
        <v>9</v>
      </c>
      <c r="N241">
        <v>110</v>
      </c>
      <c r="O241" t="s">
        <v>57</v>
      </c>
      <c r="P241">
        <v>40</v>
      </c>
      <c r="Q241">
        <v>50</v>
      </c>
      <c r="R241">
        <v>10</v>
      </c>
      <c r="S241">
        <v>90</v>
      </c>
      <c r="T241">
        <v>51</v>
      </c>
      <c r="U241" t="s">
        <v>36</v>
      </c>
      <c r="V241" s="2">
        <v>8.1818181818181818E-2</v>
      </c>
      <c r="W241" s="2">
        <v>0.58181818181818179</v>
      </c>
      <c r="X241">
        <v>34</v>
      </c>
    </row>
    <row r="242" spans="1:24" x14ac:dyDescent="0.3">
      <c r="A242">
        <v>262</v>
      </c>
      <c r="B242">
        <v>43</v>
      </c>
      <c r="C242">
        <v>22</v>
      </c>
      <c r="D242" s="1">
        <v>41158</v>
      </c>
      <c r="E242">
        <v>466</v>
      </c>
      <c r="F242">
        <v>63</v>
      </c>
      <c r="G242" t="s">
        <v>40</v>
      </c>
      <c r="H242" t="s">
        <v>23</v>
      </c>
      <c r="I242">
        <v>13</v>
      </c>
      <c r="J242" t="s">
        <v>24</v>
      </c>
      <c r="K242" t="s">
        <v>33</v>
      </c>
      <c r="L242" t="s">
        <v>34</v>
      </c>
      <c r="M242">
        <v>42</v>
      </c>
      <c r="N242">
        <v>113</v>
      </c>
      <c r="O242" t="s">
        <v>60</v>
      </c>
      <c r="P242">
        <v>30</v>
      </c>
      <c r="Q242">
        <v>50</v>
      </c>
      <c r="R242">
        <v>20</v>
      </c>
      <c r="S242">
        <v>80</v>
      </c>
      <c r="T242">
        <v>35</v>
      </c>
      <c r="U242" t="s">
        <v>36</v>
      </c>
      <c r="V242" s="2">
        <v>0.37168141592920356</v>
      </c>
      <c r="W242" s="2">
        <v>0.61946902654867253</v>
      </c>
      <c r="X242">
        <v>22</v>
      </c>
    </row>
    <row r="243" spans="1:24" x14ac:dyDescent="0.3">
      <c r="A243">
        <v>959</v>
      </c>
      <c r="B243">
        <v>33</v>
      </c>
      <c r="C243">
        <v>2</v>
      </c>
      <c r="D243" s="1">
        <v>41159</v>
      </c>
      <c r="E243">
        <v>818</v>
      </c>
      <c r="F243">
        <v>49</v>
      </c>
      <c r="G243" t="s">
        <v>40</v>
      </c>
      <c r="H243" t="s">
        <v>32</v>
      </c>
      <c r="I243">
        <v>9</v>
      </c>
      <c r="J243" t="s">
        <v>24</v>
      </c>
      <c r="K243" t="s">
        <v>33</v>
      </c>
      <c r="L243" t="s">
        <v>38</v>
      </c>
      <c r="M243">
        <v>42</v>
      </c>
      <c r="N243">
        <v>87</v>
      </c>
      <c r="O243" t="s">
        <v>45</v>
      </c>
      <c r="P243">
        <v>30</v>
      </c>
      <c r="Q243">
        <v>50</v>
      </c>
      <c r="R243">
        <v>40</v>
      </c>
      <c r="S243">
        <v>80</v>
      </c>
      <c r="T243">
        <v>21</v>
      </c>
      <c r="U243" t="s">
        <v>36</v>
      </c>
      <c r="V243" s="2">
        <v>0.48275862068965519</v>
      </c>
      <c r="W243" s="2">
        <v>0.62068965517241381</v>
      </c>
      <c r="X243">
        <v>12</v>
      </c>
    </row>
    <row r="244" spans="1:24" x14ac:dyDescent="0.3">
      <c r="A244">
        <v>435</v>
      </c>
      <c r="B244">
        <v>49</v>
      </c>
      <c r="C244">
        <v>-6</v>
      </c>
      <c r="D244" s="1">
        <v>41160</v>
      </c>
      <c r="E244">
        <v>335</v>
      </c>
      <c r="F244">
        <v>69</v>
      </c>
      <c r="G244" t="s">
        <v>40</v>
      </c>
      <c r="H244" t="s">
        <v>37</v>
      </c>
      <c r="I244">
        <v>44</v>
      </c>
      <c r="J244" t="s">
        <v>24</v>
      </c>
      <c r="K244" t="s">
        <v>33</v>
      </c>
      <c r="L244" t="s">
        <v>34</v>
      </c>
      <c r="M244">
        <v>-6</v>
      </c>
      <c r="N244">
        <v>126</v>
      </c>
      <c r="O244" t="s">
        <v>50</v>
      </c>
      <c r="P244">
        <v>30</v>
      </c>
      <c r="Q244">
        <v>50</v>
      </c>
      <c r="R244">
        <v>0</v>
      </c>
      <c r="S244">
        <v>80</v>
      </c>
      <c r="T244">
        <v>73</v>
      </c>
      <c r="U244" t="s">
        <v>36</v>
      </c>
      <c r="V244" s="2">
        <v>-4.7619047619047616E-2</v>
      </c>
      <c r="W244" s="2">
        <v>0.61111111111111116</v>
      </c>
      <c r="X244">
        <v>29</v>
      </c>
    </row>
    <row r="245" spans="1:24" x14ac:dyDescent="0.3">
      <c r="A245">
        <v>509</v>
      </c>
      <c r="B245">
        <v>55</v>
      </c>
      <c r="C245">
        <v>6</v>
      </c>
      <c r="D245" s="1">
        <v>41161</v>
      </c>
      <c r="E245">
        <v>627</v>
      </c>
      <c r="F245">
        <v>76</v>
      </c>
      <c r="G245" t="s">
        <v>40</v>
      </c>
      <c r="H245" t="s">
        <v>37</v>
      </c>
      <c r="I245">
        <v>49</v>
      </c>
      <c r="J245" t="s">
        <v>24</v>
      </c>
      <c r="K245" t="s">
        <v>33</v>
      </c>
      <c r="L245" t="s">
        <v>38</v>
      </c>
      <c r="M245">
        <v>-4</v>
      </c>
      <c r="N245">
        <v>140</v>
      </c>
      <c r="O245" t="s">
        <v>61</v>
      </c>
      <c r="P245">
        <v>40</v>
      </c>
      <c r="Q245">
        <v>50</v>
      </c>
      <c r="R245">
        <v>-10</v>
      </c>
      <c r="S245">
        <v>90</v>
      </c>
      <c r="T245">
        <v>79</v>
      </c>
      <c r="U245" t="s">
        <v>36</v>
      </c>
      <c r="V245" s="2">
        <v>-2.8571428571428571E-2</v>
      </c>
      <c r="W245" s="2">
        <v>0.6071428571428571</v>
      </c>
      <c r="X245">
        <v>30</v>
      </c>
    </row>
    <row r="246" spans="1:24" x14ac:dyDescent="0.3">
      <c r="A246">
        <v>630</v>
      </c>
      <c r="B246">
        <v>39</v>
      </c>
      <c r="C246">
        <v>-13</v>
      </c>
      <c r="D246" s="1">
        <v>41162</v>
      </c>
      <c r="E246">
        <v>541</v>
      </c>
      <c r="F246">
        <v>51</v>
      </c>
      <c r="G246" t="s">
        <v>22</v>
      </c>
      <c r="H246" t="s">
        <v>23</v>
      </c>
      <c r="I246">
        <v>12</v>
      </c>
      <c r="J246" t="s">
        <v>24</v>
      </c>
      <c r="K246" t="s">
        <v>25</v>
      </c>
      <c r="L246" t="s">
        <v>26</v>
      </c>
      <c r="M246">
        <v>27</v>
      </c>
      <c r="N246">
        <v>90</v>
      </c>
      <c r="O246" t="s">
        <v>64</v>
      </c>
      <c r="P246">
        <v>20</v>
      </c>
      <c r="Q246">
        <v>40</v>
      </c>
      <c r="R246">
        <v>40</v>
      </c>
      <c r="S246">
        <v>60</v>
      </c>
      <c r="T246">
        <v>24</v>
      </c>
      <c r="U246" t="s">
        <v>28</v>
      </c>
      <c r="V246" s="2">
        <v>0.3</v>
      </c>
      <c r="W246" s="2">
        <v>0.56666666666666665</v>
      </c>
      <c r="X246">
        <v>12</v>
      </c>
    </row>
    <row r="247" spans="1:24" x14ac:dyDescent="0.3">
      <c r="A247">
        <v>209</v>
      </c>
      <c r="B247">
        <v>39</v>
      </c>
      <c r="C247">
        <v>-14</v>
      </c>
      <c r="D247" s="1">
        <v>41163</v>
      </c>
      <c r="E247">
        <v>541</v>
      </c>
      <c r="F247">
        <v>51</v>
      </c>
      <c r="G247" t="s">
        <v>22</v>
      </c>
      <c r="H247" t="s">
        <v>37</v>
      </c>
      <c r="I247">
        <v>12</v>
      </c>
      <c r="J247" t="s">
        <v>24</v>
      </c>
      <c r="K247" t="s">
        <v>25</v>
      </c>
      <c r="L247" t="s">
        <v>29</v>
      </c>
      <c r="M247">
        <v>26</v>
      </c>
      <c r="N247">
        <v>90</v>
      </c>
      <c r="O247" t="s">
        <v>39</v>
      </c>
      <c r="P247">
        <v>20</v>
      </c>
      <c r="Q247">
        <v>40</v>
      </c>
      <c r="R247">
        <v>40</v>
      </c>
      <c r="S247">
        <v>60</v>
      </c>
      <c r="T247">
        <v>25</v>
      </c>
      <c r="U247" t="s">
        <v>28</v>
      </c>
      <c r="V247" s="2">
        <v>0.28888888888888886</v>
      </c>
      <c r="W247" s="2">
        <v>0.56666666666666665</v>
      </c>
      <c r="X247">
        <v>13</v>
      </c>
    </row>
    <row r="248" spans="1:24" x14ac:dyDescent="0.3">
      <c r="A248">
        <v>505</v>
      </c>
      <c r="B248">
        <v>86</v>
      </c>
      <c r="C248">
        <v>-36</v>
      </c>
      <c r="D248" s="1">
        <v>41164</v>
      </c>
      <c r="E248">
        <v>1698</v>
      </c>
      <c r="F248">
        <v>23</v>
      </c>
      <c r="G248" t="s">
        <v>40</v>
      </c>
      <c r="H248" t="s">
        <v>30</v>
      </c>
      <c r="I248">
        <v>26</v>
      </c>
      <c r="J248" t="s">
        <v>41</v>
      </c>
      <c r="K248" t="s">
        <v>46</v>
      </c>
      <c r="L248" t="s">
        <v>47</v>
      </c>
      <c r="M248">
        <v>-26</v>
      </c>
      <c r="N248">
        <v>109</v>
      </c>
      <c r="O248" t="s">
        <v>65</v>
      </c>
      <c r="P248">
        <v>110</v>
      </c>
      <c r="Q248">
        <v>40</v>
      </c>
      <c r="R248">
        <v>10</v>
      </c>
      <c r="S248">
        <v>150</v>
      </c>
      <c r="T248">
        <v>49</v>
      </c>
      <c r="U248" t="s">
        <v>28</v>
      </c>
      <c r="V248" s="2">
        <v>-0.23853211009174313</v>
      </c>
      <c r="W248" s="2">
        <v>0.21100917431192662</v>
      </c>
      <c r="X248">
        <v>23</v>
      </c>
    </row>
    <row r="249" spans="1:24" x14ac:dyDescent="0.3">
      <c r="A249">
        <v>318</v>
      </c>
      <c r="B249">
        <v>46</v>
      </c>
      <c r="C249">
        <v>-10</v>
      </c>
      <c r="D249" s="1">
        <v>41165</v>
      </c>
      <c r="E249">
        <v>449</v>
      </c>
      <c r="F249">
        <v>67</v>
      </c>
      <c r="G249" t="s">
        <v>40</v>
      </c>
      <c r="H249" t="s">
        <v>30</v>
      </c>
      <c r="I249">
        <v>14</v>
      </c>
      <c r="J249" t="s">
        <v>41</v>
      </c>
      <c r="K249" t="s">
        <v>42</v>
      </c>
      <c r="L249" t="s">
        <v>43</v>
      </c>
      <c r="M249">
        <v>30</v>
      </c>
      <c r="N249">
        <v>113</v>
      </c>
      <c r="O249" t="s">
        <v>56</v>
      </c>
      <c r="P249">
        <v>20</v>
      </c>
      <c r="Q249">
        <v>40</v>
      </c>
      <c r="R249">
        <v>40</v>
      </c>
      <c r="S249">
        <v>60</v>
      </c>
      <c r="T249">
        <v>37</v>
      </c>
      <c r="U249" t="s">
        <v>28</v>
      </c>
      <c r="V249" s="2">
        <v>0.26548672566371684</v>
      </c>
      <c r="W249" s="2">
        <v>0.59292035398230092</v>
      </c>
      <c r="X249">
        <v>23</v>
      </c>
    </row>
    <row r="250" spans="1:24" x14ac:dyDescent="0.3">
      <c r="A250">
        <v>515</v>
      </c>
      <c r="B250">
        <v>31</v>
      </c>
      <c r="C250">
        <v>-23</v>
      </c>
      <c r="D250" s="1">
        <v>41166</v>
      </c>
      <c r="E250">
        <v>1000</v>
      </c>
      <c r="F250">
        <v>37</v>
      </c>
      <c r="G250" t="s">
        <v>40</v>
      </c>
      <c r="H250" t="s">
        <v>23</v>
      </c>
      <c r="I250">
        <v>9</v>
      </c>
      <c r="J250" t="s">
        <v>41</v>
      </c>
      <c r="K250" t="s">
        <v>46</v>
      </c>
      <c r="L250" t="s">
        <v>53</v>
      </c>
      <c r="M250">
        <v>7</v>
      </c>
      <c r="N250">
        <v>68</v>
      </c>
      <c r="O250" t="s">
        <v>44</v>
      </c>
      <c r="P250">
        <v>20</v>
      </c>
      <c r="Q250">
        <v>40</v>
      </c>
      <c r="R250">
        <v>30</v>
      </c>
      <c r="S250">
        <v>60</v>
      </c>
      <c r="T250">
        <v>30</v>
      </c>
      <c r="U250" t="s">
        <v>36</v>
      </c>
      <c r="V250" s="2">
        <v>0.10294117647058823</v>
      </c>
      <c r="W250" s="2">
        <v>0.54411764705882348</v>
      </c>
      <c r="X250">
        <v>21</v>
      </c>
    </row>
    <row r="251" spans="1:24" x14ac:dyDescent="0.3">
      <c r="A251">
        <v>505</v>
      </c>
      <c r="B251">
        <v>45</v>
      </c>
      <c r="C251">
        <v>-16</v>
      </c>
      <c r="D251" s="1">
        <v>41167</v>
      </c>
      <c r="E251">
        <v>320</v>
      </c>
      <c r="F251">
        <v>64</v>
      </c>
      <c r="G251" t="s">
        <v>40</v>
      </c>
      <c r="H251" t="s">
        <v>30</v>
      </c>
      <c r="I251">
        <v>41</v>
      </c>
      <c r="J251" t="s">
        <v>41</v>
      </c>
      <c r="K251" t="s">
        <v>42</v>
      </c>
      <c r="L251" t="s">
        <v>54</v>
      </c>
      <c r="M251">
        <v>-6</v>
      </c>
      <c r="N251">
        <v>109</v>
      </c>
      <c r="O251" t="s">
        <v>65</v>
      </c>
      <c r="P251">
        <v>20</v>
      </c>
      <c r="Q251">
        <v>40</v>
      </c>
      <c r="R251">
        <v>10</v>
      </c>
      <c r="S251">
        <v>60</v>
      </c>
      <c r="T251">
        <v>70</v>
      </c>
      <c r="U251" t="s">
        <v>36</v>
      </c>
      <c r="V251" s="2">
        <v>-5.5045871559633031E-2</v>
      </c>
      <c r="W251" s="2">
        <v>0.58715596330275233</v>
      </c>
      <c r="X251">
        <v>29</v>
      </c>
    </row>
    <row r="252" spans="1:24" x14ac:dyDescent="0.3">
      <c r="A252">
        <v>801</v>
      </c>
      <c r="B252">
        <v>32</v>
      </c>
      <c r="C252">
        <v>-12</v>
      </c>
      <c r="D252" s="1">
        <v>41168</v>
      </c>
      <c r="E252">
        <v>833</v>
      </c>
      <c r="F252">
        <v>47</v>
      </c>
      <c r="G252" t="s">
        <v>40</v>
      </c>
      <c r="H252" t="s">
        <v>37</v>
      </c>
      <c r="I252">
        <v>8</v>
      </c>
      <c r="J252" t="s">
        <v>41</v>
      </c>
      <c r="K252" t="s">
        <v>42</v>
      </c>
      <c r="L252" t="s">
        <v>55</v>
      </c>
      <c r="M252">
        <v>28</v>
      </c>
      <c r="N252">
        <v>79</v>
      </c>
      <c r="O252" t="s">
        <v>50</v>
      </c>
      <c r="P252">
        <v>20</v>
      </c>
      <c r="Q252">
        <v>40</v>
      </c>
      <c r="R252">
        <v>40</v>
      </c>
      <c r="S252">
        <v>60</v>
      </c>
      <c r="T252">
        <v>19</v>
      </c>
      <c r="U252" t="s">
        <v>36</v>
      </c>
      <c r="V252" s="2">
        <v>0.35443037974683544</v>
      </c>
      <c r="W252" s="2">
        <v>0.59493670886075944</v>
      </c>
      <c r="X252">
        <v>11</v>
      </c>
    </row>
    <row r="253" spans="1:24" x14ac:dyDescent="0.3">
      <c r="A253">
        <v>505</v>
      </c>
      <c r="B253">
        <v>31</v>
      </c>
      <c r="C253">
        <v>-24</v>
      </c>
      <c r="D253" s="1">
        <v>41169</v>
      </c>
      <c r="E253">
        <v>1000</v>
      </c>
      <c r="F253">
        <v>37</v>
      </c>
      <c r="G253" t="s">
        <v>40</v>
      </c>
      <c r="H253" t="s">
        <v>30</v>
      </c>
      <c r="I253">
        <v>9</v>
      </c>
      <c r="J253" t="s">
        <v>24</v>
      </c>
      <c r="K253" t="s">
        <v>25</v>
      </c>
      <c r="L253" t="s">
        <v>26</v>
      </c>
      <c r="M253">
        <v>6</v>
      </c>
      <c r="N253">
        <v>68</v>
      </c>
      <c r="O253" t="s">
        <v>65</v>
      </c>
      <c r="P253">
        <v>10</v>
      </c>
      <c r="Q253">
        <v>40</v>
      </c>
      <c r="R253">
        <v>30</v>
      </c>
      <c r="S253">
        <v>50</v>
      </c>
      <c r="T253">
        <v>31</v>
      </c>
      <c r="U253" t="s">
        <v>28</v>
      </c>
      <c r="V253" s="2">
        <v>8.8235294117647065E-2</v>
      </c>
      <c r="W253" s="2">
        <v>0.54411764705882348</v>
      </c>
      <c r="X253">
        <v>22</v>
      </c>
    </row>
    <row r="254" spans="1:24" x14ac:dyDescent="0.3">
      <c r="A254">
        <v>636</v>
      </c>
      <c r="B254">
        <v>39</v>
      </c>
      <c r="C254">
        <v>-17</v>
      </c>
      <c r="D254" s="1">
        <v>41170</v>
      </c>
      <c r="E254">
        <v>244</v>
      </c>
      <c r="F254">
        <v>53</v>
      </c>
      <c r="G254" t="s">
        <v>40</v>
      </c>
      <c r="H254" t="s">
        <v>23</v>
      </c>
      <c r="I254">
        <v>12</v>
      </c>
      <c r="J254" t="s">
        <v>24</v>
      </c>
      <c r="K254" t="s">
        <v>33</v>
      </c>
      <c r="L254" t="s">
        <v>34</v>
      </c>
      <c r="M254">
        <v>13</v>
      </c>
      <c r="N254">
        <v>92</v>
      </c>
      <c r="O254" t="s">
        <v>59</v>
      </c>
      <c r="P254">
        <v>20</v>
      </c>
      <c r="Q254">
        <v>40</v>
      </c>
      <c r="R254">
        <v>30</v>
      </c>
      <c r="S254">
        <v>60</v>
      </c>
      <c r="T254">
        <v>40</v>
      </c>
      <c r="U254" t="s">
        <v>36</v>
      </c>
      <c r="V254" s="2">
        <v>0.14130434782608695</v>
      </c>
      <c r="W254" s="2">
        <v>0.57608695652173914</v>
      </c>
      <c r="X254">
        <v>28</v>
      </c>
    </row>
    <row r="255" spans="1:24" x14ac:dyDescent="0.3">
      <c r="A255">
        <v>959</v>
      </c>
      <c r="B255">
        <v>24</v>
      </c>
      <c r="C255">
        <v>-22</v>
      </c>
      <c r="D255" s="1">
        <v>41171</v>
      </c>
      <c r="E255">
        <v>806</v>
      </c>
      <c r="F255">
        <v>36</v>
      </c>
      <c r="G255" t="s">
        <v>40</v>
      </c>
      <c r="H255" t="s">
        <v>32</v>
      </c>
      <c r="I255">
        <v>6</v>
      </c>
      <c r="J255" t="s">
        <v>24</v>
      </c>
      <c r="K255" t="s">
        <v>33</v>
      </c>
      <c r="L255" t="s">
        <v>38</v>
      </c>
      <c r="M255">
        <v>18</v>
      </c>
      <c r="N255">
        <v>60</v>
      </c>
      <c r="O255" t="s">
        <v>45</v>
      </c>
      <c r="P255">
        <v>20</v>
      </c>
      <c r="Q255">
        <v>40</v>
      </c>
      <c r="R255">
        <v>40</v>
      </c>
      <c r="S255">
        <v>60</v>
      </c>
      <c r="T255">
        <v>18</v>
      </c>
      <c r="U255" t="s">
        <v>36</v>
      </c>
      <c r="V255" s="2">
        <v>0.3</v>
      </c>
      <c r="W255" s="2">
        <v>0.6</v>
      </c>
      <c r="X255">
        <v>12</v>
      </c>
    </row>
    <row r="256" spans="1:24" x14ac:dyDescent="0.3">
      <c r="A256">
        <v>603</v>
      </c>
      <c r="B256">
        <v>0</v>
      </c>
      <c r="C256">
        <v>-8</v>
      </c>
      <c r="D256" s="1">
        <v>41172</v>
      </c>
      <c r="E256">
        <v>430</v>
      </c>
      <c r="F256">
        <v>43</v>
      </c>
      <c r="G256" t="s">
        <v>40</v>
      </c>
      <c r="H256" t="s">
        <v>32</v>
      </c>
      <c r="I256">
        <v>0</v>
      </c>
      <c r="J256" t="s">
        <v>24</v>
      </c>
      <c r="K256" t="s">
        <v>33</v>
      </c>
      <c r="L256" t="s">
        <v>38</v>
      </c>
      <c r="M256">
        <v>32</v>
      </c>
      <c r="N256">
        <v>43</v>
      </c>
      <c r="O256" t="s">
        <v>52</v>
      </c>
      <c r="P256">
        <v>0</v>
      </c>
      <c r="Q256">
        <v>40</v>
      </c>
      <c r="R256">
        <v>40</v>
      </c>
      <c r="S256">
        <v>40</v>
      </c>
      <c r="T256">
        <v>11</v>
      </c>
      <c r="U256" t="s">
        <v>36</v>
      </c>
      <c r="V256" s="2">
        <v>0.7441860465116279</v>
      </c>
      <c r="W256" s="2">
        <v>1</v>
      </c>
      <c r="X256">
        <v>11</v>
      </c>
    </row>
    <row r="257" spans="1:24" x14ac:dyDescent="0.3">
      <c r="A257">
        <v>801</v>
      </c>
      <c r="B257">
        <v>45</v>
      </c>
      <c r="C257">
        <v>-26</v>
      </c>
      <c r="D257" s="1">
        <v>41173</v>
      </c>
      <c r="E257">
        <v>320</v>
      </c>
      <c r="F257">
        <v>64</v>
      </c>
      <c r="G257" t="s">
        <v>40</v>
      </c>
      <c r="H257" t="s">
        <v>37</v>
      </c>
      <c r="I257">
        <v>41</v>
      </c>
      <c r="J257" t="s">
        <v>24</v>
      </c>
      <c r="K257" t="s">
        <v>33</v>
      </c>
      <c r="L257" t="s">
        <v>34</v>
      </c>
      <c r="M257">
        <v>-6</v>
      </c>
      <c r="N257">
        <v>109</v>
      </c>
      <c r="O257" t="s">
        <v>50</v>
      </c>
      <c r="P257">
        <v>10</v>
      </c>
      <c r="Q257">
        <v>40</v>
      </c>
      <c r="R257">
        <v>20</v>
      </c>
      <c r="S257">
        <v>50</v>
      </c>
      <c r="T257">
        <v>70</v>
      </c>
      <c r="U257" t="s">
        <v>36</v>
      </c>
      <c r="V257" s="2">
        <v>-5.5045871559633031E-2</v>
      </c>
      <c r="W257" s="2">
        <v>0.58715596330275233</v>
      </c>
      <c r="X257">
        <v>29</v>
      </c>
    </row>
    <row r="258" spans="1:24" x14ac:dyDescent="0.3">
      <c r="A258">
        <v>206</v>
      </c>
      <c r="B258">
        <v>60</v>
      </c>
      <c r="C258">
        <v>-10</v>
      </c>
      <c r="D258" s="1">
        <v>41174</v>
      </c>
      <c r="E258">
        <v>606</v>
      </c>
      <c r="F258">
        <v>84</v>
      </c>
      <c r="G258" t="s">
        <v>40</v>
      </c>
      <c r="H258" t="s">
        <v>37</v>
      </c>
      <c r="I258">
        <v>54</v>
      </c>
      <c r="J258" t="s">
        <v>24</v>
      </c>
      <c r="K258" t="s">
        <v>33</v>
      </c>
      <c r="L258" t="s">
        <v>38</v>
      </c>
      <c r="M258">
        <v>0</v>
      </c>
      <c r="N258">
        <v>144</v>
      </c>
      <c r="O258" t="s">
        <v>61</v>
      </c>
      <c r="P258">
        <v>20</v>
      </c>
      <c r="Q258">
        <v>40</v>
      </c>
      <c r="R258">
        <v>10</v>
      </c>
      <c r="S258">
        <v>60</v>
      </c>
      <c r="T258">
        <v>84</v>
      </c>
      <c r="U258" t="s">
        <v>36</v>
      </c>
      <c r="V258" s="2">
        <v>0</v>
      </c>
      <c r="W258" s="2">
        <v>0.58333333333333337</v>
      </c>
      <c r="X258">
        <v>30</v>
      </c>
    </row>
    <row r="259" spans="1:24" x14ac:dyDescent="0.3">
      <c r="A259">
        <v>937</v>
      </c>
      <c r="B259">
        <v>32</v>
      </c>
      <c r="C259">
        <v>-1</v>
      </c>
      <c r="D259" s="1">
        <v>41175</v>
      </c>
      <c r="E259">
        <v>482</v>
      </c>
      <c r="F259">
        <v>48</v>
      </c>
      <c r="G259" t="s">
        <v>22</v>
      </c>
      <c r="H259" t="s">
        <v>23</v>
      </c>
      <c r="I259">
        <v>8</v>
      </c>
      <c r="J259" t="s">
        <v>24</v>
      </c>
      <c r="K259" t="s">
        <v>25</v>
      </c>
      <c r="L259" t="s">
        <v>58</v>
      </c>
      <c r="M259">
        <v>29</v>
      </c>
      <c r="N259">
        <v>80</v>
      </c>
      <c r="O259" t="s">
        <v>66</v>
      </c>
      <c r="P259">
        <v>30</v>
      </c>
      <c r="Q259">
        <v>40</v>
      </c>
      <c r="R259">
        <v>30</v>
      </c>
      <c r="S259">
        <v>70</v>
      </c>
      <c r="T259">
        <v>19</v>
      </c>
      <c r="U259" t="s">
        <v>28</v>
      </c>
      <c r="V259" s="2">
        <v>0.36249999999999999</v>
      </c>
      <c r="W259" s="2">
        <v>0.6</v>
      </c>
      <c r="X259">
        <v>11</v>
      </c>
    </row>
    <row r="260" spans="1:24" x14ac:dyDescent="0.3">
      <c r="A260">
        <v>407</v>
      </c>
      <c r="B260">
        <v>54</v>
      </c>
      <c r="C260">
        <v>3</v>
      </c>
      <c r="D260" s="1">
        <v>41176</v>
      </c>
      <c r="E260">
        <v>391</v>
      </c>
      <c r="F260">
        <v>67</v>
      </c>
      <c r="G260" t="s">
        <v>22</v>
      </c>
      <c r="H260" t="s">
        <v>32</v>
      </c>
      <c r="I260">
        <v>20</v>
      </c>
      <c r="J260" t="s">
        <v>24</v>
      </c>
      <c r="K260" t="s">
        <v>25</v>
      </c>
      <c r="L260" t="s">
        <v>26</v>
      </c>
      <c r="M260">
        <v>13</v>
      </c>
      <c r="N260">
        <v>121</v>
      </c>
      <c r="O260" t="s">
        <v>35</v>
      </c>
      <c r="P260">
        <v>40</v>
      </c>
      <c r="Q260">
        <v>40</v>
      </c>
      <c r="R260">
        <v>10</v>
      </c>
      <c r="S260">
        <v>80</v>
      </c>
      <c r="T260">
        <v>54</v>
      </c>
      <c r="U260" t="s">
        <v>28</v>
      </c>
      <c r="V260" s="2">
        <v>0.10743801652892562</v>
      </c>
      <c r="W260" s="2">
        <v>0.55371900826446285</v>
      </c>
      <c r="X260">
        <v>34</v>
      </c>
    </row>
    <row r="261" spans="1:24" x14ac:dyDescent="0.3">
      <c r="A261">
        <v>715</v>
      </c>
      <c r="B261">
        <v>22</v>
      </c>
      <c r="C261">
        <v>-19</v>
      </c>
      <c r="D261" s="1">
        <v>41177</v>
      </c>
      <c r="E261">
        <v>570</v>
      </c>
      <c r="F261">
        <v>30</v>
      </c>
      <c r="G261" t="s">
        <v>40</v>
      </c>
      <c r="H261" t="s">
        <v>23</v>
      </c>
      <c r="I261">
        <v>7</v>
      </c>
      <c r="J261" t="s">
        <v>41</v>
      </c>
      <c r="K261" t="s">
        <v>42</v>
      </c>
      <c r="L261" t="s">
        <v>43</v>
      </c>
      <c r="M261">
        <v>11</v>
      </c>
      <c r="N261">
        <v>52</v>
      </c>
      <c r="O261" t="s">
        <v>60</v>
      </c>
      <c r="P261">
        <v>20</v>
      </c>
      <c r="Q261">
        <v>40</v>
      </c>
      <c r="R261">
        <v>30</v>
      </c>
      <c r="S261">
        <v>60</v>
      </c>
      <c r="T261">
        <v>19</v>
      </c>
      <c r="U261" t="s">
        <v>28</v>
      </c>
      <c r="V261" s="2">
        <v>0.21153846153846154</v>
      </c>
      <c r="W261" s="2">
        <v>0.57692307692307687</v>
      </c>
      <c r="X261">
        <v>12</v>
      </c>
    </row>
    <row r="262" spans="1:24" x14ac:dyDescent="0.3">
      <c r="A262">
        <v>505</v>
      </c>
      <c r="B262">
        <v>35</v>
      </c>
      <c r="C262">
        <v>-12</v>
      </c>
      <c r="D262" s="1">
        <v>41178</v>
      </c>
      <c r="E262">
        <v>248</v>
      </c>
      <c r="F262">
        <v>47</v>
      </c>
      <c r="G262" t="s">
        <v>40</v>
      </c>
      <c r="H262" t="s">
        <v>30</v>
      </c>
      <c r="I262">
        <v>11</v>
      </c>
      <c r="J262" t="s">
        <v>41</v>
      </c>
      <c r="K262" t="s">
        <v>42</v>
      </c>
      <c r="L262" t="s">
        <v>43</v>
      </c>
      <c r="M262">
        <v>8</v>
      </c>
      <c r="N262">
        <v>82</v>
      </c>
      <c r="O262" t="s">
        <v>65</v>
      </c>
      <c r="P262">
        <v>20</v>
      </c>
      <c r="Q262">
        <v>40</v>
      </c>
      <c r="R262">
        <v>20</v>
      </c>
      <c r="S262">
        <v>60</v>
      </c>
      <c r="T262">
        <v>39</v>
      </c>
      <c r="U262" t="s">
        <v>28</v>
      </c>
      <c r="V262" s="2">
        <v>9.7560975609756101E-2</v>
      </c>
      <c r="W262" s="2">
        <v>0.57317073170731703</v>
      </c>
      <c r="X262">
        <v>28</v>
      </c>
    </row>
    <row r="263" spans="1:24" x14ac:dyDescent="0.3">
      <c r="A263">
        <v>775</v>
      </c>
      <c r="B263">
        <v>29</v>
      </c>
      <c r="C263">
        <v>-15</v>
      </c>
      <c r="D263" s="1">
        <v>41179</v>
      </c>
      <c r="E263">
        <v>1003</v>
      </c>
      <c r="F263">
        <v>35</v>
      </c>
      <c r="G263" t="s">
        <v>40</v>
      </c>
      <c r="H263" t="s">
        <v>37</v>
      </c>
      <c r="I263">
        <v>8</v>
      </c>
      <c r="J263" t="s">
        <v>41</v>
      </c>
      <c r="K263" t="s">
        <v>46</v>
      </c>
      <c r="L263" t="s">
        <v>47</v>
      </c>
      <c r="M263">
        <v>5</v>
      </c>
      <c r="N263">
        <v>64</v>
      </c>
      <c r="O263" t="s">
        <v>49</v>
      </c>
      <c r="P263">
        <v>30</v>
      </c>
      <c r="Q263">
        <v>40</v>
      </c>
      <c r="R263">
        <v>20</v>
      </c>
      <c r="S263">
        <v>70</v>
      </c>
      <c r="T263">
        <v>30</v>
      </c>
      <c r="U263" t="s">
        <v>28</v>
      </c>
      <c r="V263" s="2">
        <v>7.8125E-2</v>
      </c>
      <c r="W263" s="2">
        <v>0.546875</v>
      </c>
      <c r="X263">
        <v>22</v>
      </c>
    </row>
    <row r="264" spans="1:24" x14ac:dyDescent="0.3">
      <c r="A264">
        <v>563</v>
      </c>
      <c r="B264">
        <v>29</v>
      </c>
      <c r="C264">
        <v>-15</v>
      </c>
      <c r="D264" s="1">
        <v>41180</v>
      </c>
      <c r="E264">
        <v>1003</v>
      </c>
      <c r="F264">
        <v>35</v>
      </c>
      <c r="G264" t="s">
        <v>40</v>
      </c>
      <c r="H264" t="s">
        <v>23</v>
      </c>
      <c r="I264">
        <v>8</v>
      </c>
      <c r="J264" t="s">
        <v>41</v>
      </c>
      <c r="K264" t="s">
        <v>46</v>
      </c>
      <c r="L264" t="s">
        <v>53</v>
      </c>
      <c r="M264">
        <v>5</v>
      </c>
      <c r="N264">
        <v>64</v>
      </c>
      <c r="O264" t="s">
        <v>44</v>
      </c>
      <c r="P264">
        <v>20</v>
      </c>
      <c r="Q264">
        <v>40</v>
      </c>
      <c r="R264">
        <v>20</v>
      </c>
      <c r="S264">
        <v>60</v>
      </c>
      <c r="T264">
        <v>30</v>
      </c>
      <c r="U264" t="s">
        <v>36</v>
      </c>
      <c r="V264" s="2">
        <v>7.8125E-2</v>
      </c>
      <c r="W264" s="2">
        <v>0.546875</v>
      </c>
      <c r="X264">
        <v>22</v>
      </c>
    </row>
    <row r="265" spans="1:24" x14ac:dyDescent="0.3">
      <c r="A265">
        <v>603</v>
      </c>
      <c r="B265">
        <v>34</v>
      </c>
      <c r="C265">
        <v>-3</v>
      </c>
      <c r="D265" s="1">
        <v>41181</v>
      </c>
      <c r="E265">
        <v>211</v>
      </c>
      <c r="F265">
        <v>42</v>
      </c>
      <c r="G265" t="s">
        <v>40</v>
      </c>
      <c r="H265" t="s">
        <v>32</v>
      </c>
      <c r="I265">
        <v>12</v>
      </c>
      <c r="J265" t="s">
        <v>41</v>
      </c>
      <c r="K265" t="s">
        <v>42</v>
      </c>
      <c r="L265" t="s">
        <v>67</v>
      </c>
      <c r="M265">
        <v>-3</v>
      </c>
      <c r="N265">
        <v>76</v>
      </c>
      <c r="O265" t="s">
        <v>52</v>
      </c>
      <c r="P265">
        <v>30</v>
      </c>
      <c r="Q265">
        <v>40</v>
      </c>
      <c r="R265">
        <v>0</v>
      </c>
      <c r="S265">
        <v>70</v>
      </c>
      <c r="T265">
        <v>45</v>
      </c>
      <c r="U265" t="s">
        <v>36</v>
      </c>
      <c r="V265" s="2">
        <v>-3.9473684210526314E-2</v>
      </c>
      <c r="W265" s="2">
        <v>0.55263157894736847</v>
      </c>
      <c r="X265">
        <v>33</v>
      </c>
    </row>
    <row r="266" spans="1:24" x14ac:dyDescent="0.3">
      <c r="A266">
        <v>918</v>
      </c>
      <c r="B266">
        <v>32</v>
      </c>
      <c r="C266">
        <v>-1</v>
      </c>
      <c r="D266" s="1">
        <v>41182</v>
      </c>
      <c r="E266">
        <v>482</v>
      </c>
      <c r="F266">
        <v>48</v>
      </c>
      <c r="G266" t="s">
        <v>40</v>
      </c>
      <c r="H266" t="s">
        <v>30</v>
      </c>
      <c r="I266">
        <v>8</v>
      </c>
      <c r="J266" t="s">
        <v>41</v>
      </c>
      <c r="K266" t="s">
        <v>42</v>
      </c>
      <c r="L266" t="s">
        <v>54</v>
      </c>
      <c r="M266">
        <v>29</v>
      </c>
      <c r="N266">
        <v>80</v>
      </c>
      <c r="O266" t="s">
        <v>48</v>
      </c>
      <c r="P266">
        <v>20</v>
      </c>
      <c r="Q266">
        <v>40</v>
      </c>
      <c r="R266">
        <v>30</v>
      </c>
      <c r="S266">
        <v>60</v>
      </c>
      <c r="T266">
        <v>19</v>
      </c>
      <c r="U266" t="s">
        <v>36</v>
      </c>
      <c r="V266" s="2">
        <v>0.36249999999999999</v>
      </c>
      <c r="W266" s="2">
        <v>0.6</v>
      </c>
      <c r="X266">
        <v>11</v>
      </c>
    </row>
    <row r="267" spans="1:24" x14ac:dyDescent="0.3">
      <c r="A267">
        <v>775</v>
      </c>
      <c r="B267">
        <v>0</v>
      </c>
      <c r="C267">
        <v>1</v>
      </c>
      <c r="D267" s="1">
        <v>41183</v>
      </c>
      <c r="E267">
        <v>387</v>
      </c>
      <c r="F267">
        <v>43</v>
      </c>
      <c r="G267" t="s">
        <v>40</v>
      </c>
      <c r="H267" t="s">
        <v>37</v>
      </c>
      <c r="I267">
        <v>0</v>
      </c>
      <c r="J267" t="s">
        <v>41</v>
      </c>
      <c r="K267" t="s">
        <v>42</v>
      </c>
      <c r="L267" t="s">
        <v>55</v>
      </c>
      <c r="M267">
        <v>31</v>
      </c>
      <c r="N267">
        <v>43</v>
      </c>
      <c r="O267" t="s">
        <v>49</v>
      </c>
      <c r="P267">
        <v>0</v>
      </c>
      <c r="Q267">
        <v>40</v>
      </c>
      <c r="R267">
        <v>30</v>
      </c>
      <c r="S267">
        <v>40</v>
      </c>
      <c r="T267">
        <v>12</v>
      </c>
      <c r="U267" t="s">
        <v>36</v>
      </c>
      <c r="V267" s="2">
        <v>0.72093023255813948</v>
      </c>
      <c r="W267" s="2">
        <v>1</v>
      </c>
      <c r="X267">
        <v>12</v>
      </c>
    </row>
    <row r="268" spans="1:24" x14ac:dyDescent="0.3">
      <c r="A268">
        <v>435</v>
      </c>
      <c r="B268">
        <v>33</v>
      </c>
      <c r="C268">
        <v>-3</v>
      </c>
      <c r="D268" s="1">
        <v>41184</v>
      </c>
      <c r="E268">
        <v>836</v>
      </c>
      <c r="F268">
        <v>48</v>
      </c>
      <c r="G268" t="s">
        <v>40</v>
      </c>
      <c r="H268" t="s">
        <v>37</v>
      </c>
      <c r="I268">
        <v>9</v>
      </c>
      <c r="J268" t="s">
        <v>41</v>
      </c>
      <c r="K268" t="s">
        <v>42</v>
      </c>
      <c r="L268" t="s">
        <v>55</v>
      </c>
      <c r="M268">
        <v>27</v>
      </c>
      <c r="N268">
        <v>81</v>
      </c>
      <c r="O268" t="s">
        <v>50</v>
      </c>
      <c r="P268">
        <v>30</v>
      </c>
      <c r="Q268">
        <v>40</v>
      </c>
      <c r="R268">
        <v>30</v>
      </c>
      <c r="S268">
        <v>70</v>
      </c>
      <c r="T268">
        <v>21</v>
      </c>
      <c r="U268" t="s">
        <v>36</v>
      </c>
      <c r="V268" s="2">
        <v>0.33333333333333331</v>
      </c>
      <c r="W268" s="2">
        <v>0.59259259259259256</v>
      </c>
      <c r="X268">
        <v>12</v>
      </c>
    </row>
    <row r="269" spans="1:24" x14ac:dyDescent="0.3">
      <c r="A269">
        <v>573</v>
      </c>
      <c r="B269">
        <v>82</v>
      </c>
      <c r="C269">
        <v>-9</v>
      </c>
      <c r="D269" s="1">
        <v>41185</v>
      </c>
      <c r="E269">
        <v>1804</v>
      </c>
      <c r="F269">
        <v>40</v>
      </c>
      <c r="G269" t="s">
        <v>40</v>
      </c>
      <c r="H269" t="s">
        <v>23</v>
      </c>
      <c r="I269">
        <v>25</v>
      </c>
      <c r="J269" t="s">
        <v>24</v>
      </c>
      <c r="K269" t="s">
        <v>25</v>
      </c>
      <c r="L269" t="s">
        <v>26</v>
      </c>
      <c r="M269">
        <v>-9</v>
      </c>
      <c r="N269">
        <v>122</v>
      </c>
      <c r="O269" t="s">
        <v>59</v>
      </c>
      <c r="P269">
        <v>70</v>
      </c>
      <c r="Q269">
        <v>40</v>
      </c>
      <c r="R269">
        <v>0</v>
      </c>
      <c r="S269">
        <v>110</v>
      </c>
      <c r="T269">
        <v>49</v>
      </c>
      <c r="U269" t="s">
        <v>28</v>
      </c>
      <c r="V269" s="2">
        <v>-7.3770491803278687E-2</v>
      </c>
      <c r="W269" s="2">
        <v>0.32786885245901637</v>
      </c>
      <c r="X269">
        <v>24</v>
      </c>
    </row>
    <row r="270" spans="1:24" x14ac:dyDescent="0.3">
      <c r="A270">
        <v>801</v>
      </c>
      <c r="B270">
        <v>82</v>
      </c>
      <c r="C270">
        <v>-8</v>
      </c>
      <c r="D270" s="1">
        <v>41186</v>
      </c>
      <c r="E270">
        <v>1804</v>
      </c>
      <c r="F270">
        <v>40</v>
      </c>
      <c r="G270" t="s">
        <v>40</v>
      </c>
      <c r="H270" t="s">
        <v>37</v>
      </c>
      <c r="I270">
        <v>25</v>
      </c>
      <c r="J270" t="s">
        <v>24</v>
      </c>
      <c r="K270" t="s">
        <v>25</v>
      </c>
      <c r="L270" t="s">
        <v>29</v>
      </c>
      <c r="M270">
        <v>-8</v>
      </c>
      <c r="N270">
        <v>122</v>
      </c>
      <c r="O270" t="s">
        <v>50</v>
      </c>
      <c r="P270">
        <v>70</v>
      </c>
      <c r="Q270">
        <v>40</v>
      </c>
      <c r="R270">
        <v>0</v>
      </c>
      <c r="S270">
        <v>110</v>
      </c>
      <c r="T270">
        <v>48</v>
      </c>
      <c r="U270" t="s">
        <v>28</v>
      </c>
      <c r="V270" s="2">
        <v>-6.5573770491803282E-2</v>
      </c>
      <c r="W270" s="2">
        <v>0.32786885245901637</v>
      </c>
      <c r="X270">
        <v>23</v>
      </c>
    </row>
    <row r="271" spans="1:24" x14ac:dyDescent="0.3">
      <c r="A271">
        <v>417</v>
      </c>
      <c r="B271">
        <v>35</v>
      </c>
      <c r="C271">
        <v>-1</v>
      </c>
      <c r="D271" s="1">
        <v>41187</v>
      </c>
      <c r="E271">
        <v>248</v>
      </c>
      <c r="F271">
        <v>47</v>
      </c>
      <c r="G271" t="s">
        <v>40</v>
      </c>
      <c r="H271" t="s">
        <v>23</v>
      </c>
      <c r="I271">
        <v>11</v>
      </c>
      <c r="J271" t="s">
        <v>24</v>
      </c>
      <c r="K271" t="s">
        <v>33</v>
      </c>
      <c r="L271" t="s">
        <v>34</v>
      </c>
      <c r="M271">
        <v>9</v>
      </c>
      <c r="N271">
        <v>82</v>
      </c>
      <c r="O271" t="s">
        <v>59</v>
      </c>
      <c r="P271">
        <v>20</v>
      </c>
      <c r="Q271">
        <v>40</v>
      </c>
      <c r="R271">
        <v>10</v>
      </c>
      <c r="S271">
        <v>60</v>
      </c>
      <c r="T271">
        <v>38</v>
      </c>
      <c r="U271" t="s">
        <v>36</v>
      </c>
      <c r="V271" s="2">
        <v>0.10975609756097561</v>
      </c>
      <c r="W271" s="2">
        <v>0.57317073170731703</v>
      </c>
      <c r="X271">
        <v>27</v>
      </c>
    </row>
    <row r="272" spans="1:24" x14ac:dyDescent="0.3">
      <c r="A272">
        <v>636</v>
      </c>
      <c r="B272">
        <v>34</v>
      </c>
      <c r="C272">
        <v>-3</v>
      </c>
      <c r="D272" s="1">
        <v>41188</v>
      </c>
      <c r="E272">
        <v>211</v>
      </c>
      <c r="F272">
        <v>42</v>
      </c>
      <c r="G272" t="s">
        <v>40</v>
      </c>
      <c r="H272" t="s">
        <v>23</v>
      </c>
      <c r="I272">
        <v>12</v>
      </c>
      <c r="J272" t="s">
        <v>24</v>
      </c>
      <c r="K272" t="s">
        <v>33</v>
      </c>
      <c r="L272" t="s">
        <v>62</v>
      </c>
      <c r="M272">
        <v>-3</v>
      </c>
      <c r="N272">
        <v>76</v>
      </c>
      <c r="O272" t="s">
        <v>59</v>
      </c>
      <c r="P272">
        <v>20</v>
      </c>
      <c r="Q272">
        <v>40</v>
      </c>
      <c r="R272">
        <v>0</v>
      </c>
      <c r="S272">
        <v>60</v>
      </c>
      <c r="T272">
        <v>45</v>
      </c>
      <c r="U272" t="s">
        <v>36</v>
      </c>
      <c r="V272" s="2">
        <v>-3.9473684210526314E-2</v>
      </c>
      <c r="W272" s="2">
        <v>0.55263157894736847</v>
      </c>
      <c r="X272">
        <v>33</v>
      </c>
    </row>
    <row r="273" spans="1:24" x14ac:dyDescent="0.3">
      <c r="A273">
        <v>314</v>
      </c>
      <c r="B273">
        <v>33</v>
      </c>
      <c r="C273">
        <v>-4</v>
      </c>
      <c r="D273" s="1">
        <v>41189</v>
      </c>
      <c r="E273">
        <v>243</v>
      </c>
      <c r="F273">
        <v>41</v>
      </c>
      <c r="G273" t="s">
        <v>40</v>
      </c>
      <c r="H273" t="s">
        <v>23</v>
      </c>
      <c r="I273">
        <v>12</v>
      </c>
      <c r="J273" t="s">
        <v>24</v>
      </c>
      <c r="K273" t="s">
        <v>33</v>
      </c>
      <c r="L273" t="s">
        <v>38</v>
      </c>
      <c r="M273">
        <v>-4</v>
      </c>
      <c r="N273">
        <v>74</v>
      </c>
      <c r="O273" t="s">
        <v>59</v>
      </c>
      <c r="P273">
        <v>20</v>
      </c>
      <c r="Q273">
        <v>40</v>
      </c>
      <c r="R273">
        <v>0</v>
      </c>
      <c r="S273">
        <v>60</v>
      </c>
      <c r="T273">
        <v>45</v>
      </c>
      <c r="U273" t="s">
        <v>36</v>
      </c>
      <c r="V273" s="2">
        <v>-5.4054054054054057E-2</v>
      </c>
      <c r="W273" s="2">
        <v>0.55405405405405406</v>
      </c>
      <c r="X273">
        <v>33</v>
      </c>
    </row>
    <row r="274" spans="1:24" x14ac:dyDescent="0.3">
      <c r="A274">
        <v>603</v>
      </c>
      <c r="B274">
        <v>0</v>
      </c>
      <c r="C274">
        <v>2</v>
      </c>
      <c r="D274" s="1">
        <v>41190</v>
      </c>
      <c r="E274">
        <v>387</v>
      </c>
      <c r="F274">
        <v>43</v>
      </c>
      <c r="G274" t="s">
        <v>40</v>
      </c>
      <c r="H274" t="s">
        <v>32</v>
      </c>
      <c r="I274">
        <v>0</v>
      </c>
      <c r="J274" t="s">
        <v>24</v>
      </c>
      <c r="K274" t="s">
        <v>33</v>
      </c>
      <c r="L274" t="s">
        <v>38</v>
      </c>
      <c r="M274">
        <v>32</v>
      </c>
      <c r="N274">
        <v>43</v>
      </c>
      <c r="O274" t="s">
        <v>52</v>
      </c>
      <c r="P274">
        <v>0</v>
      </c>
      <c r="Q274">
        <v>40</v>
      </c>
      <c r="R274">
        <v>30</v>
      </c>
      <c r="S274">
        <v>40</v>
      </c>
      <c r="T274">
        <v>11</v>
      </c>
      <c r="U274" t="s">
        <v>36</v>
      </c>
      <c r="V274" s="2">
        <v>0.7441860465116279</v>
      </c>
      <c r="W274" s="2">
        <v>1</v>
      </c>
      <c r="X274">
        <v>11</v>
      </c>
    </row>
    <row r="275" spans="1:24" x14ac:dyDescent="0.3">
      <c r="A275">
        <v>435</v>
      </c>
      <c r="B275">
        <v>44</v>
      </c>
      <c r="C275">
        <v>3</v>
      </c>
      <c r="D275" s="1">
        <v>41191</v>
      </c>
      <c r="E275">
        <v>325</v>
      </c>
      <c r="F275">
        <v>62</v>
      </c>
      <c r="G275" t="s">
        <v>40</v>
      </c>
      <c r="H275" t="s">
        <v>37</v>
      </c>
      <c r="I275">
        <v>40</v>
      </c>
      <c r="J275" t="s">
        <v>24</v>
      </c>
      <c r="K275" t="s">
        <v>33</v>
      </c>
      <c r="L275" t="s">
        <v>34</v>
      </c>
      <c r="M275">
        <v>-7</v>
      </c>
      <c r="N275">
        <v>106</v>
      </c>
      <c r="O275" t="s">
        <v>50</v>
      </c>
      <c r="P275">
        <v>30</v>
      </c>
      <c r="Q275">
        <v>40</v>
      </c>
      <c r="R275">
        <v>-10</v>
      </c>
      <c r="S275">
        <v>70</v>
      </c>
      <c r="T275">
        <v>69</v>
      </c>
      <c r="U275" t="s">
        <v>36</v>
      </c>
      <c r="V275" s="2">
        <v>-6.6037735849056603E-2</v>
      </c>
      <c r="W275" s="2">
        <v>0.58490566037735847</v>
      </c>
      <c r="X275">
        <v>29</v>
      </c>
    </row>
    <row r="276" spans="1:24" x14ac:dyDescent="0.3">
      <c r="A276">
        <v>937</v>
      </c>
      <c r="B276">
        <v>29</v>
      </c>
      <c r="C276">
        <v>-5</v>
      </c>
      <c r="D276" s="1">
        <v>41192</v>
      </c>
      <c r="E276">
        <v>490</v>
      </c>
      <c r="F276">
        <v>44</v>
      </c>
      <c r="G276" t="s">
        <v>22</v>
      </c>
      <c r="H276" t="s">
        <v>23</v>
      </c>
      <c r="I276">
        <v>8</v>
      </c>
      <c r="J276" t="s">
        <v>24</v>
      </c>
      <c r="K276" t="s">
        <v>25</v>
      </c>
      <c r="L276" t="s">
        <v>58</v>
      </c>
      <c r="M276">
        <v>25</v>
      </c>
      <c r="N276">
        <v>73</v>
      </c>
      <c r="O276" t="s">
        <v>66</v>
      </c>
      <c r="P276">
        <v>20</v>
      </c>
      <c r="Q276">
        <v>40</v>
      </c>
      <c r="R276">
        <v>30</v>
      </c>
      <c r="S276">
        <v>60</v>
      </c>
      <c r="T276">
        <v>19</v>
      </c>
      <c r="U276" t="s">
        <v>28</v>
      </c>
      <c r="V276" s="2">
        <v>0.34246575342465752</v>
      </c>
      <c r="W276" s="2">
        <v>0.60273972602739723</v>
      </c>
      <c r="X276">
        <v>11</v>
      </c>
    </row>
    <row r="277" spans="1:24" x14ac:dyDescent="0.3">
      <c r="A277">
        <v>330</v>
      </c>
      <c r="B277">
        <v>33</v>
      </c>
      <c r="C277">
        <v>-1</v>
      </c>
      <c r="D277" s="1">
        <v>41193</v>
      </c>
      <c r="E277">
        <v>870</v>
      </c>
      <c r="F277">
        <v>49</v>
      </c>
      <c r="G277" t="s">
        <v>22</v>
      </c>
      <c r="H277" t="s">
        <v>23</v>
      </c>
      <c r="I277">
        <v>9</v>
      </c>
      <c r="J277" t="s">
        <v>24</v>
      </c>
      <c r="K277" t="s">
        <v>25</v>
      </c>
      <c r="L277" t="s">
        <v>26</v>
      </c>
      <c r="M277">
        <v>29</v>
      </c>
      <c r="N277">
        <v>82</v>
      </c>
      <c r="O277" t="s">
        <v>66</v>
      </c>
      <c r="P277">
        <v>30</v>
      </c>
      <c r="Q277">
        <v>40</v>
      </c>
      <c r="R277">
        <v>30</v>
      </c>
      <c r="S277">
        <v>70</v>
      </c>
      <c r="T277">
        <v>20</v>
      </c>
      <c r="U277" t="s">
        <v>28</v>
      </c>
      <c r="V277" s="2">
        <v>0.35365853658536583</v>
      </c>
      <c r="W277" s="2">
        <v>0.59756097560975607</v>
      </c>
      <c r="X277">
        <v>11</v>
      </c>
    </row>
    <row r="278" spans="1:24" x14ac:dyDescent="0.3">
      <c r="A278">
        <v>508</v>
      </c>
      <c r="B278">
        <v>46</v>
      </c>
      <c r="C278">
        <v>-3</v>
      </c>
      <c r="D278" s="1">
        <v>41194</v>
      </c>
      <c r="E278">
        <v>422</v>
      </c>
      <c r="F278">
        <v>57</v>
      </c>
      <c r="G278" t="s">
        <v>22</v>
      </c>
      <c r="H278" t="s">
        <v>32</v>
      </c>
      <c r="I278">
        <v>17</v>
      </c>
      <c r="J278" t="s">
        <v>24</v>
      </c>
      <c r="K278" t="s">
        <v>25</v>
      </c>
      <c r="L278" t="s">
        <v>26</v>
      </c>
      <c r="M278">
        <v>7</v>
      </c>
      <c r="N278">
        <v>103</v>
      </c>
      <c r="O278" t="s">
        <v>63</v>
      </c>
      <c r="P278">
        <v>30</v>
      </c>
      <c r="Q278">
        <v>40</v>
      </c>
      <c r="R278">
        <v>10</v>
      </c>
      <c r="S278">
        <v>70</v>
      </c>
      <c r="T278">
        <v>50</v>
      </c>
      <c r="U278" t="s">
        <v>28</v>
      </c>
      <c r="V278" s="2">
        <v>6.7961165048543687E-2</v>
      </c>
      <c r="W278" s="2">
        <v>0.55339805825242716</v>
      </c>
      <c r="X278">
        <v>33</v>
      </c>
    </row>
    <row r="279" spans="1:24" x14ac:dyDescent="0.3">
      <c r="A279">
        <v>813</v>
      </c>
      <c r="B279">
        <v>30</v>
      </c>
      <c r="C279">
        <v>-4</v>
      </c>
      <c r="D279" s="1">
        <v>41195</v>
      </c>
      <c r="E279">
        <v>882</v>
      </c>
      <c r="F279">
        <v>45</v>
      </c>
      <c r="G279" t="s">
        <v>22</v>
      </c>
      <c r="H279" t="s">
        <v>32</v>
      </c>
      <c r="I279">
        <v>8</v>
      </c>
      <c r="J279" t="s">
        <v>24</v>
      </c>
      <c r="K279" t="s">
        <v>33</v>
      </c>
      <c r="L279" t="s">
        <v>34</v>
      </c>
      <c r="M279">
        <v>26</v>
      </c>
      <c r="N279">
        <v>75</v>
      </c>
      <c r="O279" t="s">
        <v>35</v>
      </c>
      <c r="P279">
        <v>30</v>
      </c>
      <c r="Q279">
        <v>40</v>
      </c>
      <c r="R279">
        <v>30</v>
      </c>
      <c r="S279">
        <v>70</v>
      </c>
      <c r="T279">
        <v>19</v>
      </c>
      <c r="U279" t="s">
        <v>36</v>
      </c>
      <c r="V279" s="2">
        <v>0.34666666666666668</v>
      </c>
      <c r="W279" s="2">
        <v>0.6</v>
      </c>
      <c r="X279">
        <v>11</v>
      </c>
    </row>
    <row r="280" spans="1:24" x14ac:dyDescent="0.3">
      <c r="A280">
        <v>857</v>
      </c>
      <c r="B280">
        <v>29</v>
      </c>
      <c r="C280">
        <v>-5</v>
      </c>
      <c r="D280" s="1">
        <v>41196</v>
      </c>
      <c r="E280">
        <v>490</v>
      </c>
      <c r="F280">
        <v>44</v>
      </c>
      <c r="G280" t="s">
        <v>22</v>
      </c>
      <c r="H280" t="s">
        <v>32</v>
      </c>
      <c r="I280">
        <v>8</v>
      </c>
      <c r="J280" t="s">
        <v>24</v>
      </c>
      <c r="K280" t="s">
        <v>33</v>
      </c>
      <c r="L280" t="s">
        <v>38</v>
      </c>
      <c r="M280">
        <v>25</v>
      </c>
      <c r="N280">
        <v>73</v>
      </c>
      <c r="O280" t="s">
        <v>63</v>
      </c>
      <c r="P280">
        <v>30</v>
      </c>
      <c r="Q280">
        <v>40</v>
      </c>
      <c r="R280">
        <v>30</v>
      </c>
      <c r="S280">
        <v>70</v>
      </c>
      <c r="T280">
        <v>19</v>
      </c>
      <c r="U280" t="s">
        <v>36</v>
      </c>
      <c r="V280" s="2">
        <v>0.34246575342465752</v>
      </c>
      <c r="W280" s="2">
        <v>0.60273972602739723</v>
      </c>
      <c r="X280">
        <v>11</v>
      </c>
    </row>
    <row r="281" spans="1:24" x14ac:dyDescent="0.3">
      <c r="A281">
        <v>262</v>
      </c>
      <c r="B281">
        <v>24</v>
      </c>
      <c r="C281">
        <v>-17</v>
      </c>
      <c r="D281" s="1">
        <v>41197</v>
      </c>
      <c r="E281">
        <v>567</v>
      </c>
      <c r="F281">
        <v>32</v>
      </c>
      <c r="G281" t="s">
        <v>40</v>
      </c>
      <c r="H281" t="s">
        <v>23</v>
      </c>
      <c r="I281">
        <v>7</v>
      </c>
      <c r="J281" t="s">
        <v>41</v>
      </c>
      <c r="K281" t="s">
        <v>42</v>
      </c>
      <c r="L281" t="s">
        <v>43</v>
      </c>
      <c r="M281">
        <v>13</v>
      </c>
      <c r="N281">
        <v>56</v>
      </c>
      <c r="O281" t="s">
        <v>60</v>
      </c>
      <c r="P281">
        <v>30</v>
      </c>
      <c r="Q281">
        <v>40</v>
      </c>
      <c r="R281">
        <v>30</v>
      </c>
      <c r="S281">
        <v>70</v>
      </c>
      <c r="T281">
        <v>19</v>
      </c>
      <c r="U281" t="s">
        <v>28</v>
      </c>
      <c r="V281" s="2">
        <v>0.23214285714285715</v>
      </c>
      <c r="W281" s="2">
        <v>0.5714285714285714</v>
      </c>
      <c r="X281">
        <v>12</v>
      </c>
    </row>
    <row r="282" spans="1:24" x14ac:dyDescent="0.3">
      <c r="A282">
        <v>702</v>
      </c>
      <c r="B282">
        <v>0</v>
      </c>
      <c r="C282">
        <v>1</v>
      </c>
      <c r="D282" s="1">
        <v>41198</v>
      </c>
      <c r="E282">
        <v>344</v>
      </c>
      <c r="F282">
        <v>43</v>
      </c>
      <c r="G282" t="s">
        <v>40</v>
      </c>
      <c r="H282" t="s">
        <v>37</v>
      </c>
      <c r="I282">
        <v>0</v>
      </c>
      <c r="J282" t="s">
        <v>41</v>
      </c>
      <c r="K282" t="s">
        <v>42</v>
      </c>
      <c r="L282" t="s">
        <v>55</v>
      </c>
      <c r="M282">
        <v>31</v>
      </c>
      <c r="N282">
        <v>43</v>
      </c>
      <c r="O282" t="s">
        <v>49</v>
      </c>
      <c r="P282">
        <v>0</v>
      </c>
      <c r="Q282">
        <v>40</v>
      </c>
      <c r="R282">
        <v>30</v>
      </c>
      <c r="S282">
        <v>40</v>
      </c>
      <c r="T282">
        <v>12</v>
      </c>
      <c r="U282" t="s">
        <v>36</v>
      </c>
      <c r="V282" s="2">
        <v>0.72093023255813948</v>
      </c>
      <c r="W282" s="2">
        <v>1</v>
      </c>
      <c r="X282">
        <v>12</v>
      </c>
    </row>
    <row r="283" spans="1:24" x14ac:dyDescent="0.3">
      <c r="A283">
        <v>435</v>
      </c>
      <c r="B283">
        <v>31</v>
      </c>
      <c r="C283">
        <v>-4</v>
      </c>
      <c r="D283" s="1">
        <v>41199</v>
      </c>
      <c r="E283">
        <v>844</v>
      </c>
      <c r="F283">
        <v>46</v>
      </c>
      <c r="G283" t="s">
        <v>40</v>
      </c>
      <c r="H283" t="s">
        <v>37</v>
      </c>
      <c r="I283">
        <v>8</v>
      </c>
      <c r="J283" t="s">
        <v>41</v>
      </c>
      <c r="K283" t="s">
        <v>42</v>
      </c>
      <c r="L283" t="s">
        <v>55</v>
      </c>
      <c r="M283">
        <v>26</v>
      </c>
      <c r="N283">
        <v>77</v>
      </c>
      <c r="O283" t="s">
        <v>50</v>
      </c>
      <c r="P283">
        <v>30</v>
      </c>
      <c r="Q283">
        <v>40</v>
      </c>
      <c r="R283">
        <v>30</v>
      </c>
      <c r="S283">
        <v>70</v>
      </c>
      <c r="T283">
        <v>20</v>
      </c>
      <c r="U283" t="s">
        <v>36</v>
      </c>
      <c r="V283" s="2">
        <v>0.33766233766233766</v>
      </c>
      <c r="W283" s="2">
        <v>0.59740259740259738</v>
      </c>
      <c r="X283">
        <v>12</v>
      </c>
    </row>
    <row r="284" spans="1:24" x14ac:dyDescent="0.3">
      <c r="A284">
        <v>715</v>
      </c>
      <c r="B284">
        <v>34</v>
      </c>
      <c r="C284">
        <v>0</v>
      </c>
      <c r="D284" s="1">
        <v>41200</v>
      </c>
      <c r="E284">
        <v>863</v>
      </c>
      <c r="F284">
        <v>51</v>
      </c>
      <c r="G284" t="s">
        <v>40</v>
      </c>
      <c r="H284" t="s">
        <v>23</v>
      </c>
      <c r="I284">
        <v>9</v>
      </c>
      <c r="J284" t="s">
        <v>24</v>
      </c>
      <c r="K284" t="s">
        <v>25</v>
      </c>
      <c r="L284" t="s">
        <v>26</v>
      </c>
      <c r="M284">
        <v>30</v>
      </c>
      <c r="N284">
        <v>85</v>
      </c>
      <c r="O284" t="s">
        <v>60</v>
      </c>
      <c r="P284">
        <v>30</v>
      </c>
      <c r="Q284">
        <v>40</v>
      </c>
      <c r="R284">
        <v>30</v>
      </c>
      <c r="S284">
        <v>70</v>
      </c>
      <c r="T284">
        <v>21</v>
      </c>
      <c r="U284" t="s">
        <v>28</v>
      </c>
      <c r="V284" s="2">
        <v>0.35294117647058826</v>
      </c>
      <c r="W284" s="2">
        <v>0.6</v>
      </c>
      <c r="X284">
        <v>12</v>
      </c>
    </row>
    <row r="285" spans="1:24" x14ac:dyDescent="0.3">
      <c r="A285">
        <v>603</v>
      </c>
      <c r="B285">
        <v>39</v>
      </c>
      <c r="C285">
        <v>-8</v>
      </c>
      <c r="D285" s="1">
        <v>41201</v>
      </c>
      <c r="E285">
        <v>250</v>
      </c>
      <c r="F285">
        <v>49</v>
      </c>
      <c r="G285" t="s">
        <v>40</v>
      </c>
      <c r="H285" t="s">
        <v>32</v>
      </c>
      <c r="I285">
        <v>14</v>
      </c>
      <c r="J285" t="s">
        <v>24</v>
      </c>
      <c r="K285" t="s">
        <v>25</v>
      </c>
      <c r="L285" t="s">
        <v>26</v>
      </c>
      <c r="M285">
        <v>2</v>
      </c>
      <c r="N285">
        <v>88</v>
      </c>
      <c r="O285" t="s">
        <v>52</v>
      </c>
      <c r="P285">
        <v>20</v>
      </c>
      <c r="Q285">
        <v>40</v>
      </c>
      <c r="R285">
        <v>10</v>
      </c>
      <c r="S285">
        <v>60</v>
      </c>
      <c r="T285">
        <v>47</v>
      </c>
      <c r="U285" t="s">
        <v>28</v>
      </c>
      <c r="V285" s="2">
        <v>2.2727272727272728E-2</v>
      </c>
      <c r="W285" s="2">
        <v>0.55681818181818177</v>
      </c>
      <c r="X285">
        <v>33</v>
      </c>
    </row>
    <row r="286" spans="1:24" x14ac:dyDescent="0.3">
      <c r="A286">
        <v>505</v>
      </c>
      <c r="B286">
        <v>31</v>
      </c>
      <c r="C286">
        <v>-13</v>
      </c>
      <c r="D286" s="1">
        <v>41202</v>
      </c>
      <c r="E286">
        <v>1009</v>
      </c>
      <c r="F286">
        <v>38</v>
      </c>
      <c r="G286" t="s">
        <v>40</v>
      </c>
      <c r="H286" t="s">
        <v>30</v>
      </c>
      <c r="I286">
        <v>9</v>
      </c>
      <c r="J286" t="s">
        <v>24</v>
      </c>
      <c r="K286" t="s">
        <v>25</v>
      </c>
      <c r="L286" t="s">
        <v>26</v>
      </c>
      <c r="M286">
        <v>7</v>
      </c>
      <c r="N286">
        <v>69</v>
      </c>
      <c r="O286" t="s">
        <v>65</v>
      </c>
      <c r="P286">
        <v>20</v>
      </c>
      <c r="Q286">
        <v>40</v>
      </c>
      <c r="R286">
        <v>20</v>
      </c>
      <c r="S286">
        <v>60</v>
      </c>
      <c r="T286">
        <v>31</v>
      </c>
      <c r="U286" t="s">
        <v>28</v>
      </c>
      <c r="V286" s="2">
        <v>0.10144927536231885</v>
      </c>
      <c r="W286" s="2">
        <v>0.55072463768115942</v>
      </c>
      <c r="X286">
        <v>22</v>
      </c>
    </row>
    <row r="287" spans="1:24" x14ac:dyDescent="0.3">
      <c r="A287">
        <v>573</v>
      </c>
      <c r="B287">
        <v>38</v>
      </c>
      <c r="C287">
        <v>1</v>
      </c>
      <c r="D287" s="1">
        <v>41203</v>
      </c>
      <c r="E287">
        <v>256</v>
      </c>
      <c r="F287">
        <v>51</v>
      </c>
      <c r="G287" t="s">
        <v>40</v>
      </c>
      <c r="H287" t="s">
        <v>23</v>
      </c>
      <c r="I287">
        <v>12</v>
      </c>
      <c r="J287" t="s">
        <v>24</v>
      </c>
      <c r="K287" t="s">
        <v>33</v>
      </c>
      <c r="L287" t="s">
        <v>34</v>
      </c>
      <c r="M287">
        <v>11</v>
      </c>
      <c r="N287">
        <v>89</v>
      </c>
      <c r="O287" t="s">
        <v>59</v>
      </c>
      <c r="P287">
        <v>30</v>
      </c>
      <c r="Q287">
        <v>40</v>
      </c>
      <c r="R287">
        <v>10</v>
      </c>
      <c r="S287">
        <v>70</v>
      </c>
      <c r="T287">
        <v>40</v>
      </c>
      <c r="U287" t="s">
        <v>36</v>
      </c>
      <c r="V287" s="2">
        <v>0.12359550561797752</v>
      </c>
      <c r="W287" s="2">
        <v>0.5730337078651685</v>
      </c>
      <c r="X287">
        <v>28</v>
      </c>
    </row>
    <row r="288" spans="1:24" x14ac:dyDescent="0.3">
      <c r="A288">
        <v>636</v>
      </c>
      <c r="B288">
        <v>39</v>
      </c>
      <c r="C288">
        <v>2</v>
      </c>
      <c r="D288" s="1">
        <v>41204</v>
      </c>
      <c r="E288">
        <v>250</v>
      </c>
      <c r="F288">
        <v>49</v>
      </c>
      <c r="G288" t="s">
        <v>40</v>
      </c>
      <c r="H288" t="s">
        <v>23</v>
      </c>
      <c r="I288">
        <v>14</v>
      </c>
      <c r="J288" t="s">
        <v>24</v>
      </c>
      <c r="K288" t="s">
        <v>33</v>
      </c>
      <c r="L288" t="s">
        <v>38</v>
      </c>
      <c r="M288">
        <v>2</v>
      </c>
      <c r="N288">
        <v>88</v>
      </c>
      <c r="O288" t="s">
        <v>59</v>
      </c>
      <c r="P288">
        <v>30</v>
      </c>
      <c r="Q288">
        <v>40</v>
      </c>
      <c r="R288">
        <v>0</v>
      </c>
      <c r="S288">
        <v>70</v>
      </c>
      <c r="T288">
        <v>47</v>
      </c>
      <c r="U288" t="s">
        <v>36</v>
      </c>
      <c r="V288" s="2">
        <v>2.2727272727272728E-2</v>
      </c>
      <c r="W288" s="2">
        <v>0.55681818181818177</v>
      </c>
      <c r="X288">
        <v>33</v>
      </c>
    </row>
    <row r="289" spans="1:24" x14ac:dyDescent="0.3">
      <c r="A289">
        <v>603</v>
      </c>
      <c r="B289">
        <v>0</v>
      </c>
      <c r="C289">
        <v>2</v>
      </c>
      <c r="D289" s="1">
        <v>41205</v>
      </c>
      <c r="E289">
        <v>344</v>
      </c>
      <c r="F289">
        <v>43</v>
      </c>
      <c r="G289" t="s">
        <v>40</v>
      </c>
      <c r="H289" t="s">
        <v>32</v>
      </c>
      <c r="I289">
        <v>0</v>
      </c>
      <c r="J289" t="s">
        <v>24</v>
      </c>
      <c r="K289" t="s">
        <v>33</v>
      </c>
      <c r="L289" t="s">
        <v>38</v>
      </c>
      <c r="M289">
        <v>32</v>
      </c>
      <c r="N289">
        <v>43</v>
      </c>
      <c r="O289" t="s">
        <v>52</v>
      </c>
      <c r="P289">
        <v>0</v>
      </c>
      <c r="Q289">
        <v>40</v>
      </c>
      <c r="R289">
        <v>30</v>
      </c>
      <c r="S289">
        <v>40</v>
      </c>
      <c r="T289">
        <v>11</v>
      </c>
      <c r="U289" t="s">
        <v>36</v>
      </c>
      <c r="V289" s="2">
        <v>0.7441860465116279</v>
      </c>
      <c r="W289" s="2">
        <v>1</v>
      </c>
      <c r="X289">
        <v>11</v>
      </c>
    </row>
    <row r="290" spans="1:24" x14ac:dyDescent="0.3">
      <c r="A290">
        <v>509</v>
      </c>
      <c r="B290">
        <v>41</v>
      </c>
      <c r="C290">
        <v>10</v>
      </c>
      <c r="D290" s="1">
        <v>41206</v>
      </c>
      <c r="E290">
        <v>320</v>
      </c>
      <c r="F290">
        <v>66</v>
      </c>
      <c r="G290" t="s">
        <v>40</v>
      </c>
      <c r="H290" t="s">
        <v>37</v>
      </c>
      <c r="I290">
        <v>12</v>
      </c>
      <c r="J290" t="s">
        <v>24</v>
      </c>
      <c r="K290" t="s">
        <v>33</v>
      </c>
      <c r="L290" t="s">
        <v>34</v>
      </c>
      <c r="M290">
        <v>30</v>
      </c>
      <c r="N290">
        <v>107</v>
      </c>
      <c r="O290" t="s">
        <v>61</v>
      </c>
      <c r="P290">
        <v>30</v>
      </c>
      <c r="Q290">
        <v>40</v>
      </c>
      <c r="R290">
        <v>20</v>
      </c>
      <c r="S290">
        <v>70</v>
      </c>
      <c r="T290">
        <v>36</v>
      </c>
      <c r="U290" t="s">
        <v>36</v>
      </c>
      <c r="V290" s="2">
        <v>0.28037383177570091</v>
      </c>
      <c r="W290" s="2">
        <v>0.61682242990654201</v>
      </c>
      <c r="X290">
        <v>24</v>
      </c>
    </row>
    <row r="291" spans="1:24" x14ac:dyDescent="0.3">
      <c r="A291">
        <v>801</v>
      </c>
      <c r="B291">
        <v>38</v>
      </c>
      <c r="C291">
        <v>2</v>
      </c>
      <c r="D291" s="1">
        <v>41207</v>
      </c>
      <c r="E291">
        <v>256</v>
      </c>
      <c r="F291">
        <v>51</v>
      </c>
      <c r="G291" t="s">
        <v>40</v>
      </c>
      <c r="H291" t="s">
        <v>37</v>
      </c>
      <c r="I291">
        <v>12</v>
      </c>
      <c r="J291" t="s">
        <v>24</v>
      </c>
      <c r="K291" t="s">
        <v>33</v>
      </c>
      <c r="L291" t="s">
        <v>62</v>
      </c>
      <c r="M291">
        <v>12</v>
      </c>
      <c r="N291">
        <v>89</v>
      </c>
      <c r="O291" t="s">
        <v>50</v>
      </c>
      <c r="P291">
        <v>20</v>
      </c>
      <c r="Q291">
        <v>40</v>
      </c>
      <c r="R291">
        <v>10</v>
      </c>
      <c r="S291">
        <v>60</v>
      </c>
      <c r="T291">
        <v>39</v>
      </c>
      <c r="U291" t="s">
        <v>36</v>
      </c>
      <c r="V291" s="2">
        <v>0.1348314606741573</v>
      </c>
      <c r="W291" s="2">
        <v>0.5730337078651685</v>
      </c>
      <c r="X291">
        <v>27</v>
      </c>
    </row>
    <row r="292" spans="1:24" x14ac:dyDescent="0.3">
      <c r="A292">
        <v>509</v>
      </c>
      <c r="B292">
        <v>43</v>
      </c>
      <c r="C292">
        <v>8</v>
      </c>
      <c r="D292" s="1">
        <v>41208</v>
      </c>
      <c r="E292">
        <v>466</v>
      </c>
      <c r="F292">
        <v>63</v>
      </c>
      <c r="G292" t="s">
        <v>40</v>
      </c>
      <c r="H292" t="s">
        <v>37</v>
      </c>
      <c r="I292">
        <v>13</v>
      </c>
      <c r="J292" t="s">
        <v>24</v>
      </c>
      <c r="K292" t="s">
        <v>33</v>
      </c>
      <c r="L292" t="s">
        <v>62</v>
      </c>
      <c r="M292">
        <v>28</v>
      </c>
      <c r="N292">
        <v>106</v>
      </c>
      <c r="O292" t="s">
        <v>61</v>
      </c>
      <c r="P292">
        <v>30</v>
      </c>
      <c r="Q292">
        <v>40</v>
      </c>
      <c r="R292">
        <v>20</v>
      </c>
      <c r="S292">
        <v>70</v>
      </c>
      <c r="T292">
        <v>35</v>
      </c>
      <c r="U292" t="s">
        <v>36</v>
      </c>
      <c r="V292" s="2">
        <v>0.26415094339622641</v>
      </c>
      <c r="W292" s="2">
        <v>0.59433962264150941</v>
      </c>
      <c r="X292">
        <v>22</v>
      </c>
    </row>
    <row r="293" spans="1:24" x14ac:dyDescent="0.3">
      <c r="A293">
        <v>312</v>
      </c>
      <c r="B293">
        <v>39</v>
      </c>
      <c r="C293">
        <v>0</v>
      </c>
      <c r="D293" s="1">
        <v>41209</v>
      </c>
      <c r="E293">
        <v>541</v>
      </c>
      <c r="F293">
        <v>51</v>
      </c>
      <c r="G293" t="s">
        <v>22</v>
      </c>
      <c r="H293" t="s">
        <v>23</v>
      </c>
      <c r="I293">
        <v>12</v>
      </c>
      <c r="J293" t="s">
        <v>24</v>
      </c>
      <c r="K293" t="s">
        <v>25</v>
      </c>
      <c r="L293" t="s">
        <v>26</v>
      </c>
      <c r="M293">
        <v>40</v>
      </c>
      <c r="N293">
        <v>96</v>
      </c>
      <c r="O293" t="s">
        <v>64</v>
      </c>
      <c r="P293">
        <v>20</v>
      </c>
      <c r="Q293">
        <v>40</v>
      </c>
      <c r="R293">
        <v>40</v>
      </c>
      <c r="S293">
        <v>60</v>
      </c>
      <c r="T293">
        <v>24</v>
      </c>
      <c r="U293" t="s">
        <v>28</v>
      </c>
      <c r="V293" s="2">
        <v>0.41666666666666669</v>
      </c>
      <c r="W293" s="2">
        <v>0.59375</v>
      </c>
      <c r="X293">
        <v>12</v>
      </c>
    </row>
    <row r="294" spans="1:24" x14ac:dyDescent="0.3">
      <c r="A294">
        <v>530</v>
      </c>
      <c r="B294">
        <v>39</v>
      </c>
      <c r="C294">
        <v>-1</v>
      </c>
      <c r="D294" s="1">
        <v>41210</v>
      </c>
      <c r="E294">
        <v>541</v>
      </c>
      <c r="F294">
        <v>51</v>
      </c>
      <c r="G294" t="s">
        <v>22</v>
      </c>
      <c r="H294" t="s">
        <v>37</v>
      </c>
      <c r="I294">
        <v>12</v>
      </c>
      <c r="J294" t="s">
        <v>24</v>
      </c>
      <c r="K294" t="s">
        <v>25</v>
      </c>
      <c r="L294" t="s">
        <v>29</v>
      </c>
      <c r="M294">
        <v>39</v>
      </c>
      <c r="N294">
        <v>96</v>
      </c>
      <c r="O294" t="s">
        <v>39</v>
      </c>
      <c r="P294">
        <v>20</v>
      </c>
      <c r="Q294">
        <v>40</v>
      </c>
      <c r="R294">
        <v>40</v>
      </c>
      <c r="S294">
        <v>60</v>
      </c>
      <c r="T294">
        <v>25</v>
      </c>
      <c r="U294" t="s">
        <v>28</v>
      </c>
      <c r="V294" s="2">
        <v>0.40625</v>
      </c>
      <c r="W294" s="2">
        <v>0.59375</v>
      </c>
      <c r="X294">
        <v>13</v>
      </c>
    </row>
    <row r="295" spans="1:24" x14ac:dyDescent="0.3">
      <c r="A295">
        <v>505</v>
      </c>
      <c r="B295">
        <v>86</v>
      </c>
      <c r="C295">
        <v>-49</v>
      </c>
      <c r="D295" s="1">
        <v>41211</v>
      </c>
      <c r="E295">
        <v>1698</v>
      </c>
      <c r="F295">
        <v>23</v>
      </c>
      <c r="G295" t="s">
        <v>40</v>
      </c>
      <c r="H295" t="s">
        <v>30</v>
      </c>
      <c r="I295">
        <v>26</v>
      </c>
      <c r="J295" t="s">
        <v>41</v>
      </c>
      <c r="K295" t="s">
        <v>46</v>
      </c>
      <c r="L295" t="s">
        <v>47</v>
      </c>
      <c r="M295">
        <v>-39</v>
      </c>
      <c r="N295">
        <v>116</v>
      </c>
      <c r="O295" t="s">
        <v>65</v>
      </c>
      <c r="P295">
        <v>110</v>
      </c>
      <c r="Q295">
        <v>40</v>
      </c>
      <c r="R295">
        <v>10</v>
      </c>
      <c r="S295">
        <v>150</v>
      </c>
      <c r="T295">
        <v>49</v>
      </c>
      <c r="U295" t="s">
        <v>28</v>
      </c>
      <c r="V295" s="2">
        <v>-0.33620689655172414</v>
      </c>
      <c r="W295" s="2">
        <v>0.25862068965517243</v>
      </c>
      <c r="X295">
        <v>23</v>
      </c>
    </row>
    <row r="296" spans="1:24" x14ac:dyDescent="0.3">
      <c r="A296">
        <v>318</v>
      </c>
      <c r="B296">
        <v>46</v>
      </c>
      <c r="C296">
        <v>5</v>
      </c>
      <c r="D296" s="1">
        <v>41212</v>
      </c>
      <c r="E296">
        <v>449</v>
      </c>
      <c r="F296">
        <v>67</v>
      </c>
      <c r="G296" t="s">
        <v>40</v>
      </c>
      <c r="H296" t="s">
        <v>30</v>
      </c>
      <c r="I296">
        <v>14</v>
      </c>
      <c r="J296" t="s">
        <v>41</v>
      </c>
      <c r="K296" t="s">
        <v>42</v>
      </c>
      <c r="L296" t="s">
        <v>43</v>
      </c>
      <c r="M296">
        <v>45</v>
      </c>
      <c r="N296">
        <v>120</v>
      </c>
      <c r="O296" t="s">
        <v>56</v>
      </c>
      <c r="P296">
        <v>20</v>
      </c>
      <c r="Q296">
        <v>40</v>
      </c>
      <c r="R296">
        <v>40</v>
      </c>
      <c r="S296">
        <v>60</v>
      </c>
      <c r="T296">
        <v>37</v>
      </c>
      <c r="U296" t="s">
        <v>28</v>
      </c>
      <c r="V296" s="2">
        <v>0.375</v>
      </c>
      <c r="W296" s="2">
        <v>0.6166666666666667</v>
      </c>
      <c r="X296">
        <v>23</v>
      </c>
    </row>
    <row r="297" spans="1:24" x14ac:dyDescent="0.3">
      <c r="A297">
        <v>515</v>
      </c>
      <c r="B297">
        <v>31</v>
      </c>
      <c r="C297">
        <v>-20</v>
      </c>
      <c r="D297" s="1">
        <v>41213</v>
      </c>
      <c r="E297">
        <v>1000</v>
      </c>
      <c r="F297">
        <v>37</v>
      </c>
      <c r="G297" t="s">
        <v>40</v>
      </c>
      <c r="H297" t="s">
        <v>23</v>
      </c>
      <c r="I297">
        <v>9</v>
      </c>
      <c r="J297" t="s">
        <v>41</v>
      </c>
      <c r="K297" t="s">
        <v>46</v>
      </c>
      <c r="L297" t="s">
        <v>53</v>
      </c>
      <c r="M297">
        <v>10</v>
      </c>
      <c r="N297">
        <v>72</v>
      </c>
      <c r="O297" t="s">
        <v>44</v>
      </c>
      <c r="P297">
        <v>20</v>
      </c>
      <c r="Q297">
        <v>40</v>
      </c>
      <c r="R297">
        <v>30</v>
      </c>
      <c r="S297">
        <v>60</v>
      </c>
      <c r="T297">
        <v>30</v>
      </c>
      <c r="U297" t="s">
        <v>36</v>
      </c>
      <c r="V297" s="2">
        <v>0.1388888888888889</v>
      </c>
      <c r="W297" s="2">
        <v>0.56944444444444442</v>
      </c>
      <c r="X297">
        <v>21</v>
      </c>
    </row>
    <row r="298" spans="1:24" x14ac:dyDescent="0.3">
      <c r="A298">
        <v>505</v>
      </c>
      <c r="B298">
        <v>45</v>
      </c>
      <c r="C298">
        <v>-19</v>
      </c>
      <c r="D298" s="1">
        <v>41214</v>
      </c>
      <c r="E298">
        <v>320</v>
      </c>
      <c r="F298">
        <v>64</v>
      </c>
      <c r="G298" t="s">
        <v>40</v>
      </c>
      <c r="H298" t="s">
        <v>30</v>
      </c>
      <c r="I298">
        <v>41</v>
      </c>
      <c r="J298" t="s">
        <v>41</v>
      </c>
      <c r="K298" t="s">
        <v>42</v>
      </c>
      <c r="L298" t="s">
        <v>54</v>
      </c>
      <c r="M298">
        <v>-9</v>
      </c>
      <c r="N298">
        <v>116</v>
      </c>
      <c r="O298" t="s">
        <v>65</v>
      </c>
      <c r="P298">
        <v>20</v>
      </c>
      <c r="Q298">
        <v>40</v>
      </c>
      <c r="R298">
        <v>10</v>
      </c>
      <c r="S298">
        <v>60</v>
      </c>
      <c r="T298">
        <v>70</v>
      </c>
      <c r="U298" t="s">
        <v>36</v>
      </c>
      <c r="V298" s="2">
        <v>-7.7586206896551727E-2</v>
      </c>
      <c r="W298" s="2">
        <v>0.61206896551724133</v>
      </c>
      <c r="X298">
        <v>29</v>
      </c>
    </row>
    <row r="299" spans="1:24" x14ac:dyDescent="0.3">
      <c r="A299">
        <v>435</v>
      </c>
      <c r="B299">
        <v>32</v>
      </c>
      <c r="C299">
        <v>2</v>
      </c>
      <c r="D299" s="1">
        <v>41215</v>
      </c>
      <c r="E299">
        <v>833</v>
      </c>
      <c r="F299">
        <v>47</v>
      </c>
      <c r="G299" t="s">
        <v>40</v>
      </c>
      <c r="H299" t="s">
        <v>37</v>
      </c>
      <c r="I299">
        <v>8</v>
      </c>
      <c r="J299" t="s">
        <v>41</v>
      </c>
      <c r="K299" t="s">
        <v>42</v>
      </c>
      <c r="L299" t="s">
        <v>55</v>
      </c>
      <c r="M299">
        <v>42</v>
      </c>
      <c r="N299">
        <v>84</v>
      </c>
      <c r="O299" t="s">
        <v>50</v>
      </c>
      <c r="P299">
        <v>20</v>
      </c>
      <c r="Q299">
        <v>40</v>
      </c>
      <c r="R299">
        <v>40</v>
      </c>
      <c r="S299">
        <v>60</v>
      </c>
      <c r="T299">
        <v>19</v>
      </c>
      <c r="U299" t="s">
        <v>36</v>
      </c>
      <c r="V299" s="2">
        <v>0.5</v>
      </c>
      <c r="W299" s="2">
        <v>0.61904761904761907</v>
      </c>
      <c r="X299">
        <v>11</v>
      </c>
    </row>
    <row r="300" spans="1:24" x14ac:dyDescent="0.3">
      <c r="A300">
        <v>505</v>
      </c>
      <c r="B300">
        <v>31</v>
      </c>
      <c r="C300">
        <v>-21</v>
      </c>
      <c r="D300" s="1">
        <v>41216</v>
      </c>
      <c r="E300">
        <v>1000</v>
      </c>
      <c r="F300">
        <v>37</v>
      </c>
      <c r="G300" t="s">
        <v>40</v>
      </c>
      <c r="H300" t="s">
        <v>30</v>
      </c>
      <c r="I300">
        <v>9</v>
      </c>
      <c r="J300" t="s">
        <v>24</v>
      </c>
      <c r="K300" t="s">
        <v>25</v>
      </c>
      <c r="L300" t="s">
        <v>26</v>
      </c>
      <c r="M300">
        <v>9</v>
      </c>
      <c r="N300">
        <v>72</v>
      </c>
      <c r="O300" t="s">
        <v>65</v>
      </c>
      <c r="P300">
        <v>10</v>
      </c>
      <c r="Q300">
        <v>40</v>
      </c>
      <c r="R300">
        <v>30</v>
      </c>
      <c r="S300">
        <v>50</v>
      </c>
      <c r="T300">
        <v>31</v>
      </c>
      <c r="U300" t="s">
        <v>28</v>
      </c>
      <c r="V300" s="2">
        <v>0.125</v>
      </c>
      <c r="W300" s="2">
        <v>0.56944444444444442</v>
      </c>
      <c r="X300">
        <v>22</v>
      </c>
    </row>
    <row r="301" spans="1:24" x14ac:dyDescent="0.3">
      <c r="A301">
        <v>314</v>
      </c>
      <c r="B301">
        <v>39</v>
      </c>
      <c r="C301">
        <v>-11</v>
      </c>
      <c r="D301" s="1">
        <v>41217</v>
      </c>
      <c r="E301">
        <v>244</v>
      </c>
      <c r="F301">
        <v>53</v>
      </c>
      <c r="G301" t="s">
        <v>40</v>
      </c>
      <c r="H301" t="s">
        <v>23</v>
      </c>
      <c r="I301">
        <v>12</v>
      </c>
      <c r="J301" t="s">
        <v>24</v>
      </c>
      <c r="K301" t="s">
        <v>33</v>
      </c>
      <c r="L301" t="s">
        <v>34</v>
      </c>
      <c r="M301">
        <v>19</v>
      </c>
      <c r="N301">
        <v>98</v>
      </c>
      <c r="O301" t="s">
        <v>59</v>
      </c>
      <c r="P301">
        <v>20</v>
      </c>
      <c r="Q301">
        <v>40</v>
      </c>
      <c r="R301">
        <v>30</v>
      </c>
      <c r="S301">
        <v>60</v>
      </c>
      <c r="T301">
        <v>40</v>
      </c>
      <c r="U301" t="s">
        <v>36</v>
      </c>
      <c r="V301" s="2">
        <v>0.19387755102040816</v>
      </c>
      <c r="W301" s="2">
        <v>0.60204081632653061</v>
      </c>
      <c r="X301">
        <v>28</v>
      </c>
    </row>
    <row r="302" spans="1:24" x14ac:dyDescent="0.3">
      <c r="A302">
        <v>203</v>
      </c>
      <c r="B302">
        <v>24</v>
      </c>
      <c r="C302">
        <v>-13</v>
      </c>
      <c r="D302" s="1">
        <v>41218</v>
      </c>
      <c r="E302">
        <v>806</v>
      </c>
      <c r="F302">
        <v>36</v>
      </c>
      <c r="G302" t="s">
        <v>40</v>
      </c>
      <c r="H302" t="s">
        <v>32</v>
      </c>
      <c r="I302">
        <v>6</v>
      </c>
      <c r="J302" t="s">
        <v>24</v>
      </c>
      <c r="K302" t="s">
        <v>33</v>
      </c>
      <c r="L302" t="s">
        <v>38</v>
      </c>
      <c r="M302">
        <v>27</v>
      </c>
      <c r="N302">
        <v>64</v>
      </c>
      <c r="O302" t="s">
        <v>45</v>
      </c>
      <c r="P302">
        <v>20</v>
      </c>
      <c r="Q302">
        <v>40</v>
      </c>
      <c r="R302">
        <v>40</v>
      </c>
      <c r="S302">
        <v>60</v>
      </c>
      <c r="T302">
        <v>18</v>
      </c>
      <c r="U302" t="s">
        <v>36</v>
      </c>
      <c r="V302" s="2">
        <v>0.421875</v>
      </c>
      <c r="W302" s="2">
        <v>0.625</v>
      </c>
      <c r="X302">
        <v>12</v>
      </c>
    </row>
    <row r="303" spans="1:24" x14ac:dyDescent="0.3">
      <c r="A303">
        <v>603</v>
      </c>
      <c r="B303">
        <v>0</v>
      </c>
      <c r="C303">
        <v>7</v>
      </c>
      <c r="D303" s="1">
        <v>41219</v>
      </c>
      <c r="E303">
        <v>430</v>
      </c>
      <c r="F303">
        <v>43</v>
      </c>
      <c r="G303" t="s">
        <v>40</v>
      </c>
      <c r="H303" t="s">
        <v>32</v>
      </c>
      <c r="I303">
        <v>0</v>
      </c>
      <c r="J303" t="s">
        <v>24</v>
      </c>
      <c r="K303" t="s">
        <v>33</v>
      </c>
      <c r="L303" t="s">
        <v>38</v>
      </c>
      <c r="M303">
        <v>47</v>
      </c>
      <c r="N303">
        <v>46</v>
      </c>
      <c r="O303" t="s">
        <v>52</v>
      </c>
      <c r="P303">
        <v>0</v>
      </c>
      <c r="Q303">
        <v>40</v>
      </c>
      <c r="R303">
        <v>40</v>
      </c>
      <c r="S303">
        <v>40</v>
      </c>
      <c r="T303">
        <v>11</v>
      </c>
      <c r="U303" t="s">
        <v>36</v>
      </c>
      <c r="V303" s="2">
        <v>1.0217391304347827</v>
      </c>
      <c r="W303" s="2">
        <v>1</v>
      </c>
      <c r="X303">
        <v>11</v>
      </c>
    </row>
    <row r="304" spans="1:24" x14ac:dyDescent="0.3">
      <c r="A304">
        <v>435</v>
      </c>
      <c r="B304">
        <v>45</v>
      </c>
      <c r="C304">
        <v>-29</v>
      </c>
      <c r="D304" s="1">
        <v>41220</v>
      </c>
      <c r="E304">
        <v>320</v>
      </c>
      <c r="F304">
        <v>64</v>
      </c>
      <c r="G304" t="s">
        <v>40</v>
      </c>
      <c r="H304" t="s">
        <v>37</v>
      </c>
      <c r="I304">
        <v>41</v>
      </c>
      <c r="J304" t="s">
        <v>24</v>
      </c>
      <c r="K304" t="s">
        <v>33</v>
      </c>
      <c r="L304" t="s">
        <v>34</v>
      </c>
      <c r="M304">
        <v>-9</v>
      </c>
      <c r="N304">
        <v>116</v>
      </c>
      <c r="O304" t="s">
        <v>50</v>
      </c>
      <c r="P304">
        <v>10</v>
      </c>
      <c r="Q304">
        <v>40</v>
      </c>
      <c r="R304">
        <v>20</v>
      </c>
      <c r="S304">
        <v>50</v>
      </c>
      <c r="T304">
        <v>70</v>
      </c>
      <c r="U304" t="s">
        <v>36</v>
      </c>
      <c r="V304" s="2">
        <v>-7.7586206896551727E-2</v>
      </c>
      <c r="W304" s="2">
        <v>0.61206896551724133</v>
      </c>
      <c r="X304">
        <v>29</v>
      </c>
    </row>
    <row r="305" spans="1:24" x14ac:dyDescent="0.3">
      <c r="A305">
        <v>206</v>
      </c>
      <c r="B305">
        <v>60</v>
      </c>
      <c r="C305">
        <v>-10</v>
      </c>
      <c r="D305" s="1">
        <v>41221</v>
      </c>
      <c r="E305">
        <v>606</v>
      </c>
      <c r="F305">
        <v>84</v>
      </c>
      <c r="G305" t="s">
        <v>40</v>
      </c>
      <c r="H305" t="s">
        <v>37</v>
      </c>
      <c r="I305">
        <v>54</v>
      </c>
      <c r="J305" t="s">
        <v>24</v>
      </c>
      <c r="K305" t="s">
        <v>33</v>
      </c>
      <c r="L305" t="s">
        <v>38</v>
      </c>
      <c r="M305">
        <v>0</v>
      </c>
      <c r="N305">
        <v>153</v>
      </c>
      <c r="O305" t="s">
        <v>61</v>
      </c>
      <c r="P305">
        <v>20</v>
      </c>
      <c r="Q305">
        <v>40</v>
      </c>
      <c r="R305">
        <v>10</v>
      </c>
      <c r="S305">
        <v>60</v>
      </c>
      <c r="T305">
        <v>84</v>
      </c>
      <c r="U305" t="s">
        <v>36</v>
      </c>
      <c r="V305" s="2">
        <v>0</v>
      </c>
      <c r="W305" s="2">
        <v>0.60784313725490191</v>
      </c>
      <c r="X305">
        <v>30</v>
      </c>
    </row>
    <row r="306" spans="1:24" x14ac:dyDescent="0.3">
      <c r="A306">
        <v>440</v>
      </c>
      <c r="B306">
        <v>32</v>
      </c>
      <c r="C306">
        <v>13</v>
      </c>
      <c r="D306" s="1">
        <v>41222</v>
      </c>
      <c r="E306">
        <v>482</v>
      </c>
      <c r="F306">
        <v>48</v>
      </c>
      <c r="G306" t="s">
        <v>22</v>
      </c>
      <c r="H306" t="s">
        <v>23</v>
      </c>
      <c r="I306">
        <v>8</v>
      </c>
      <c r="J306" t="s">
        <v>24</v>
      </c>
      <c r="K306" t="s">
        <v>25</v>
      </c>
      <c r="L306" t="s">
        <v>58</v>
      </c>
      <c r="M306">
        <v>43</v>
      </c>
      <c r="N306">
        <v>85</v>
      </c>
      <c r="O306" t="s">
        <v>66</v>
      </c>
      <c r="P306">
        <v>30</v>
      </c>
      <c r="Q306">
        <v>40</v>
      </c>
      <c r="R306">
        <v>30</v>
      </c>
      <c r="S306">
        <v>70</v>
      </c>
      <c r="T306">
        <v>19</v>
      </c>
      <c r="U306" t="s">
        <v>28</v>
      </c>
      <c r="V306" s="2">
        <v>0.50588235294117645</v>
      </c>
      <c r="W306" s="2">
        <v>0.62352941176470589</v>
      </c>
      <c r="X306">
        <v>11</v>
      </c>
    </row>
    <row r="307" spans="1:24" x14ac:dyDescent="0.3">
      <c r="A307">
        <v>561</v>
      </c>
      <c r="B307">
        <v>54</v>
      </c>
      <c r="C307">
        <v>9</v>
      </c>
      <c r="D307" s="1">
        <v>41223</v>
      </c>
      <c r="E307">
        <v>391</v>
      </c>
      <c r="F307">
        <v>67</v>
      </c>
      <c r="G307" t="s">
        <v>22</v>
      </c>
      <c r="H307" t="s">
        <v>32</v>
      </c>
      <c r="I307">
        <v>20</v>
      </c>
      <c r="J307" t="s">
        <v>24</v>
      </c>
      <c r="K307" t="s">
        <v>25</v>
      </c>
      <c r="L307" t="s">
        <v>26</v>
      </c>
      <c r="M307">
        <v>19</v>
      </c>
      <c r="N307">
        <v>129</v>
      </c>
      <c r="O307" t="s">
        <v>35</v>
      </c>
      <c r="P307">
        <v>40</v>
      </c>
      <c r="Q307">
        <v>40</v>
      </c>
      <c r="R307">
        <v>10</v>
      </c>
      <c r="S307">
        <v>80</v>
      </c>
      <c r="T307">
        <v>54</v>
      </c>
      <c r="U307" t="s">
        <v>28</v>
      </c>
      <c r="V307" s="2">
        <v>0.14728682170542637</v>
      </c>
      <c r="W307" s="2">
        <v>0.58139534883720934</v>
      </c>
      <c r="X307">
        <v>34</v>
      </c>
    </row>
    <row r="308" spans="1:24" x14ac:dyDescent="0.3">
      <c r="A308">
        <v>920</v>
      </c>
      <c r="B308">
        <v>22</v>
      </c>
      <c r="C308">
        <v>-14</v>
      </c>
      <c r="D308" s="1">
        <v>41224</v>
      </c>
      <c r="E308">
        <v>570</v>
      </c>
      <c r="F308">
        <v>30</v>
      </c>
      <c r="G308" t="s">
        <v>40</v>
      </c>
      <c r="H308" t="s">
        <v>23</v>
      </c>
      <c r="I308">
        <v>7</v>
      </c>
      <c r="J308" t="s">
        <v>41</v>
      </c>
      <c r="K308" t="s">
        <v>42</v>
      </c>
      <c r="L308" t="s">
        <v>43</v>
      </c>
      <c r="M308">
        <v>16</v>
      </c>
      <c r="N308">
        <v>55</v>
      </c>
      <c r="O308" t="s">
        <v>60</v>
      </c>
      <c r="P308">
        <v>20</v>
      </c>
      <c r="Q308">
        <v>40</v>
      </c>
      <c r="R308">
        <v>30</v>
      </c>
      <c r="S308">
        <v>60</v>
      </c>
      <c r="T308">
        <v>19</v>
      </c>
      <c r="U308" t="s">
        <v>28</v>
      </c>
      <c r="V308" s="2">
        <v>0.29090909090909089</v>
      </c>
      <c r="W308" s="2">
        <v>0.6</v>
      </c>
      <c r="X308">
        <v>12</v>
      </c>
    </row>
    <row r="309" spans="1:24" x14ac:dyDescent="0.3">
      <c r="A309">
        <v>505</v>
      </c>
      <c r="B309">
        <v>35</v>
      </c>
      <c r="C309">
        <v>-8</v>
      </c>
      <c r="D309" s="1">
        <v>41225</v>
      </c>
      <c r="E309">
        <v>248</v>
      </c>
      <c r="F309">
        <v>47</v>
      </c>
      <c r="G309" t="s">
        <v>40</v>
      </c>
      <c r="H309" t="s">
        <v>30</v>
      </c>
      <c r="I309">
        <v>11</v>
      </c>
      <c r="J309" t="s">
        <v>41</v>
      </c>
      <c r="K309" t="s">
        <v>42</v>
      </c>
      <c r="L309" t="s">
        <v>43</v>
      </c>
      <c r="M309">
        <v>12</v>
      </c>
      <c r="N309">
        <v>87</v>
      </c>
      <c r="O309" t="s">
        <v>65</v>
      </c>
      <c r="P309">
        <v>20</v>
      </c>
      <c r="Q309">
        <v>40</v>
      </c>
      <c r="R309">
        <v>20</v>
      </c>
      <c r="S309">
        <v>60</v>
      </c>
      <c r="T309">
        <v>39</v>
      </c>
      <c r="U309" t="s">
        <v>28</v>
      </c>
      <c r="V309" s="2">
        <v>0.13793103448275862</v>
      </c>
      <c r="W309" s="2">
        <v>0.5977011494252874</v>
      </c>
      <c r="X309">
        <v>28</v>
      </c>
    </row>
    <row r="310" spans="1:24" x14ac:dyDescent="0.3">
      <c r="A310">
        <v>702</v>
      </c>
      <c r="B310">
        <v>29</v>
      </c>
      <c r="C310">
        <v>-13</v>
      </c>
      <c r="D310" s="1">
        <v>41226</v>
      </c>
      <c r="E310">
        <v>1003</v>
      </c>
      <c r="F310">
        <v>35</v>
      </c>
      <c r="G310" t="s">
        <v>40</v>
      </c>
      <c r="H310" t="s">
        <v>37</v>
      </c>
      <c r="I310">
        <v>8</v>
      </c>
      <c r="J310" t="s">
        <v>41</v>
      </c>
      <c r="K310" t="s">
        <v>46</v>
      </c>
      <c r="L310" t="s">
        <v>47</v>
      </c>
      <c r="M310">
        <v>7</v>
      </c>
      <c r="N310">
        <v>68</v>
      </c>
      <c r="O310" t="s">
        <v>49</v>
      </c>
      <c r="P310">
        <v>30</v>
      </c>
      <c r="Q310">
        <v>40</v>
      </c>
      <c r="R310">
        <v>20</v>
      </c>
      <c r="S310">
        <v>70</v>
      </c>
      <c r="T310">
        <v>30</v>
      </c>
      <c r="U310" t="s">
        <v>28</v>
      </c>
      <c r="V310" s="2">
        <v>0.10294117647058823</v>
      </c>
      <c r="W310" s="2">
        <v>0.57352941176470584</v>
      </c>
      <c r="X310">
        <v>22</v>
      </c>
    </row>
    <row r="311" spans="1:24" x14ac:dyDescent="0.3">
      <c r="A311">
        <v>515</v>
      </c>
      <c r="B311">
        <v>29</v>
      </c>
      <c r="C311">
        <v>-13</v>
      </c>
      <c r="D311" s="1">
        <v>41227</v>
      </c>
      <c r="E311">
        <v>1003</v>
      </c>
      <c r="F311">
        <v>35</v>
      </c>
      <c r="G311" t="s">
        <v>40</v>
      </c>
      <c r="H311" t="s">
        <v>23</v>
      </c>
      <c r="I311">
        <v>8</v>
      </c>
      <c r="J311" t="s">
        <v>41</v>
      </c>
      <c r="K311" t="s">
        <v>46</v>
      </c>
      <c r="L311" t="s">
        <v>53</v>
      </c>
      <c r="M311">
        <v>7</v>
      </c>
      <c r="N311">
        <v>68</v>
      </c>
      <c r="O311" t="s">
        <v>44</v>
      </c>
      <c r="P311">
        <v>20</v>
      </c>
      <c r="Q311">
        <v>40</v>
      </c>
      <c r="R311">
        <v>20</v>
      </c>
      <c r="S311">
        <v>60</v>
      </c>
      <c r="T311">
        <v>30</v>
      </c>
      <c r="U311" t="s">
        <v>36</v>
      </c>
      <c r="V311" s="2">
        <v>0.10294117647058823</v>
      </c>
      <c r="W311" s="2">
        <v>0.57352941176470584</v>
      </c>
      <c r="X311">
        <v>22</v>
      </c>
    </row>
    <row r="312" spans="1:24" x14ac:dyDescent="0.3">
      <c r="A312">
        <v>603</v>
      </c>
      <c r="B312">
        <v>34</v>
      </c>
      <c r="C312">
        <v>-4</v>
      </c>
      <c r="D312" s="1">
        <v>41228</v>
      </c>
      <c r="E312">
        <v>211</v>
      </c>
      <c r="F312">
        <v>42</v>
      </c>
      <c r="G312" t="s">
        <v>40</v>
      </c>
      <c r="H312" t="s">
        <v>32</v>
      </c>
      <c r="I312">
        <v>12</v>
      </c>
      <c r="J312" t="s">
        <v>41</v>
      </c>
      <c r="K312" t="s">
        <v>42</v>
      </c>
      <c r="L312" t="s">
        <v>67</v>
      </c>
      <c r="M312">
        <v>-4</v>
      </c>
      <c r="N312">
        <v>81</v>
      </c>
      <c r="O312" t="s">
        <v>52</v>
      </c>
      <c r="P312">
        <v>30</v>
      </c>
      <c r="Q312">
        <v>40</v>
      </c>
      <c r="R312">
        <v>0</v>
      </c>
      <c r="S312">
        <v>70</v>
      </c>
      <c r="T312">
        <v>45</v>
      </c>
      <c r="U312" t="s">
        <v>36</v>
      </c>
      <c r="V312" s="2">
        <v>-4.9382716049382713E-2</v>
      </c>
      <c r="W312" s="2">
        <v>0.58024691358024694</v>
      </c>
      <c r="X312">
        <v>33</v>
      </c>
    </row>
    <row r="313" spans="1:24" x14ac:dyDescent="0.3">
      <c r="A313">
        <v>580</v>
      </c>
      <c r="B313">
        <v>32</v>
      </c>
      <c r="C313">
        <v>13</v>
      </c>
      <c r="D313" s="1">
        <v>41229</v>
      </c>
      <c r="E313">
        <v>482</v>
      </c>
      <c r="F313">
        <v>48</v>
      </c>
      <c r="G313" t="s">
        <v>40</v>
      </c>
      <c r="H313" t="s">
        <v>30</v>
      </c>
      <c r="I313">
        <v>8</v>
      </c>
      <c r="J313" t="s">
        <v>41</v>
      </c>
      <c r="K313" t="s">
        <v>42</v>
      </c>
      <c r="L313" t="s">
        <v>54</v>
      </c>
      <c r="M313">
        <v>43</v>
      </c>
      <c r="N313">
        <v>85</v>
      </c>
      <c r="O313" t="s">
        <v>48</v>
      </c>
      <c r="P313">
        <v>20</v>
      </c>
      <c r="Q313">
        <v>40</v>
      </c>
      <c r="R313">
        <v>30</v>
      </c>
      <c r="S313">
        <v>60</v>
      </c>
      <c r="T313">
        <v>19</v>
      </c>
      <c r="U313" t="s">
        <v>36</v>
      </c>
      <c r="V313" s="2">
        <v>0.50588235294117645</v>
      </c>
      <c r="W313" s="2">
        <v>0.62352941176470589</v>
      </c>
      <c r="X313">
        <v>11</v>
      </c>
    </row>
    <row r="314" spans="1:24" x14ac:dyDescent="0.3">
      <c r="A314">
        <v>775</v>
      </c>
      <c r="B314">
        <v>0</v>
      </c>
      <c r="C314">
        <v>16</v>
      </c>
      <c r="D314" s="1">
        <v>41230</v>
      </c>
      <c r="E314">
        <v>387</v>
      </c>
      <c r="F314">
        <v>43</v>
      </c>
      <c r="G314" t="s">
        <v>40</v>
      </c>
      <c r="H314" t="s">
        <v>37</v>
      </c>
      <c r="I314">
        <v>0</v>
      </c>
      <c r="J314" t="s">
        <v>41</v>
      </c>
      <c r="K314" t="s">
        <v>42</v>
      </c>
      <c r="L314" t="s">
        <v>55</v>
      </c>
      <c r="M314">
        <v>46</v>
      </c>
      <c r="N314">
        <v>46</v>
      </c>
      <c r="O314" t="s">
        <v>49</v>
      </c>
      <c r="P314">
        <v>0</v>
      </c>
      <c r="Q314">
        <v>40</v>
      </c>
      <c r="R314">
        <v>30</v>
      </c>
      <c r="S314">
        <v>40</v>
      </c>
      <c r="T314">
        <v>12</v>
      </c>
      <c r="U314" t="s">
        <v>36</v>
      </c>
      <c r="V314" s="2">
        <v>1</v>
      </c>
      <c r="W314" s="2">
        <v>1</v>
      </c>
      <c r="X314">
        <v>12</v>
      </c>
    </row>
    <row r="315" spans="1:24" x14ac:dyDescent="0.3">
      <c r="A315">
        <v>435</v>
      </c>
      <c r="B315">
        <v>33</v>
      </c>
      <c r="C315">
        <v>10</v>
      </c>
      <c r="D315" s="1">
        <v>41231</v>
      </c>
      <c r="E315">
        <v>836</v>
      </c>
      <c r="F315">
        <v>48</v>
      </c>
      <c r="G315" t="s">
        <v>40</v>
      </c>
      <c r="H315" t="s">
        <v>37</v>
      </c>
      <c r="I315">
        <v>9</v>
      </c>
      <c r="J315" t="s">
        <v>41</v>
      </c>
      <c r="K315" t="s">
        <v>42</v>
      </c>
      <c r="L315" t="s">
        <v>55</v>
      </c>
      <c r="M315">
        <v>40</v>
      </c>
      <c r="N315">
        <v>86</v>
      </c>
      <c r="O315" t="s">
        <v>50</v>
      </c>
      <c r="P315">
        <v>30</v>
      </c>
      <c r="Q315">
        <v>40</v>
      </c>
      <c r="R315">
        <v>30</v>
      </c>
      <c r="S315">
        <v>70</v>
      </c>
      <c r="T315">
        <v>21</v>
      </c>
      <c r="U315" t="s">
        <v>36</v>
      </c>
      <c r="V315" s="2">
        <v>0.46511627906976744</v>
      </c>
      <c r="W315" s="2">
        <v>0.61627906976744184</v>
      </c>
      <c r="X315">
        <v>12</v>
      </c>
    </row>
    <row r="316" spans="1:24" x14ac:dyDescent="0.3">
      <c r="A316">
        <v>314</v>
      </c>
      <c r="B316">
        <v>82</v>
      </c>
      <c r="C316">
        <v>-13</v>
      </c>
      <c r="D316" s="1">
        <v>41232</v>
      </c>
      <c r="E316">
        <v>1804</v>
      </c>
      <c r="F316">
        <v>40</v>
      </c>
      <c r="G316" t="s">
        <v>40</v>
      </c>
      <c r="H316" t="s">
        <v>23</v>
      </c>
      <c r="I316">
        <v>25</v>
      </c>
      <c r="J316" t="s">
        <v>24</v>
      </c>
      <c r="K316" t="s">
        <v>25</v>
      </c>
      <c r="L316" t="s">
        <v>26</v>
      </c>
      <c r="M316">
        <v>-13</v>
      </c>
      <c r="N316">
        <v>130</v>
      </c>
      <c r="O316" t="s">
        <v>59</v>
      </c>
      <c r="P316">
        <v>70</v>
      </c>
      <c r="Q316">
        <v>40</v>
      </c>
      <c r="R316">
        <v>0</v>
      </c>
      <c r="S316">
        <v>110</v>
      </c>
      <c r="T316">
        <v>49</v>
      </c>
      <c r="U316" t="s">
        <v>28</v>
      </c>
      <c r="V316" s="2">
        <v>-0.1</v>
      </c>
      <c r="W316" s="2">
        <v>0.36923076923076925</v>
      </c>
      <c r="X316">
        <v>24</v>
      </c>
    </row>
    <row r="317" spans="1:24" x14ac:dyDescent="0.3">
      <c r="A317">
        <v>435</v>
      </c>
      <c r="B317">
        <v>82</v>
      </c>
      <c r="C317">
        <v>-12</v>
      </c>
      <c r="D317" s="1">
        <v>41233</v>
      </c>
      <c r="E317">
        <v>1804</v>
      </c>
      <c r="F317">
        <v>40</v>
      </c>
      <c r="G317" t="s">
        <v>40</v>
      </c>
      <c r="H317" t="s">
        <v>37</v>
      </c>
      <c r="I317">
        <v>25</v>
      </c>
      <c r="J317" t="s">
        <v>24</v>
      </c>
      <c r="K317" t="s">
        <v>25</v>
      </c>
      <c r="L317" t="s">
        <v>29</v>
      </c>
      <c r="M317">
        <v>-12</v>
      </c>
      <c r="N317">
        <v>130</v>
      </c>
      <c r="O317" t="s">
        <v>50</v>
      </c>
      <c r="P317">
        <v>70</v>
      </c>
      <c r="Q317">
        <v>40</v>
      </c>
      <c r="R317">
        <v>0</v>
      </c>
      <c r="S317">
        <v>110</v>
      </c>
      <c r="T317">
        <v>48</v>
      </c>
      <c r="U317" t="s">
        <v>28</v>
      </c>
      <c r="V317" s="2">
        <v>-9.2307692307692313E-2</v>
      </c>
      <c r="W317" s="2">
        <v>0.36923076923076925</v>
      </c>
      <c r="X317">
        <v>23</v>
      </c>
    </row>
    <row r="318" spans="1:24" x14ac:dyDescent="0.3">
      <c r="A318">
        <v>636</v>
      </c>
      <c r="B318">
        <v>35</v>
      </c>
      <c r="C318">
        <v>3</v>
      </c>
      <c r="D318" s="1">
        <v>41234</v>
      </c>
      <c r="E318">
        <v>248</v>
      </c>
      <c r="F318">
        <v>47</v>
      </c>
      <c r="G318" t="s">
        <v>40</v>
      </c>
      <c r="H318" t="s">
        <v>23</v>
      </c>
      <c r="I318">
        <v>11</v>
      </c>
      <c r="J318" t="s">
        <v>24</v>
      </c>
      <c r="K318" t="s">
        <v>33</v>
      </c>
      <c r="L318" t="s">
        <v>34</v>
      </c>
      <c r="M318">
        <v>13</v>
      </c>
      <c r="N318">
        <v>87</v>
      </c>
      <c r="O318" t="s">
        <v>59</v>
      </c>
      <c r="P318">
        <v>20</v>
      </c>
      <c r="Q318">
        <v>40</v>
      </c>
      <c r="R318">
        <v>10</v>
      </c>
      <c r="S318">
        <v>60</v>
      </c>
      <c r="T318">
        <v>38</v>
      </c>
      <c r="U318" t="s">
        <v>36</v>
      </c>
      <c r="V318" s="2">
        <v>0.14942528735632185</v>
      </c>
      <c r="W318" s="2">
        <v>0.5977011494252874</v>
      </c>
      <c r="X318">
        <v>27</v>
      </c>
    </row>
    <row r="319" spans="1:24" x14ac:dyDescent="0.3">
      <c r="A319">
        <v>573</v>
      </c>
      <c r="B319">
        <v>34</v>
      </c>
      <c r="C319">
        <v>-4</v>
      </c>
      <c r="D319" s="1">
        <v>41235</v>
      </c>
      <c r="E319">
        <v>211</v>
      </c>
      <c r="F319">
        <v>42</v>
      </c>
      <c r="G319" t="s">
        <v>40</v>
      </c>
      <c r="H319" t="s">
        <v>23</v>
      </c>
      <c r="I319">
        <v>12</v>
      </c>
      <c r="J319" t="s">
        <v>24</v>
      </c>
      <c r="K319" t="s">
        <v>33</v>
      </c>
      <c r="L319" t="s">
        <v>62</v>
      </c>
      <c r="M319">
        <v>-4</v>
      </c>
      <c r="N319">
        <v>81</v>
      </c>
      <c r="O319" t="s">
        <v>59</v>
      </c>
      <c r="P319">
        <v>20</v>
      </c>
      <c r="Q319">
        <v>40</v>
      </c>
      <c r="R319">
        <v>0</v>
      </c>
      <c r="S319">
        <v>60</v>
      </c>
      <c r="T319">
        <v>45</v>
      </c>
      <c r="U319" t="s">
        <v>36</v>
      </c>
      <c r="V319" s="2">
        <v>-4.9382716049382713E-2</v>
      </c>
      <c r="W319" s="2">
        <v>0.58024691358024694</v>
      </c>
      <c r="X319">
        <v>33</v>
      </c>
    </row>
    <row r="320" spans="1:24" x14ac:dyDescent="0.3">
      <c r="A320">
        <v>314</v>
      </c>
      <c r="B320">
        <v>33</v>
      </c>
      <c r="C320">
        <v>-6</v>
      </c>
      <c r="D320" s="1">
        <v>41236</v>
      </c>
      <c r="E320">
        <v>243</v>
      </c>
      <c r="F320">
        <v>41</v>
      </c>
      <c r="G320" t="s">
        <v>40</v>
      </c>
      <c r="H320" t="s">
        <v>23</v>
      </c>
      <c r="I320">
        <v>12</v>
      </c>
      <c r="J320" t="s">
        <v>24</v>
      </c>
      <c r="K320" t="s">
        <v>33</v>
      </c>
      <c r="L320" t="s">
        <v>38</v>
      </c>
      <c r="M320">
        <v>-6</v>
      </c>
      <c r="N320">
        <v>79</v>
      </c>
      <c r="O320" t="s">
        <v>59</v>
      </c>
      <c r="P320">
        <v>20</v>
      </c>
      <c r="Q320">
        <v>40</v>
      </c>
      <c r="R320">
        <v>0</v>
      </c>
      <c r="S320">
        <v>60</v>
      </c>
      <c r="T320">
        <v>45</v>
      </c>
      <c r="U320" t="s">
        <v>36</v>
      </c>
      <c r="V320" s="2">
        <v>-7.5949367088607597E-2</v>
      </c>
      <c r="W320" s="2">
        <v>0.58227848101265822</v>
      </c>
      <c r="X320">
        <v>33</v>
      </c>
    </row>
    <row r="321" spans="1:24" x14ac:dyDescent="0.3">
      <c r="A321">
        <v>603</v>
      </c>
      <c r="B321">
        <v>0</v>
      </c>
      <c r="C321">
        <v>17</v>
      </c>
      <c r="D321" s="1">
        <v>41237</v>
      </c>
      <c r="E321">
        <v>387</v>
      </c>
      <c r="F321">
        <v>43</v>
      </c>
      <c r="G321" t="s">
        <v>40</v>
      </c>
      <c r="H321" t="s">
        <v>32</v>
      </c>
      <c r="I321">
        <v>0</v>
      </c>
      <c r="J321" t="s">
        <v>24</v>
      </c>
      <c r="K321" t="s">
        <v>33</v>
      </c>
      <c r="L321" t="s">
        <v>38</v>
      </c>
      <c r="M321">
        <v>47</v>
      </c>
      <c r="N321">
        <v>46</v>
      </c>
      <c r="O321" t="s">
        <v>52</v>
      </c>
      <c r="P321">
        <v>0</v>
      </c>
      <c r="Q321">
        <v>40</v>
      </c>
      <c r="R321">
        <v>30</v>
      </c>
      <c r="S321">
        <v>40</v>
      </c>
      <c r="T321">
        <v>11</v>
      </c>
      <c r="U321" t="s">
        <v>36</v>
      </c>
      <c r="V321" s="2">
        <v>1.0217391304347827</v>
      </c>
      <c r="W321" s="2">
        <v>1</v>
      </c>
      <c r="X321">
        <v>11</v>
      </c>
    </row>
    <row r="322" spans="1:24" x14ac:dyDescent="0.3">
      <c r="A322">
        <v>435</v>
      </c>
      <c r="B322">
        <v>44</v>
      </c>
      <c r="C322">
        <v>0</v>
      </c>
      <c r="D322" s="1">
        <v>41238</v>
      </c>
      <c r="E322">
        <v>325</v>
      </c>
      <c r="F322">
        <v>62</v>
      </c>
      <c r="G322" t="s">
        <v>40</v>
      </c>
      <c r="H322" t="s">
        <v>37</v>
      </c>
      <c r="I322">
        <v>40</v>
      </c>
      <c r="J322" t="s">
        <v>24</v>
      </c>
      <c r="K322" t="s">
        <v>33</v>
      </c>
      <c r="L322" t="s">
        <v>34</v>
      </c>
      <c r="M322">
        <v>-10</v>
      </c>
      <c r="N322">
        <v>113</v>
      </c>
      <c r="O322" t="s">
        <v>50</v>
      </c>
      <c r="P322">
        <v>30</v>
      </c>
      <c r="Q322">
        <v>40</v>
      </c>
      <c r="R322">
        <v>-10</v>
      </c>
      <c r="S322">
        <v>70</v>
      </c>
      <c r="T322">
        <v>69</v>
      </c>
      <c r="U322" t="s">
        <v>36</v>
      </c>
      <c r="V322" s="2">
        <v>-8.8495575221238937E-2</v>
      </c>
      <c r="W322" s="2">
        <v>0.61061946902654862</v>
      </c>
      <c r="X322">
        <v>29</v>
      </c>
    </row>
    <row r="323" spans="1:24" x14ac:dyDescent="0.3">
      <c r="A323">
        <v>614</v>
      </c>
      <c r="B323">
        <v>29</v>
      </c>
      <c r="C323">
        <v>7</v>
      </c>
      <c r="D323" s="1">
        <v>41239</v>
      </c>
      <c r="E323">
        <v>490</v>
      </c>
      <c r="F323">
        <v>44</v>
      </c>
      <c r="G323" t="s">
        <v>22</v>
      </c>
      <c r="H323" t="s">
        <v>23</v>
      </c>
      <c r="I323">
        <v>8</v>
      </c>
      <c r="J323" t="s">
        <v>24</v>
      </c>
      <c r="K323" t="s">
        <v>25</v>
      </c>
      <c r="L323" t="s">
        <v>58</v>
      </c>
      <c r="M323">
        <v>37</v>
      </c>
      <c r="N323">
        <v>78</v>
      </c>
      <c r="O323" t="s">
        <v>66</v>
      </c>
      <c r="P323">
        <v>20</v>
      </c>
      <c r="Q323">
        <v>40</v>
      </c>
      <c r="R323">
        <v>30</v>
      </c>
      <c r="S323">
        <v>60</v>
      </c>
      <c r="T323">
        <v>19</v>
      </c>
      <c r="U323" t="s">
        <v>28</v>
      </c>
      <c r="V323" s="2">
        <v>0.47435897435897434</v>
      </c>
      <c r="W323" s="2">
        <v>0.62820512820512819</v>
      </c>
      <c r="X323">
        <v>11</v>
      </c>
    </row>
    <row r="324" spans="1:24" x14ac:dyDescent="0.3">
      <c r="A324">
        <v>440</v>
      </c>
      <c r="B324">
        <v>33</v>
      </c>
      <c r="C324">
        <v>13</v>
      </c>
      <c r="D324" s="1">
        <v>41240</v>
      </c>
      <c r="E324">
        <v>870</v>
      </c>
      <c r="F324">
        <v>49</v>
      </c>
      <c r="G324" t="s">
        <v>22</v>
      </c>
      <c r="H324" t="s">
        <v>23</v>
      </c>
      <c r="I324">
        <v>9</v>
      </c>
      <c r="J324" t="s">
        <v>24</v>
      </c>
      <c r="K324" t="s">
        <v>25</v>
      </c>
      <c r="L324" t="s">
        <v>26</v>
      </c>
      <c r="M324">
        <v>43</v>
      </c>
      <c r="N324">
        <v>87</v>
      </c>
      <c r="O324" t="s">
        <v>66</v>
      </c>
      <c r="P324">
        <v>30</v>
      </c>
      <c r="Q324">
        <v>40</v>
      </c>
      <c r="R324">
        <v>30</v>
      </c>
      <c r="S324">
        <v>70</v>
      </c>
      <c r="T324">
        <v>20</v>
      </c>
      <c r="U324" t="s">
        <v>28</v>
      </c>
      <c r="V324" s="2">
        <v>0.4942528735632184</v>
      </c>
      <c r="W324" s="2">
        <v>0.62068965517241381</v>
      </c>
      <c r="X324">
        <v>11</v>
      </c>
    </row>
    <row r="325" spans="1:24" x14ac:dyDescent="0.3">
      <c r="A325">
        <v>774</v>
      </c>
      <c r="B325">
        <v>46</v>
      </c>
      <c r="C325">
        <v>0</v>
      </c>
      <c r="D325" s="1">
        <v>41241</v>
      </c>
      <c r="E325">
        <v>422</v>
      </c>
      <c r="F325">
        <v>57</v>
      </c>
      <c r="G325" t="s">
        <v>22</v>
      </c>
      <c r="H325" t="s">
        <v>32</v>
      </c>
      <c r="I325">
        <v>17</v>
      </c>
      <c r="J325" t="s">
        <v>24</v>
      </c>
      <c r="K325" t="s">
        <v>25</v>
      </c>
      <c r="L325" t="s">
        <v>26</v>
      </c>
      <c r="M325">
        <v>10</v>
      </c>
      <c r="N325">
        <v>110</v>
      </c>
      <c r="O325" t="s">
        <v>63</v>
      </c>
      <c r="P325">
        <v>30</v>
      </c>
      <c r="Q325">
        <v>40</v>
      </c>
      <c r="R325">
        <v>10</v>
      </c>
      <c r="S325">
        <v>70</v>
      </c>
      <c r="T325">
        <v>50</v>
      </c>
      <c r="U325" t="s">
        <v>28</v>
      </c>
      <c r="V325" s="2">
        <v>9.0909090909090912E-2</v>
      </c>
      <c r="W325" s="2">
        <v>0.58181818181818179</v>
      </c>
      <c r="X325">
        <v>33</v>
      </c>
    </row>
    <row r="326" spans="1:24" x14ac:dyDescent="0.3">
      <c r="A326">
        <v>321</v>
      </c>
      <c r="B326">
        <v>30</v>
      </c>
      <c r="C326">
        <v>9</v>
      </c>
      <c r="D326" s="1">
        <v>41242</v>
      </c>
      <c r="E326">
        <v>882</v>
      </c>
      <c r="F326">
        <v>45</v>
      </c>
      <c r="G326" t="s">
        <v>22</v>
      </c>
      <c r="H326" t="s">
        <v>32</v>
      </c>
      <c r="I326">
        <v>8</v>
      </c>
      <c r="J326" t="s">
        <v>24</v>
      </c>
      <c r="K326" t="s">
        <v>33</v>
      </c>
      <c r="L326" t="s">
        <v>34</v>
      </c>
      <c r="M326">
        <v>39</v>
      </c>
      <c r="N326">
        <v>80</v>
      </c>
      <c r="O326" t="s">
        <v>35</v>
      </c>
      <c r="P326">
        <v>30</v>
      </c>
      <c r="Q326">
        <v>40</v>
      </c>
      <c r="R326">
        <v>30</v>
      </c>
      <c r="S326">
        <v>70</v>
      </c>
      <c r="T326">
        <v>19</v>
      </c>
      <c r="U326" t="s">
        <v>36</v>
      </c>
      <c r="V326" s="2">
        <v>0.48749999999999999</v>
      </c>
      <c r="W326" s="2">
        <v>0.625</v>
      </c>
      <c r="X326">
        <v>11</v>
      </c>
    </row>
    <row r="327" spans="1:24" x14ac:dyDescent="0.3">
      <c r="A327">
        <v>774</v>
      </c>
      <c r="B327">
        <v>29</v>
      </c>
      <c r="C327">
        <v>7</v>
      </c>
      <c r="D327" s="1">
        <v>41243</v>
      </c>
      <c r="E327">
        <v>490</v>
      </c>
      <c r="F327">
        <v>44</v>
      </c>
      <c r="G327" t="s">
        <v>22</v>
      </c>
      <c r="H327" t="s">
        <v>32</v>
      </c>
      <c r="I327">
        <v>8</v>
      </c>
      <c r="J327" t="s">
        <v>24</v>
      </c>
      <c r="K327" t="s">
        <v>33</v>
      </c>
      <c r="L327" t="s">
        <v>38</v>
      </c>
      <c r="M327">
        <v>37</v>
      </c>
      <c r="N327">
        <v>78</v>
      </c>
      <c r="O327" t="s">
        <v>63</v>
      </c>
      <c r="P327">
        <v>30</v>
      </c>
      <c r="Q327">
        <v>40</v>
      </c>
      <c r="R327">
        <v>30</v>
      </c>
      <c r="S327">
        <v>70</v>
      </c>
      <c r="T327">
        <v>19</v>
      </c>
      <c r="U327" t="s">
        <v>36</v>
      </c>
      <c r="V327" s="2">
        <v>0.47435897435897434</v>
      </c>
      <c r="W327" s="2">
        <v>0.62820512820512819</v>
      </c>
      <c r="X327">
        <v>11</v>
      </c>
    </row>
    <row r="328" spans="1:24" x14ac:dyDescent="0.3">
      <c r="A328">
        <v>608</v>
      </c>
      <c r="B328">
        <v>24</v>
      </c>
      <c r="C328">
        <v>-11</v>
      </c>
      <c r="D328" s="1">
        <v>41244</v>
      </c>
      <c r="E328">
        <v>567</v>
      </c>
      <c r="F328">
        <v>32</v>
      </c>
      <c r="G328" t="s">
        <v>40</v>
      </c>
      <c r="H328" t="s">
        <v>23</v>
      </c>
      <c r="I328">
        <v>7</v>
      </c>
      <c r="J328" t="s">
        <v>41</v>
      </c>
      <c r="K328" t="s">
        <v>42</v>
      </c>
      <c r="L328" t="s">
        <v>43</v>
      </c>
      <c r="M328">
        <v>19</v>
      </c>
      <c r="N328">
        <v>60</v>
      </c>
      <c r="O328" t="s">
        <v>60</v>
      </c>
      <c r="P328">
        <v>30</v>
      </c>
      <c r="Q328">
        <v>40</v>
      </c>
      <c r="R328">
        <v>30</v>
      </c>
      <c r="S328">
        <v>70</v>
      </c>
      <c r="T328">
        <v>19</v>
      </c>
      <c r="U328" t="s">
        <v>28</v>
      </c>
      <c r="V328" s="2">
        <v>0.31666666666666665</v>
      </c>
      <c r="W328" s="2">
        <v>0.6</v>
      </c>
      <c r="X328">
        <v>12</v>
      </c>
    </row>
    <row r="329" spans="1:24" x14ac:dyDescent="0.3">
      <c r="A329">
        <v>775</v>
      </c>
      <c r="B329">
        <v>0</v>
      </c>
      <c r="C329">
        <v>16</v>
      </c>
      <c r="D329" s="1">
        <v>41245</v>
      </c>
      <c r="E329">
        <v>344</v>
      </c>
      <c r="F329">
        <v>43</v>
      </c>
      <c r="G329" t="s">
        <v>40</v>
      </c>
      <c r="H329" t="s">
        <v>37</v>
      </c>
      <c r="I329">
        <v>0</v>
      </c>
      <c r="J329" t="s">
        <v>41</v>
      </c>
      <c r="K329" t="s">
        <v>42</v>
      </c>
      <c r="L329" t="s">
        <v>55</v>
      </c>
      <c r="M329">
        <v>46</v>
      </c>
      <c r="N329">
        <v>46</v>
      </c>
      <c r="O329" t="s">
        <v>49</v>
      </c>
      <c r="P329">
        <v>0</v>
      </c>
      <c r="Q329">
        <v>40</v>
      </c>
      <c r="R329">
        <v>30</v>
      </c>
      <c r="S329">
        <v>40</v>
      </c>
      <c r="T329">
        <v>12</v>
      </c>
      <c r="U329" t="s">
        <v>36</v>
      </c>
      <c r="V329" s="2">
        <v>1</v>
      </c>
      <c r="W329" s="2">
        <v>1</v>
      </c>
      <c r="X329">
        <v>12</v>
      </c>
    </row>
    <row r="330" spans="1:24" x14ac:dyDescent="0.3">
      <c r="A330">
        <v>435</v>
      </c>
      <c r="B330">
        <v>31</v>
      </c>
      <c r="C330">
        <v>9</v>
      </c>
      <c r="D330" s="1">
        <v>41246</v>
      </c>
      <c r="E330">
        <v>844</v>
      </c>
      <c r="F330">
        <v>46</v>
      </c>
      <c r="G330" t="s">
        <v>40</v>
      </c>
      <c r="H330" t="s">
        <v>37</v>
      </c>
      <c r="I330">
        <v>8</v>
      </c>
      <c r="J330" t="s">
        <v>41</v>
      </c>
      <c r="K330" t="s">
        <v>42</v>
      </c>
      <c r="L330" t="s">
        <v>55</v>
      </c>
      <c r="M330">
        <v>39</v>
      </c>
      <c r="N330">
        <v>82</v>
      </c>
      <c r="O330" t="s">
        <v>50</v>
      </c>
      <c r="P330">
        <v>30</v>
      </c>
      <c r="Q330">
        <v>40</v>
      </c>
      <c r="R330">
        <v>30</v>
      </c>
      <c r="S330">
        <v>70</v>
      </c>
      <c r="T330">
        <v>20</v>
      </c>
      <c r="U330" t="s">
        <v>36</v>
      </c>
      <c r="V330" s="2">
        <v>0.47560975609756095</v>
      </c>
      <c r="W330" s="2">
        <v>0.62195121951219512</v>
      </c>
      <c r="X330">
        <v>12</v>
      </c>
    </row>
    <row r="331" spans="1:24" x14ac:dyDescent="0.3">
      <c r="A331">
        <v>715</v>
      </c>
      <c r="B331">
        <v>34</v>
      </c>
      <c r="C331">
        <v>15</v>
      </c>
      <c r="D331" s="1">
        <v>41247</v>
      </c>
      <c r="E331">
        <v>863</v>
      </c>
      <c r="F331">
        <v>51</v>
      </c>
      <c r="G331" t="s">
        <v>40</v>
      </c>
      <c r="H331" t="s">
        <v>23</v>
      </c>
      <c r="I331">
        <v>9</v>
      </c>
      <c r="J331" t="s">
        <v>24</v>
      </c>
      <c r="K331" t="s">
        <v>25</v>
      </c>
      <c r="L331" t="s">
        <v>26</v>
      </c>
      <c r="M331">
        <v>45</v>
      </c>
      <c r="N331">
        <v>91</v>
      </c>
      <c r="O331" t="s">
        <v>60</v>
      </c>
      <c r="P331">
        <v>30</v>
      </c>
      <c r="Q331">
        <v>40</v>
      </c>
      <c r="R331">
        <v>30</v>
      </c>
      <c r="S331">
        <v>70</v>
      </c>
      <c r="T331">
        <v>21</v>
      </c>
      <c r="U331" t="s">
        <v>28</v>
      </c>
      <c r="V331" s="2">
        <v>0.49450549450549453</v>
      </c>
      <c r="W331" s="2">
        <v>0.62637362637362637</v>
      </c>
      <c r="X331">
        <v>12</v>
      </c>
    </row>
    <row r="332" spans="1:24" x14ac:dyDescent="0.3">
      <c r="A332">
        <v>603</v>
      </c>
      <c r="B332">
        <v>39</v>
      </c>
      <c r="C332">
        <v>-7</v>
      </c>
      <c r="D332" s="1">
        <v>41248</v>
      </c>
      <c r="E332">
        <v>250</v>
      </c>
      <c r="F332">
        <v>49</v>
      </c>
      <c r="G332" t="s">
        <v>40</v>
      </c>
      <c r="H332" t="s">
        <v>32</v>
      </c>
      <c r="I332">
        <v>14</v>
      </c>
      <c r="J332" t="s">
        <v>24</v>
      </c>
      <c r="K332" t="s">
        <v>25</v>
      </c>
      <c r="L332" t="s">
        <v>26</v>
      </c>
      <c r="M332">
        <v>3</v>
      </c>
      <c r="N332">
        <v>94</v>
      </c>
      <c r="O332" t="s">
        <v>52</v>
      </c>
      <c r="P332">
        <v>20</v>
      </c>
      <c r="Q332">
        <v>40</v>
      </c>
      <c r="R332">
        <v>10</v>
      </c>
      <c r="S332">
        <v>60</v>
      </c>
      <c r="T332">
        <v>47</v>
      </c>
      <c r="U332" t="s">
        <v>28</v>
      </c>
      <c r="V332" s="2">
        <v>3.1914893617021274E-2</v>
      </c>
      <c r="W332" s="2">
        <v>0.58510638297872342</v>
      </c>
      <c r="X332">
        <v>33</v>
      </c>
    </row>
    <row r="333" spans="1:24" x14ac:dyDescent="0.3">
      <c r="A333">
        <v>505</v>
      </c>
      <c r="B333">
        <v>31</v>
      </c>
      <c r="C333">
        <v>-10</v>
      </c>
      <c r="D333" s="1">
        <v>41249</v>
      </c>
      <c r="E333">
        <v>1009</v>
      </c>
      <c r="F333">
        <v>38</v>
      </c>
      <c r="G333" t="s">
        <v>40</v>
      </c>
      <c r="H333" t="s">
        <v>30</v>
      </c>
      <c r="I333">
        <v>9</v>
      </c>
      <c r="J333" t="s">
        <v>24</v>
      </c>
      <c r="K333" t="s">
        <v>25</v>
      </c>
      <c r="L333" t="s">
        <v>26</v>
      </c>
      <c r="M333">
        <v>10</v>
      </c>
      <c r="N333">
        <v>74</v>
      </c>
      <c r="O333" t="s">
        <v>65</v>
      </c>
      <c r="P333">
        <v>20</v>
      </c>
      <c r="Q333">
        <v>40</v>
      </c>
      <c r="R333">
        <v>20</v>
      </c>
      <c r="S333">
        <v>60</v>
      </c>
      <c r="T333">
        <v>31</v>
      </c>
      <c r="U333" t="s">
        <v>28</v>
      </c>
      <c r="V333" s="2">
        <v>0.13513513513513514</v>
      </c>
      <c r="W333" s="2">
        <v>0.58108108108108103</v>
      </c>
      <c r="X333">
        <v>22</v>
      </c>
    </row>
    <row r="334" spans="1:24" x14ac:dyDescent="0.3">
      <c r="A334">
        <v>314</v>
      </c>
      <c r="B334">
        <v>38</v>
      </c>
      <c r="C334">
        <v>6</v>
      </c>
      <c r="D334" s="1">
        <v>41250</v>
      </c>
      <c r="E334">
        <v>256</v>
      </c>
      <c r="F334">
        <v>51</v>
      </c>
      <c r="G334" t="s">
        <v>40</v>
      </c>
      <c r="H334" t="s">
        <v>23</v>
      </c>
      <c r="I334">
        <v>12</v>
      </c>
      <c r="J334" t="s">
        <v>24</v>
      </c>
      <c r="K334" t="s">
        <v>33</v>
      </c>
      <c r="L334" t="s">
        <v>34</v>
      </c>
      <c r="M334">
        <v>16</v>
      </c>
      <c r="N334">
        <v>95</v>
      </c>
      <c r="O334" t="s">
        <v>59</v>
      </c>
      <c r="P334">
        <v>30</v>
      </c>
      <c r="Q334">
        <v>40</v>
      </c>
      <c r="R334">
        <v>10</v>
      </c>
      <c r="S334">
        <v>70</v>
      </c>
      <c r="T334">
        <v>40</v>
      </c>
      <c r="U334" t="s">
        <v>36</v>
      </c>
      <c r="V334" s="2">
        <v>0.16842105263157894</v>
      </c>
      <c r="W334" s="2">
        <v>0.6</v>
      </c>
      <c r="X334">
        <v>28</v>
      </c>
    </row>
    <row r="335" spans="1:24" x14ac:dyDescent="0.3">
      <c r="A335">
        <v>660</v>
      </c>
      <c r="B335">
        <v>39</v>
      </c>
      <c r="C335">
        <v>3</v>
      </c>
      <c r="D335" s="1">
        <v>41251</v>
      </c>
      <c r="E335">
        <v>250</v>
      </c>
      <c r="F335">
        <v>49</v>
      </c>
      <c r="G335" t="s">
        <v>40</v>
      </c>
      <c r="H335" t="s">
        <v>23</v>
      </c>
      <c r="I335">
        <v>14</v>
      </c>
      <c r="J335" t="s">
        <v>24</v>
      </c>
      <c r="K335" t="s">
        <v>33</v>
      </c>
      <c r="L335" t="s">
        <v>38</v>
      </c>
      <c r="M335">
        <v>3</v>
      </c>
      <c r="N335">
        <v>94</v>
      </c>
      <c r="O335" t="s">
        <v>59</v>
      </c>
      <c r="P335">
        <v>30</v>
      </c>
      <c r="Q335">
        <v>40</v>
      </c>
      <c r="R335">
        <v>0</v>
      </c>
      <c r="S335">
        <v>70</v>
      </c>
      <c r="T335">
        <v>47</v>
      </c>
      <c r="U335" t="s">
        <v>36</v>
      </c>
      <c r="V335" s="2">
        <v>3.1914893617021274E-2</v>
      </c>
      <c r="W335" s="2">
        <v>0.58510638297872342</v>
      </c>
      <c r="X335">
        <v>33</v>
      </c>
    </row>
    <row r="336" spans="1:24" x14ac:dyDescent="0.3">
      <c r="A336">
        <v>603</v>
      </c>
      <c r="B336">
        <v>0</v>
      </c>
      <c r="C336">
        <v>17</v>
      </c>
      <c r="D336" s="1">
        <v>41252</v>
      </c>
      <c r="E336">
        <v>344</v>
      </c>
      <c r="F336">
        <v>43</v>
      </c>
      <c r="G336" t="s">
        <v>40</v>
      </c>
      <c r="H336" t="s">
        <v>32</v>
      </c>
      <c r="I336">
        <v>0</v>
      </c>
      <c r="J336" t="s">
        <v>24</v>
      </c>
      <c r="K336" t="s">
        <v>33</v>
      </c>
      <c r="L336" t="s">
        <v>38</v>
      </c>
      <c r="M336">
        <v>47</v>
      </c>
      <c r="N336">
        <v>46</v>
      </c>
      <c r="O336" t="s">
        <v>52</v>
      </c>
      <c r="P336">
        <v>0</v>
      </c>
      <c r="Q336">
        <v>40</v>
      </c>
      <c r="R336">
        <v>30</v>
      </c>
      <c r="S336">
        <v>40</v>
      </c>
      <c r="T336">
        <v>11</v>
      </c>
      <c r="U336" t="s">
        <v>36</v>
      </c>
      <c r="V336" s="2">
        <v>1.0217391304347827</v>
      </c>
      <c r="W336" s="2">
        <v>1</v>
      </c>
      <c r="X336">
        <v>11</v>
      </c>
    </row>
    <row r="337" spans="1:24" x14ac:dyDescent="0.3">
      <c r="A337">
        <v>253</v>
      </c>
      <c r="B337">
        <v>41</v>
      </c>
      <c r="C337">
        <v>25</v>
      </c>
      <c r="D337" s="1">
        <v>41253</v>
      </c>
      <c r="E337">
        <v>320</v>
      </c>
      <c r="F337">
        <v>66</v>
      </c>
      <c r="G337" t="s">
        <v>40</v>
      </c>
      <c r="H337" t="s">
        <v>37</v>
      </c>
      <c r="I337">
        <v>12</v>
      </c>
      <c r="J337" t="s">
        <v>24</v>
      </c>
      <c r="K337" t="s">
        <v>33</v>
      </c>
      <c r="L337" t="s">
        <v>34</v>
      </c>
      <c r="M337">
        <v>45</v>
      </c>
      <c r="N337">
        <v>114</v>
      </c>
      <c r="O337" t="s">
        <v>61</v>
      </c>
      <c r="P337">
        <v>30</v>
      </c>
      <c r="Q337">
        <v>40</v>
      </c>
      <c r="R337">
        <v>20</v>
      </c>
      <c r="S337">
        <v>70</v>
      </c>
      <c r="T337">
        <v>36</v>
      </c>
      <c r="U337" t="s">
        <v>36</v>
      </c>
      <c r="V337" s="2">
        <v>0.39473684210526316</v>
      </c>
      <c r="W337" s="2">
        <v>0.64035087719298245</v>
      </c>
      <c r="X337">
        <v>24</v>
      </c>
    </row>
    <row r="338" spans="1:24" x14ac:dyDescent="0.3">
      <c r="A338">
        <v>435</v>
      </c>
      <c r="B338">
        <v>38</v>
      </c>
      <c r="C338">
        <v>8</v>
      </c>
      <c r="D338" s="1">
        <v>41254</v>
      </c>
      <c r="E338">
        <v>256</v>
      </c>
      <c r="F338">
        <v>51</v>
      </c>
      <c r="G338" t="s">
        <v>40</v>
      </c>
      <c r="H338" t="s">
        <v>37</v>
      </c>
      <c r="I338">
        <v>12</v>
      </c>
      <c r="J338" t="s">
        <v>24</v>
      </c>
      <c r="K338" t="s">
        <v>33</v>
      </c>
      <c r="L338" t="s">
        <v>62</v>
      </c>
      <c r="M338">
        <v>18</v>
      </c>
      <c r="N338">
        <v>95</v>
      </c>
      <c r="O338" t="s">
        <v>50</v>
      </c>
      <c r="P338">
        <v>20</v>
      </c>
      <c r="Q338">
        <v>40</v>
      </c>
      <c r="R338">
        <v>10</v>
      </c>
      <c r="S338">
        <v>60</v>
      </c>
      <c r="T338">
        <v>39</v>
      </c>
      <c r="U338" t="s">
        <v>36</v>
      </c>
      <c r="V338" s="2">
        <v>0.18947368421052632</v>
      </c>
      <c r="W338" s="2">
        <v>0.6</v>
      </c>
      <c r="X338">
        <v>27</v>
      </c>
    </row>
    <row r="339" spans="1:24" x14ac:dyDescent="0.3">
      <c r="A339">
        <v>253</v>
      </c>
      <c r="B339">
        <v>43</v>
      </c>
      <c r="C339">
        <v>22</v>
      </c>
      <c r="D339" s="1">
        <v>41255</v>
      </c>
      <c r="E339">
        <v>466</v>
      </c>
      <c r="F339">
        <v>63</v>
      </c>
      <c r="G339" t="s">
        <v>40</v>
      </c>
      <c r="H339" t="s">
        <v>37</v>
      </c>
      <c r="I339">
        <v>13</v>
      </c>
      <c r="J339" t="s">
        <v>24</v>
      </c>
      <c r="K339" t="s">
        <v>33</v>
      </c>
      <c r="L339" t="s">
        <v>62</v>
      </c>
      <c r="M339">
        <v>42</v>
      </c>
      <c r="N339">
        <v>113</v>
      </c>
      <c r="O339" t="s">
        <v>61</v>
      </c>
      <c r="P339">
        <v>30</v>
      </c>
      <c r="Q339">
        <v>40</v>
      </c>
      <c r="R339">
        <v>20</v>
      </c>
      <c r="S339">
        <v>70</v>
      </c>
      <c r="T339">
        <v>35</v>
      </c>
      <c r="U339" t="s">
        <v>36</v>
      </c>
      <c r="V339" s="2">
        <v>0.37168141592920356</v>
      </c>
      <c r="W339" s="2">
        <v>0.61946902654867253</v>
      </c>
      <c r="X339">
        <v>22</v>
      </c>
    </row>
    <row r="340" spans="1:24" x14ac:dyDescent="0.3">
      <c r="A340">
        <v>216</v>
      </c>
      <c r="B340">
        <v>51</v>
      </c>
      <c r="C340">
        <v>-35</v>
      </c>
      <c r="D340" s="1">
        <v>41256</v>
      </c>
      <c r="E340">
        <v>503</v>
      </c>
      <c r="F340">
        <v>71</v>
      </c>
      <c r="G340" t="s">
        <v>22</v>
      </c>
      <c r="H340" t="s">
        <v>23</v>
      </c>
      <c r="I340">
        <v>46</v>
      </c>
      <c r="J340" t="s">
        <v>41</v>
      </c>
      <c r="K340" t="s">
        <v>46</v>
      </c>
      <c r="L340" t="s">
        <v>47</v>
      </c>
      <c r="M340">
        <v>-5</v>
      </c>
      <c r="N340">
        <v>122</v>
      </c>
      <c r="O340" t="s">
        <v>66</v>
      </c>
      <c r="P340">
        <v>40</v>
      </c>
      <c r="Q340">
        <v>70</v>
      </c>
      <c r="R340">
        <v>30</v>
      </c>
      <c r="S340">
        <v>110</v>
      </c>
      <c r="T340">
        <v>76</v>
      </c>
      <c r="U340" t="s">
        <v>28</v>
      </c>
      <c r="V340" s="2">
        <v>-4.0983606557377046E-2</v>
      </c>
      <c r="W340" s="2">
        <v>0.58196721311475408</v>
      </c>
      <c r="X340">
        <v>30</v>
      </c>
    </row>
    <row r="341" spans="1:24" x14ac:dyDescent="0.3">
      <c r="A341">
        <v>440</v>
      </c>
      <c r="B341">
        <v>52</v>
      </c>
      <c r="C341">
        <v>-34</v>
      </c>
      <c r="D341" s="1">
        <v>41257</v>
      </c>
      <c r="E341">
        <v>405</v>
      </c>
      <c r="F341">
        <v>71</v>
      </c>
      <c r="G341" t="s">
        <v>22</v>
      </c>
      <c r="H341" t="s">
        <v>23</v>
      </c>
      <c r="I341">
        <v>17</v>
      </c>
      <c r="J341" t="s">
        <v>41</v>
      </c>
      <c r="K341" t="s">
        <v>46</v>
      </c>
      <c r="L341" t="s">
        <v>51</v>
      </c>
      <c r="M341">
        <v>26</v>
      </c>
      <c r="N341">
        <v>123</v>
      </c>
      <c r="O341" t="s">
        <v>66</v>
      </c>
      <c r="P341">
        <v>40</v>
      </c>
      <c r="Q341">
        <v>70</v>
      </c>
      <c r="R341">
        <v>60</v>
      </c>
      <c r="S341">
        <v>110</v>
      </c>
      <c r="T341">
        <v>45</v>
      </c>
      <c r="U341" t="s">
        <v>36</v>
      </c>
      <c r="V341" s="2">
        <v>0.21138211382113822</v>
      </c>
      <c r="W341" s="2">
        <v>0.57723577235772361</v>
      </c>
      <c r="X341">
        <v>28</v>
      </c>
    </row>
    <row r="342" spans="1:24" x14ac:dyDescent="0.3">
      <c r="A342">
        <v>937</v>
      </c>
      <c r="B342">
        <v>43</v>
      </c>
      <c r="C342">
        <v>-32</v>
      </c>
      <c r="D342" s="1">
        <v>41258</v>
      </c>
      <c r="E342">
        <v>419</v>
      </c>
      <c r="F342">
        <v>64</v>
      </c>
      <c r="G342" t="s">
        <v>22</v>
      </c>
      <c r="H342" t="s">
        <v>23</v>
      </c>
      <c r="I342">
        <v>13</v>
      </c>
      <c r="J342" t="s">
        <v>41</v>
      </c>
      <c r="K342" t="s">
        <v>46</v>
      </c>
      <c r="L342" t="s">
        <v>53</v>
      </c>
      <c r="M342">
        <v>28</v>
      </c>
      <c r="N342">
        <v>107</v>
      </c>
      <c r="O342" t="s">
        <v>66</v>
      </c>
      <c r="P342">
        <v>30</v>
      </c>
      <c r="Q342">
        <v>70</v>
      </c>
      <c r="R342">
        <v>60</v>
      </c>
      <c r="S342">
        <v>100</v>
      </c>
      <c r="T342">
        <v>36</v>
      </c>
      <c r="U342" t="s">
        <v>36</v>
      </c>
      <c r="V342" s="2">
        <v>0.26168224299065418</v>
      </c>
      <c r="W342" s="2">
        <v>0.59813084112149528</v>
      </c>
      <c r="X342">
        <v>23</v>
      </c>
    </row>
    <row r="343" spans="1:24" x14ac:dyDescent="0.3">
      <c r="A343">
        <v>774</v>
      </c>
      <c r="B343">
        <v>51</v>
      </c>
      <c r="C343">
        <v>-41</v>
      </c>
      <c r="D343" s="1">
        <v>41259</v>
      </c>
      <c r="E343">
        <v>542</v>
      </c>
      <c r="F343">
        <v>65</v>
      </c>
      <c r="G343" t="s">
        <v>22</v>
      </c>
      <c r="H343" t="s">
        <v>32</v>
      </c>
      <c r="I343">
        <v>46</v>
      </c>
      <c r="J343" t="s">
        <v>41</v>
      </c>
      <c r="K343" t="s">
        <v>42</v>
      </c>
      <c r="L343" t="s">
        <v>54</v>
      </c>
      <c r="M343">
        <v>-11</v>
      </c>
      <c r="N343">
        <v>116</v>
      </c>
      <c r="O343" t="s">
        <v>63</v>
      </c>
      <c r="P343">
        <v>30</v>
      </c>
      <c r="Q343">
        <v>70</v>
      </c>
      <c r="R343">
        <v>30</v>
      </c>
      <c r="S343">
        <v>100</v>
      </c>
      <c r="T343">
        <v>76</v>
      </c>
      <c r="U343" t="s">
        <v>36</v>
      </c>
      <c r="V343" s="2">
        <v>-9.4827586206896547E-2</v>
      </c>
      <c r="W343" s="2">
        <v>0.56034482758620685</v>
      </c>
      <c r="X343">
        <v>30</v>
      </c>
    </row>
    <row r="344" spans="1:24" x14ac:dyDescent="0.3">
      <c r="A344">
        <v>832</v>
      </c>
      <c r="B344">
        <v>72</v>
      </c>
      <c r="C344">
        <v>5</v>
      </c>
      <c r="D344" s="1">
        <v>41260</v>
      </c>
      <c r="E344">
        <v>-868</v>
      </c>
      <c r="F344">
        <v>110</v>
      </c>
      <c r="G344" t="s">
        <v>22</v>
      </c>
      <c r="H344" t="s">
        <v>30</v>
      </c>
      <c r="I344">
        <v>23</v>
      </c>
      <c r="J344" t="s">
        <v>41</v>
      </c>
      <c r="K344" t="s">
        <v>42</v>
      </c>
      <c r="L344" t="s">
        <v>55</v>
      </c>
      <c r="M344">
        <v>55</v>
      </c>
      <c r="N344">
        <v>182</v>
      </c>
      <c r="O344" t="s">
        <v>31</v>
      </c>
      <c r="P344">
        <v>40</v>
      </c>
      <c r="Q344">
        <v>70</v>
      </c>
      <c r="R344">
        <v>50</v>
      </c>
      <c r="S344">
        <v>110</v>
      </c>
      <c r="T344">
        <v>55</v>
      </c>
      <c r="U344" t="s">
        <v>36</v>
      </c>
      <c r="V344" s="2">
        <v>0.30219780219780218</v>
      </c>
      <c r="W344" s="2">
        <v>0.60439560439560436</v>
      </c>
      <c r="X344">
        <v>32</v>
      </c>
    </row>
    <row r="345" spans="1:24" x14ac:dyDescent="0.3">
      <c r="A345">
        <v>863</v>
      </c>
      <c r="B345">
        <v>48</v>
      </c>
      <c r="C345">
        <v>-14</v>
      </c>
      <c r="D345" s="1">
        <v>41261</v>
      </c>
      <c r="E345">
        <v>851</v>
      </c>
      <c r="F345">
        <v>70</v>
      </c>
      <c r="G345" t="s">
        <v>22</v>
      </c>
      <c r="H345" t="s">
        <v>32</v>
      </c>
      <c r="I345">
        <v>13</v>
      </c>
      <c r="J345" t="s">
        <v>24</v>
      </c>
      <c r="K345" t="s">
        <v>33</v>
      </c>
      <c r="L345" t="s">
        <v>38</v>
      </c>
      <c r="M345">
        <v>46</v>
      </c>
      <c r="N345">
        <v>118</v>
      </c>
      <c r="O345" t="s">
        <v>35</v>
      </c>
      <c r="P345">
        <v>50</v>
      </c>
      <c r="Q345">
        <v>70</v>
      </c>
      <c r="R345">
        <v>60</v>
      </c>
      <c r="S345">
        <v>120</v>
      </c>
      <c r="T345">
        <v>24</v>
      </c>
      <c r="U345" t="s">
        <v>36</v>
      </c>
      <c r="V345" s="2">
        <v>0.38983050847457629</v>
      </c>
      <c r="W345" s="2">
        <v>0.59322033898305082</v>
      </c>
      <c r="X345">
        <v>11</v>
      </c>
    </row>
    <row r="346" spans="1:24" x14ac:dyDescent="0.3">
      <c r="A346">
        <v>985</v>
      </c>
      <c r="B346">
        <v>60</v>
      </c>
      <c r="C346">
        <v>-12</v>
      </c>
      <c r="D346" s="1">
        <v>41262</v>
      </c>
      <c r="E346">
        <v>329</v>
      </c>
      <c r="F346">
        <v>99</v>
      </c>
      <c r="G346" t="s">
        <v>40</v>
      </c>
      <c r="H346" t="s">
        <v>30</v>
      </c>
      <c r="I346">
        <v>18</v>
      </c>
      <c r="J346" t="s">
        <v>41</v>
      </c>
      <c r="K346" t="s">
        <v>42</v>
      </c>
      <c r="L346" t="s">
        <v>54</v>
      </c>
      <c r="M346">
        <v>58</v>
      </c>
      <c r="N346">
        <v>159</v>
      </c>
      <c r="O346" t="s">
        <v>56</v>
      </c>
      <c r="P346">
        <v>30</v>
      </c>
      <c r="Q346">
        <v>70</v>
      </c>
      <c r="R346">
        <v>70</v>
      </c>
      <c r="S346">
        <v>100</v>
      </c>
      <c r="T346">
        <v>41</v>
      </c>
      <c r="U346" t="s">
        <v>36</v>
      </c>
      <c r="V346" s="2">
        <v>0.36477987421383645</v>
      </c>
      <c r="W346" s="2">
        <v>0.62264150943396224</v>
      </c>
      <c r="X346">
        <v>23</v>
      </c>
    </row>
    <row r="347" spans="1:24" x14ac:dyDescent="0.3">
      <c r="A347">
        <v>971</v>
      </c>
      <c r="B347">
        <v>52</v>
      </c>
      <c r="C347">
        <v>-33</v>
      </c>
      <c r="D347" s="1">
        <v>41263</v>
      </c>
      <c r="E347">
        <v>405</v>
      </c>
      <c r="F347">
        <v>71</v>
      </c>
      <c r="G347" t="s">
        <v>40</v>
      </c>
      <c r="H347" t="s">
        <v>37</v>
      </c>
      <c r="I347">
        <v>17</v>
      </c>
      <c r="J347" t="s">
        <v>41</v>
      </c>
      <c r="K347" t="s">
        <v>42</v>
      </c>
      <c r="L347" t="s">
        <v>54</v>
      </c>
      <c r="M347">
        <v>27</v>
      </c>
      <c r="N347">
        <v>123</v>
      </c>
      <c r="O347" t="s">
        <v>57</v>
      </c>
      <c r="P347">
        <v>30</v>
      </c>
      <c r="Q347">
        <v>70</v>
      </c>
      <c r="R347">
        <v>60</v>
      </c>
      <c r="S347">
        <v>100</v>
      </c>
      <c r="T347">
        <v>44</v>
      </c>
      <c r="U347" t="s">
        <v>36</v>
      </c>
      <c r="V347" s="2">
        <v>0.21951219512195122</v>
      </c>
      <c r="W347" s="2">
        <v>0.57723577235772361</v>
      </c>
      <c r="X347">
        <v>27</v>
      </c>
    </row>
    <row r="348" spans="1:24" x14ac:dyDescent="0.3">
      <c r="A348">
        <v>253</v>
      </c>
      <c r="B348">
        <v>56</v>
      </c>
      <c r="C348">
        <v>-34</v>
      </c>
      <c r="D348" s="1">
        <v>41264</v>
      </c>
      <c r="E348">
        <v>385</v>
      </c>
      <c r="F348">
        <v>70</v>
      </c>
      <c r="G348" t="s">
        <v>40</v>
      </c>
      <c r="H348" t="s">
        <v>37</v>
      </c>
      <c r="I348">
        <v>21</v>
      </c>
      <c r="J348" t="s">
        <v>41</v>
      </c>
      <c r="K348" t="s">
        <v>42</v>
      </c>
      <c r="L348" t="s">
        <v>54</v>
      </c>
      <c r="M348">
        <v>16</v>
      </c>
      <c r="N348">
        <v>126</v>
      </c>
      <c r="O348" t="s">
        <v>61</v>
      </c>
      <c r="P348">
        <v>40</v>
      </c>
      <c r="Q348">
        <v>70</v>
      </c>
      <c r="R348">
        <v>50</v>
      </c>
      <c r="S348">
        <v>110</v>
      </c>
      <c r="T348">
        <v>54</v>
      </c>
      <c r="U348" t="s">
        <v>36</v>
      </c>
      <c r="V348" s="2">
        <v>0.12698412698412698</v>
      </c>
      <c r="W348" s="2">
        <v>0.55555555555555558</v>
      </c>
      <c r="X348">
        <v>33</v>
      </c>
    </row>
    <row r="349" spans="1:24" x14ac:dyDescent="0.3">
      <c r="A349">
        <v>405</v>
      </c>
      <c r="B349">
        <v>56</v>
      </c>
      <c r="C349">
        <v>-34</v>
      </c>
      <c r="D349" s="1">
        <v>41265</v>
      </c>
      <c r="E349">
        <v>385</v>
      </c>
      <c r="F349">
        <v>70</v>
      </c>
      <c r="G349" t="s">
        <v>40</v>
      </c>
      <c r="H349" t="s">
        <v>30</v>
      </c>
      <c r="I349">
        <v>21</v>
      </c>
      <c r="J349" t="s">
        <v>24</v>
      </c>
      <c r="K349" t="s">
        <v>25</v>
      </c>
      <c r="L349" t="s">
        <v>58</v>
      </c>
      <c r="M349">
        <v>16</v>
      </c>
      <c r="N349">
        <v>126</v>
      </c>
      <c r="O349" t="s">
        <v>48</v>
      </c>
      <c r="P349">
        <v>40</v>
      </c>
      <c r="Q349">
        <v>70</v>
      </c>
      <c r="R349">
        <v>50</v>
      </c>
      <c r="S349">
        <v>110</v>
      </c>
      <c r="T349">
        <v>54</v>
      </c>
      <c r="U349" t="s">
        <v>28</v>
      </c>
      <c r="V349" s="2">
        <v>0.12698412698412698</v>
      </c>
      <c r="W349" s="2">
        <v>0.55555555555555558</v>
      </c>
      <c r="X349">
        <v>33</v>
      </c>
    </row>
    <row r="350" spans="1:24" x14ac:dyDescent="0.3">
      <c r="A350">
        <v>435</v>
      </c>
      <c r="B350">
        <v>45</v>
      </c>
      <c r="C350">
        <v>-37</v>
      </c>
      <c r="D350" s="1">
        <v>41266</v>
      </c>
      <c r="E350">
        <v>447</v>
      </c>
      <c r="F350">
        <v>69</v>
      </c>
      <c r="G350" t="s">
        <v>40</v>
      </c>
      <c r="H350" t="s">
        <v>37</v>
      </c>
      <c r="I350">
        <v>14</v>
      </c>
      <c r="J350" t="s">
        <v>24</v>
      </c>
      <c r="K350" t="s">
        <v>25</v>
      </c>
      <c r="L350" t="s">
        <v>26</v>
      </c>
      <c r="M350">
        <v>23</v>
      </c>
      <c r="N350">
        <v>114</v>
      </c>
      <c r="O350" t="s">
        <v>50</v>
      </c>
      <c r="P350">
        <v>20</v>
      </c>
      <c r="Q350">
        <v>70</v>
      </c>
      <c r="R350">
        <v>60</v>
      </c>
      <c r="S350">
        <v>90</v>
      </c>
      <c r="T350">
        <v>46</v>
      </c>
      <c r="U350" t="s">
        <v>28</v>
      </c>
      <c r="V350" s="2">
        <v>0.20175438596491227</v>
      </c>
      <c r="W350" s="2">
        <v>0.60526315789473684</v>
      </c>
      <c r="X350">
        <v>32</v>
      </c>
    </row>
    <row r="351" spans="1:24" x14ac:dyDescent="0.3">
      <c r="A351">
        <v>567</v>
      </c>
      <c r="B351">
        <v>52</v>
      </c>
      <c r="C351">
        <v>-13</v>
      </c>
      <c r="D351" s="1">
        <v>41267</v>
      </c>
      <c r="E351">
        <v>509</v>
      </c>
      <c r="F351">
        <v>73</v>
      </c>
      <c r="G351" t="s">
        <v>22</v>
      </c>
      <c r="H351" t="s">
        <v>23</v>
      </c>
      <c r="I351">
        <v>47</v>
      </c>
      <c r="J351" t="s">
        <v>41</v>
      </c>
      <c r="K351" t="s">
        <v>46</v>
      </c>
      <c r="L351" t="s">
        <v>47</v>
      </c>
      <c r="M351">
        <v>-3</v>
      </c>
      <c r="N351">
        <v>125</v>
      </c>
      <c r="O351" t="s">
        <v>66</v>
      </c>
      <c r="P351">
        <v>50</v>
      </c>
      <c r="Q351">
        <v>70</v>
      </c>
      <c r="R351">
        <v>10</v>
      </c>
      <c r="S351">
        <v>120</v>
      </c>
      <c r="T351">
        <v>76</v>
      </c>
      <c r="U351" t="s">
        <v>28</v>
      </c>
      <c r="V351" s="2">
        <v>-2.4E-2</v>
      </c>
      <c r="W351" s="2">
        <v>0.58399999999999996</v>
      </c>
      <c r="X351">
        <v>29</v>
      </c>
    </row>
    <row r="352" spans="1:24" x14ac:dyDescent="0.3">
      <c r="A352">
        <v>614</v>
      </c>
      <c r="B352">
        <v>46</v>
      </c>
      <c r="C352">
        <v>-8</v>
      </c>
      <c r="D352" s="1">
        <v>41268</v>
      </c>
      <c r="E352">
        <v>424</v>
      </c>
      <c r="F352">
        <v>68</v>
      </c>
      <c r="G352" t="s">
        <v>22</v>
      </c>
      <c r="H352" t="s">
        <v>23</v>
      </c>
      <c r="I352">
        <v>14</v>
      </c>
      <c r="J352" t="s">
        <v>41</v>
      </c>
      <c r="K352" t="s">
        <v>46</v>
      </c>
      <c r="L352" t="s">
        <v>53</v>
      </c>
      <c r="M352">
        <v>32</v>
      </c>
      <c r="N352">
        <v>114</v>
      </c>
      <c r="O352" t="s">
        <v>66</v>
      </c>
      <c r="P352">
        <v>40</v>
      </c>
      <c r="Q352">
        <v>70</v>
      </c>
      <c r="R352">
        <v>40</v>
      </c>
      <c r="S352">
        <v>110</v>
      </c>
      <c r="T352">
        <v>36</v>
      </c>
      <c r="U352" t="s">
        <v>36</v>
      </c>
      <c r="V352" s="2">
        <v>0.2807017543859649</v>
      </c>
      <c r="W352" s="2">
        <v>0.59649122807017541</v>
      </c>
      <c r="X352">
        <v>22</v>
      </c>
    </row>
    <row r="353" spans="1:24" x14ac:dyDescent="0.3">
      <c r="A353">
        <v>303</v>
      </c>
      <c r="B353">
        <v>52</v>
      </c>
      <c r="C353">
        <v>-14</v>
      </c>
      <c r="D353" s="1">
        <v>41269</v>
      </c>
      <c r="E353">
        <v>509</v>
      </c>
      <c r="F353">
        <v>73</v>
      </c>
      <c r="G353" t="s">
        <v>22</v>
      </c>
      <c r="H353" t="s">
        <v>23</v>
      </c>
      <c r="I353">
        <v>47</v>
      </c>
      <c r="J353" t="s">
        <v>24</v>
      </c>
      <c r="K353" t="s">
        <v>25</v>
      </c>
      <c r="L353" t="s">
        <v>26</v>
      </c>
      <c r="M353">
        <v>-4</v>
      </c>
      <c r="N353">
        <v>125</v>
      </c>
      <c r="O353" t="s">
        <v>27</v>
      </c>
      <c r="P353">
        <v>40</v>
      </c>
      <c r="Q353">
        <v>70</v>
      </c>
      <c r="R353">
        <v>10</v>
      </c>
      <c r="S353">
        <v>110</v>
      </c>
      <c r="T353">
        <v>77</v>
      </c>
      <c r="U353" t="s">
        <v>28</v>
      </c>
      <c r="V353" s="2">
        <v>-3.2000000000000001E-2</v>
      </c>
      <c r="W353" s="2">
        <v>0.58399999999999996</v>
      </c>
      <c r="X353">
        <v>30</v>
      </c>
    </row>
    <row r="354" spans="1:24" x14ac:dyDescent="0.3">
      <c r="A354">
        <v>720</v>
      </c>
      <c r="B354">
        <v>59</v>
      </c>
      <c r="C354">
        <v>-8</v>
      </c>
      <c r="D354" s="1">
        <v>41270</v>
      </c>
      <c r="E354">
        <v>411</v>
      </c>
      <c r="F354">
        <v>79</v>
      </c>
      <c r="G354" t="s">
        <v>22</v>
      </c>
      <c r="H354" t="s">
        <v>23</v>
      </c>
      <c r="I354">
        <v>19</v>
      </c>
      <c r="J354" t="s">
        <v>24</v>
      </c>
      <c r="K354" t="s">
        <v>25</v>
      </c>
      <c r="L354" t="s">
        <v>29</v>
      </c>
      <c r="M354">
        <v>32</v>
      </c>
      <c r="N354">
        <v>138</v>
      </c>
      <c r="O354" t="s">
        <v>27</v>
      </c>
      <c r="P354">
        <v>50</v>
      </c>
      <c r="Q354">
        <v>70</v>
      </c>
      <c r="R354">
        <v>40</v>
      </c>
      <c r="S354">
        <v>120</v>
      </c>
      <c r="T354">
        <v>47</v>
      </c>
      <c r="U354" t="s">
        <v>28</v>
      </c>
      <c r="V354" s="2">
        <v>0.2318840579710145</v>
      </c>
      <c r="W354" s="2">
        <v>0.57246376811594202</v>
      </c>
      <c r="X354">
        <v>28</v>
      </c>
    </row>
    <row r="355" spans="1:24" x14ac:dyDescent="0.3">
      <c r="A355">
        <v>713</v>
      </c>
      <c r="B355">
        <v>59</v>
      </c>
      <c r="C355">
        <v>-8</v>
      </c>
      <c r="D355" s="1">
        <v>41271</v>
      </c>
      <c r="E355">
        <v>411</v>
      </c>
      <c r="F355">
        <v>79</v>
      </c>
      <c r="G355" t="s">
        <v>22</v>
      </c>
      <c r="H355" t="s">
        <v>30</v>
      </c>
      <c r="I355">
        <v>19</v>
      </c>
      <c r="J355" t="s">
        <v>24</v>
      </c>
      <c r="K355" t="s">
        <v>25</v>
      </c>
      <c r="L355" t="s">
        <v>58</v>
      </c>
      <c r="M355">
        <v>32</v>
      </c>
      <c r="N355">
        <v>138</v>
      </c>
      <c r="O355" t="s">
        <v>31</v>
      </c>
      <c r="P355">
        <v>50</v>
      </c>
      <c r="Q355">
        <v>70</v>
      </c>
      <c r="R355">
        <v>40</v>
      </c>
      <c r="S355">
        <v>120</v>
      </c>
      <c r="T355">
        <v>47</v>
      </c>
      <c r="U355" t="s">
        <v>28</v>
      </c>
      <c r="V355" s="2">
        <v>0.2318840579710145</v>
      </c>
      <c r="W355" s="2">
        <v>0.57246376811594202</v>
      </c>
      <c r="X355">
        <v>28</v>
      </c>
    </row>
    <row r="356" spans="1:24" x14ac:dyDescent="0.3">
      <c r="A356">
        <v>718</v>
      </c>
      <c r="B356">
        <v>50</v>
      </c>
      <c r="C356">
        <v>-3</v>
      </c>
      <c r="D356" s="1">
        <v>41272</v>
      </c>
      <c r="E356">
        <v>589</v>
      </c>
      <c r="F356">
        <v>73</v>
      </c>
      <c r="G356" t="s">
        <v>22</v>
      </c>
      <c r="H356" t="s">
        <v>32</v>
      </c>
      <c r="I356">
        <v>14</v>
      </c>
      <c r="J356" t="s">
        <v>24</v>
      </c>
      <c r="K356" t="s">
        <v>33</v>
      </c>
      <c r="L356" t="s">
        <v>38</v>
      </c>
      <c r="M356">
        <v>47</v>
      </c>
      <c r="N356">
        <v>123</v>
      </c>
      <c r="O356" t="s">
        <v>68</v>
      </c>
      <c r="P356">
        <v>50</v>
      </c>
      <c r="Q356">
        <v>70</v>
      </c>
      <c r="R356">
        <v>50</v>
      </c>
      <c r="S356">
        <v>120</v>
      </c>
      <c r="T356">
        <v>26</v>
      </c>
      <c r="U356" t="s">
        <v>36</v>
      </c>
      <c r="V356" s="2">
        <v>0.38211382113821141</v>
      </c>
      <c r="W356" s="2">
        <v>0.5934959349593496</v>
      </c>
      <c r="X356">
        <v>12</v>
      </c>
    </row>
    <row r="357" spans="1:24" x14ac:dyDescent="0.3">
      <c r="A357">
        <v>860</v>
      </c>
      <c r="B357">
        <v>53</v>
      </c>
      <c r="C357">
        <v>-14</v>
      </c>
      <c r="D357" s="1">
        <v>41273</v>
      </c>
      <c r="E357">
        <v>380</v>
      </c>
      <c r="F357">
        <v>71</v>
      </c>
      <c r="G357" t="s">
        <v>40</v>
      </c>
      <c r="H357" t="s">
        <v>32</v>
      </c>
      <c r="I357">
        <v>17</v>
      </c>
      <c r="J357" t="s">
        <v>41</v>
      </c>
      <c r="K357" t="s">
        <v>42</v>
      </c>
      <c r="L357" t="s">
        <v>43</v>
      </c>
      <c r="M357">
        <v>26</v>
      </c>
      <c r="N357">
        <v>124</v>
      </c>
      <c r="O357" t="s">
        <v>45</v>
      </c>
      <c r="P357">
        <v>50</v>
      </c>
      <c r="Q357">
        <v>70</v>
      </c>
      <c r="R357">
        <v>40</v>
      </c>
      <c r="S357">
        <v>120</v>
      </c>
      <c r="T357">
        <v>45</v>
      </c>
      <c r="U357" t="s">
        <v>28</v>
      </c>
      <c r="V357" s="2">
        <v>0.20967741935483872</v>
      </c>
      <c r="W357" s="2">
        <v>0.57258064516129037</v>
      </c>
      <c r="X357">
        <v>28</v>
      </c>
    </row>
    <row r="358" spans="1:24" x14ac:dyDescent="0.3">
      <c r="A358">
        <v>435</v>
      </c>
      <c r="B358">
        <v>54</v>
      </c>
      <c r="C358">
        <v>2</v>
      </c>
      <c r="D358" s="1">
        <v>41274</v>
      </c>
      <c r="E358">
        <v>885</v>
      </c>
      <c r="F358">
        <v>78</v>
      </c>
      <c r="G358" t="s">
        <v>40</v>
      </c>
      <c r="H358" t="s">
        <v>37</v>
      </c>
      <c r="I358">
        <v>15</v>
      </c>
      <c r="J358" t="s">
        <v>41</v>
      </c>
      <c r="K358" t="s">
        <v>42</v>
      </c>
      <c r="L358" t="s">
        <v>43</v>
      </c>
      <c r="M358">
        <v>52</v>
      </c>
      <c r="N358">
        <v>132</v>
      </c>
      <c r="O358" t="s">
        <v>50</v>
      </c>
      <c r="P358">
        <v>50</v>
      </c>
      <c r="Q358">
        <v>70</v>
      </c>
      <c r="R358">
        <v>50</v>
      </c>
      <c r="S358">
        <v>120</v>
      </c>
      <c r="T358">
        <v>26</v>
      </c>
      <c r="U358" t="s">
        <v>28</v>
      </c>
      <c r="V358" s="2">
        <v>0.39393939393939392</v>
      </c>
      <c r="W358" s="2">
        <v>0.59090909090909094</v>
      </c>
      <c r="X358">
        <v>11</v>
      </c>
    </row>
    <row r="359" spans="1:24" x14ac:dyDescent="0.3">
      <c r="A359">
        <v>505</v>
      </c>
      <c r="B359">
        <v>43</v>
      </c>
      <c r="C359">
        <v>-10</v>
      </c>
      <c r="D359" s="1">
        <v>41275</v>
      </c>
      <c r="E359">
        <v>452</v>
      </c>
      <c r="F359">
        <v>66</v>
      </c>
      <c r="G359" t="s">
        <v>40</v>
      </c>
      <c r="H359" t="s">
        <v>30</v>
      </c>
      <c r="I359">
        <v>14</v>
      </c>
      <c r="J359" t="s">
        <v>41</v>
      </c>
      <c r="K359" t="s">
        <v>46</v>
      </c>
      <c r="L359" t="s">
        <v>53</v>
      </c>
      <c r="M359">
        <v>20</v>
      </c>
      <c r="N359">
        <v>109</v>
      </c>
      <c r="O359" t="s">
        <v>65</v>
      </c>
      <c r="P359">
        <v>50</v>
      </c>
      <c r="Q359">
        <v>70</v>
      </c>
      <c r="R359">
        <v>30</v>
      </c>
      <c r="S359">
        <v>120</v>
      </c>
      <c r="T359">
        <v>46</v>
      </c>
      <c r="U359" t="s">
        <v>36</v>
      </c>
      <c r="V359" s="2">
        <v>0.1834862385321101</v>
      </c>
      <c r="W359" s="2">
        <v>0.60550458715596334</v>
      </c>
      <c r="X359">
        <v>32</v>
      </c>
    </row>
    <row r="360" spans="1:24" x14ac:dyDescent="0.3">
      <c r="A360">
        <v>504</v>
      </c>
      <c r="B360">
        <v>61</v>
      </c>
      <c r="C360">
        <v>-9</v>
      </c>
      <c r="D360" s="1">
        <v>41276</v>
      </c>
      <c r="E360">
        <v>-906</v>
      </c>
      <c r="F360">
        <v>86</v>
      </c>
      <c r="G360" t="s">
        <v>40</v>
      </c>
      <c r="H360" t="s">
        <v>30</v>
      </c>
      <c r="I360">
        <v>55</v>
      </c>
      <c r="J360" t="s">
        <v>41</v>
      </c>
      <c r="K360" t="s">
        <v>42</v>
      </c>
      <c r="L360" t="s">
        <v>55</v>
      </c>
      <c r="M360">
        <v>1</v>
      </c>
      <c r="N360">
        <v>147</v>
      </c>
      <c r="O360" t="s">
        <v>56</v>
      </c>
      <c r="P360">
        <v>40</v>
      </c>
      <c r="Q360">
        <v>70</v>
      </c>
      <c r="R360">
        <v>10</v>
      </c>
      <c r="S360">
        <v>110</v>
      </c>
      <c r="T360">
        <v>85</v>
      </c>
      <c r="U360" t="s">
        <v>36</v>
      </c>
      <c r="V360" s="2">
        <v>6.8027210884353739E-3</v>
      </c>
      <c r="W360" s="2">
        <v>0.58503401360544216</v>
      </c>
      <c r="X360">
        <v>30</v>
      </c>
    </row>
    <row r="361" spans="1:24" x14ac:dyDescent="0.3">
      <c r="A361">
        <v>541</v>
      </c>
      <c r="B361">
        <v>55</v>
      </c>
      <c r="C361">
        <v>-14</v>
      </c>
      <c r="D361" s="1">
        <v>41277</v>
      </c>
      <c r="E361">
        <v>410</v>
      </c>
      <c r="F361">
        <v>69</v>
      </c>
      <c r="G361" t="s">
        <v>40</v>
      </c>
      <c r="H361" t="s">
        <v>37</v>
      </c>
      <c r="I361">
        <v>20</v>
      </c>
      <c r="J361" t="s">
        <v>41</v>
      </c>
      <c r="K361" t="s">
        <v>42</v>
      </c>
      <c r="L361" t="s">
        <v>55</v>
      </c>
      <c r="M361">
        <v>16</v>
      </c>
      <c r="N361">
        <v>124</v>
      </c>
      <c r="O361" t="s">
        <v>57</v>
      </c>
      <c r="P361">
        <v>50</v>
      </c>
      <c r="Q361">
        <v>70</v>
      </c>
      <c r="R361">
        <v>30</v>
      </c>
      <c r="S361">
        <v>120</v>
      </c>
      <c r="T361">
        <v>53</v>
      </c>
      <c r="U361" t="s">
        <v>36</v>
      </c>
      <c r="V361" s="2">
        <v>0.12903225806451613</v>
      </c>
      <c r="W361" s="2">
        <v>0.55645161290322576</v>
      </c>
      <c r="X361">
        <v>33</v>
      </c>
    </row>
    <row r="362" spans="1:24" x14ac:dyDescent="0.3">
      <c r="A362">
        <v>860</v>
      </c>
      <c r="B362">
        <v>82</v>
      </c>
      <c r="C362">
        <v>8</v>
      </c>
      <c r="D362" s="1">
        <v>41278</v>
      </c>
      <c r="E362">
        <v>601</v>
      </c>
      <c r="F362">
        <v>102</v>
      </c>
      <c r="G362" t="s">
        <v>40</v>
      </c>
      <c r="H362" t="s">
        <v>32</v>
      </c>
      <c r="I362">
        <v>31</v>
      </c>
      <c r="J362" t="s">
        <v>24</v>
      </c>
      <c r="K362" t="s">
        <v>25</v>
      </c>
      <c r="L362" t="s">
        <v>26</v>
      </c>
      <c r="M362">
        <v>38</v>
      </c>
      <c r="N362">
        <v>184</v>
      </c>
      <c r="O362" t="s">
        <v>45</v>
      </c>
      <c r="P362">
        <v>60</v>
      </c>
      <c r="Q362">
        <v>70</v>
      </c>
      <c r="R362">
        <v>30</v>
      </c>
      <c r="S362">
        <v>130</v>
      </c>
      <c r="T362">
        <v>64</v>
      </c>
      <c r="U362" t="s">
        <v>28</v>
      </c>
      <c r="V362" s="2">
        <v>0.20652173913043478</v>
      </c>
      <c r="W362" s="2">
        <v>0.55434782608695654</v>
      </c>
      <c r="X362">
        <v>33</v>
      </c>
    </row>
    <row r="363" spans="1:24" x14ac:dyDescent="0.3">
      <c r="A363">
        <v>715</v>
      </c>
      <c r="B363">
        <v>61</v>
      </c>
      <c r="C363">
        <v>2</v>
      </c>
      <c r="D363" s="1">
        <v>41279</v>
      </c>
      <c r="E363">
        <v>613</v>
      </c>
      <c r="F363">
        <v>86</v>
      </c>
      <c r="G363" t="s">
        <v>40</v>
      </c>
      <c r="H363" t="s">
        <v>23</v>
      </c>
      <c r="I363">
        <v>55</v>
      </c>
      <c r="J363" t="s">
        <v>24</v>
      </c>
      <c r="K363" t="s">
        <v>33</v>
      </c>
      <c r="L363" t="s">
        <v>62</v>
      </c>
      <c r="M363">
        <v>2</v>
      </c>
      <c r="N363">
        <v>147</v>
      </c>
      <c r="O363" t="s">
        <v>60</v>
      </c>
      <c r="P363">
        <v>50</v>
      </c>
      <c r="Q363">
        <v>70</v>
      </c>
      <c r="R363">
        <v>0</v>
      </c>
      <c r="S363">
        <v>120</v>
      </c>
      <c r="T363">
        <v>84</v>
      </c>
      <c r="U363" t="s">
        <v>36</v>
      </c>
      <c r="V363" s="2">
        <v>1.3605442176870748E-2</v>
      </c>
      <c r="W363" s="2">
        <v>0.58503401360544216</v>
      </c>
      <c r="X363">
        <v>29</v>
      </c>
    </row>
    <row r="364" spans="1:24" x14ac:dyDescent="0.3">
      <c r="A364">
        <v>425</v>
      </c>
      <c r="B364">
        <v>53</v>
      </c>
      <c r="C364">
        <v>-1</v>
      </c>
      <c r="D364" s="1">
        <v>41280</v>
      </c>
      <c r="E364">
        <v>321</v>
      </c>
      <c r="F364">
        <v>88</v>
      </c>
      <c r="G364" t="s">
        <v>40</v>
      </c>
      <c r="H364" t="s">
        <v>37</v>
      </c>
      <c r="I364">
        <v>16</v>
      </c>
      <c r="J364" t="s">
        <v>24</v>
      </c>
      <c r="K364" t="s">
        <v>33</v>
      </c>
      <c r="L364" t="s">
        <v>34</v>
      </c>
      <c r="M364">
        <v>49</v>
      </c>
      <c r="N364">
        <v>141</v>
      </c>
      <c r="O364" t="s">
        <v>61</v>
      </c>
      <c r="P364">
        <v>30</v>
      </c>
      <c r="Q364">
        <v>70</v>
      </c>
      <c r="R364">
        <v>50</v>
      </c>
      <c r="S364">
        <v>100</v>
      </c>
      <c r="T364">
        <v>39</v>
      </c>
      <c r="U364" t="s">
        <v>36</v>
      </c>
      <c r="V364" s="2">
        <v>0.3475177304964539</v>
      </c>
      <c r="W364" s="2">
        <v>0.62411347517730498</v>
      </c>
      <c r="X364">
        <v>23</v>
      </c>
    </row>
    <row r="365" spans="1:24" x14ac:dyDescent="0.3">
      <c r="A365">
        <v>419</v>
      </c>
      <c r="B365">
        <v>47</v>
      </c>
      <c r="C365">
        <v>-16</v>
      </c>
      <c r="D365" s="1">
        <v>41281</v>
      </c>
      <c r="E365">
        <v>521</v>
      </c>
      <c r="F365">
        <v>65</v>
      </c>
      <c r="G365" t="s">
        <v>22</v>
      </c>
      <c r="H365" t="s">
        <v>23</v>
      </c>
      <c r="I365">
        <v>42</v>
      </c>
      <c r="J365" t="s">
        <v>41</v>
      </c>
      <c r="K365" t="s">
        <v>46</v>
      </c>
      <c r="L365" t="s">
        <v>47</v>
      </c>
      <c r="M365">
        <v>-6</v>
      </c>
      <c r="N365">
        <v>112</v>
      </c>
      <c r="O365" t="s">
        <v>66</v>
      </c>
      <c r="P365">
        <v>40</v>
      </c>
      <c r="Q365">
        <v>70</v>
      </c>
      <c r="R365">
        <v>10</v>
      </c>
      <c r="S365">
        <v>110</v>
      </c>
      <c r="T365">
        <v>71</v>
      </c>
      <c r="U365" t="s">
        <v>28</v>
      </c>
      <c r="V365" s="2">
        <v>-5.3571428571428568E-2</v>
      </c>
      <c r="W365" s="2">
        <v>0.5803571428571429</v>
      </c>
      <c r="X365">
        <v>29</v>
      </c>
    </row>
    <row r="366" spans="1:24" x14ac:dyDescent="0.3">
      <c r="A366">
        <v>513</v>
      </c>
      <c r="B366">
        <v>54</v>
      </c>
      <c r="C366">
        <v>-11</v>
      </c>
      <c r="D366" s="1">
        <v>41282</v>
      </c>
      <c r="E366">
        <v>424</v>
      </c>
      <c r="F366">
        <v>73</v>
      </c>
      <c r="G366" t="s">
        <v>22</v>
      </c>
      <c r="H366" t="s">
        <v>23</v>
      </c>
      <c r="I366">
        <v>17</v>
      </c>
      <c r="J366" t="s">
        <v>41</v>
      </c>
      <c r="K366" t="s">
        <v>46</v>
      </c>
      <c r="L366" t="s">
        <v>51</v>
      </c>
      <c r="M366">
        <v>29</v>
      </c>
      <c r="N366">
        <v>127</v>
      </c>
      <c r="O366" t="s">
        <v>66</v>
      </c>
      <c r="P366">
        <v>50</v>
      </c>
      <c r="Q366">
        <v>70</v>
      </c>
      <c r="R366">
        <v>40</v>
      </c>
      <c r="S366">
        <v>120</v>
      </c>
      <c r="T366">
        <v>44</v>
      </c>
      <c r="U366" t="s">
        <v>36</v>
      </c>
      <c r="V366" s="2">
        <v>0.2283464566929134</v>
      </c>
      <c r="W366" s="2">
        <v>0.57480314960629919</v>
      </c>
      <c r="X366">
        <v>27</v>
      </c>
    </row>
    <row r="367" spans="1:24" x14ac:dyDescent="0.3">
      <c r="A367">
        <v>512</v>
      </c>
      <c r="B367">
        <v>67</v>
      </c>
      <c r="C367">
        <v>17</v>
      </c>
      <c r="D367" s="1">
        <v>41283</v>
      </c>
      <c r="E367">
        <v>-1239</v>
      </c>
      <c r="F367">
        <v>101</v>
      </c>
      <c r="G367" t="s">
        <v>22</v>
      </c>
      <c r="H367" t="s">
        <v>30</v>
      </c>
      <c r="I367">
        <v>22</v>
      </c>
      <c r="J367" t="s">
        <v>41</v>
      </c>
      <c r="K367" t="s">
        <v>42</v>
      </c>
      <c r="L367" t="s">
        <v>55</v>
      </c>
      <c r="M367">
        <v>47</v>
      </c>
      <c r="N367">
        <v>168</v>
      </c>
      <c r="O367" t="s">
        <v>31</v>
      </c>
      <c r="P367">
        <v>50</v>
      </c>
      <c r="Q367">
        <v>70</v>
      </c>
      <c r="R367">
        <v>30</v>
      </c>
      <c r="S367">
        <v>120</v>
      </c>
      <c r="T367">
        <v>54</v>
      </c>
      <c r="U367" t="s">
        <v>36</v>
      </c>
      <c r="V367" s="2">
        <v>0.27976190476190477</v>
      </c>
      <c r="W367" s="2">
        <v>0.60119047619047616</v>
      </c>
      <c r="X367">
        <v>32</v>
      </c>
    </row>
    <row r="368" spans="1:24" x14ac:dyDescent="0.3">
      <c r="A368">
        <v>309</v>
      </c>
      <c r="B368">
        <v>54</v>
      </c>
      <c r="C368">
        <v>3</v>
      </c>
      <c r="D368" s="1">
        <v>41284</v>
      </c>
      <c r="E368">
        <v>601</v>
      </c>
      <c r="F368">
        <v>79</v>
      </c>
      <c r="G368" t="s">
        <v>22</v>
      </c>
      <c r="H368" t="s">
        <v>23</v>
      </c>
      <c r="I368">
        <v>15</v>
      </c>
      <c r="J368" t="s">
        <v>24</v>
      </c>
      <c r="K368" t="s">
        <v>33</v>
      </c>
      <c r="L368" t="s">
        <v>34</v>
      </c>
      <c r="M368">
        <v>53</v>
      </c>
      <c r="N368">
        <v>133</v>
      </c>
      <c r="O368" t="s">
        <v>64</v>
      </c>
      <c r="P368">
        <v>40</v>
      </c>
      <c r="Q368">
        <v>70</v>
      </c>
      <c r="R368">
        <v>50</v>
      </c>
      <c r="S368">
        <v>110</v>
      </c>
      <c r="T368">
        <v>26</v>
      </c>
      <c r="U368" t="s">
        <v>36</v>
      </c>
      <c r="V368" s="2">
        <v>0.39849624060150374</v>
      </c>
      <c r="W368" s="2">
        <v>0.59398496240601506</v>
      </c>
      <c r="X368">
        <v>11</v>
      </c>
    </row>
    <row r="369" spans="1:24" x14ac:dyDescent="0.3">
      <c r="A369">
        <v>816</v>
      </c>
      <c r="B369">
        <v>63</v>
      </c>
      <c r="C369">
        <v>-4</v>
      </c>
      <c r="D369" s="1">
        <v>41285</v>
      </c>
      <c r="E369">
        <v>1075</v>
      </c>
      <c r="F369">
        <v>76</v>
      </c>
      <c r="G369" t="s">
        <v>40</v>
      </c>
      <c r="H369" t="s">
        <v>23</v>
      </c>
      <c r="I369">
        <v>19</v>
      </c>
      <c r="J369" t="s">
        <v>41</v>
      </c>
      <c r="K369" t="s">
        <v>46</v>
      </c>
      <c r="L369" t="s">
        <v>47</v>
      </c>
      <c r="M369">
        <v>36</v>
      </c>
      <c r="N369">
        <v>139</v>
      </c>
      <c r="O369" t="s">
        <v>59</v>
      </c>
      <c r="P369">
        <v>60</v>
      </c>
      <c r="Q369">
        <v>70</v>
      </c>
      <c r="R369">
        <v>40</v>
      </c>
      <c r="S369">
        <v>130</v>
      </c>
      <c r="T369">
        <v>40</v>
      </c>
      <c r="U369" t="s">
        <v>28</v>
      </c>
      <c r="V369" s="2">
        <v>0.25899280575539568</v>
      </c>
      <c r="W369" s="2">
        <v>0.5467625899280576</v>
      </c>
      <c r="X369">
        <v>21</v>
      </c>
    </row>
    <row r="370" spans="1:24" x14ac:dyDescent="0.3">
      <c r="A370">
        <v>959</v>
      </c>
      <c r="B370">
        <v>49</v>
      </c>
      <c r="C370">
        <v>-19</v>
      </c>
      <c r="D370" s="1">
        <v>41286</v>
      </c>
      <c r="E370">
        <v>392</v>
      </c>
      <c r="F370">
        <v>65</v>
      </c>
      <c r="G370" t="s">
        <v>40</v>
      </c>
      <c r="H370" t="s">
        <v>32</v>
      </c>
      <c r="I370">
        <v>16</v>
      </c>
      <c r="J370" t="s">
        <v>41</v>
      </c>
      <c r="K370" t="s">
        <v>42</v>
      </c>
      <c r="L370" t="s">
        <v>43</v>
      </c>
      <c r="M370">
        <v>21</v>
      </c>
      <c r="N370">
        <v>114</v>
      </c>
      <c r="O370" t="s">
        <v>45</v>
      </c>
      <c r="P370">
        <v>40</v>
      </c>
      <c r="Q370">
        <v>70</v>
      </c>
      <c r="R370">
        <v>40</v>
      </c>
      <c r="S370">
        <v>110</v>
      </c>
      <c r="T370">
        <v>44</v>
      </c>
      <c r="U370" t="s">
        <v>28</v>
      </c>
      <c r="V370" s="2">
        <v>0.18421052631578946</v>
      </c>
      <c r="W370" s="2">
        <v>0.57017543859649122</v>
      </c>
      <c r="X370">
        <v>28</v>
      </c>
    </row>
    <row r="371" spans="1:24" x14ac:dyDescent="0.3">
      <c r="A371">
        <v>435</v>
      </c>
      <c r="B371">
        <v>50</v>
      </c>
      <c r="C371">
        <v>-3</v>
      </c>
      <c r="D371" s="1">
        <v>41287</v>
      </c>
      <c r="E371">
        <v>898</v>
      </c>
      <c r="F371">
        <v>73</v>
      </c>
      <c r="G371" t="s">
        <v>40</v>
      </c>
      <c r="H371" t="s">
        <v>37</v>
      </c>
      <c r="I371">
        <v>14</v>
      </c>
      <c r="J371" t="s">
        <v>41</v>
      </c>
      <c r="K371" t="s">
        <v>42</v>
      </c>
      <c r="L371" t="s">
        <v>43</v>
      </c>
      <c r="M371">
        <v>47</v>
      </c>
      <c r="N371">
        <v>123</v>
      </c>
      <c r="O371" t="s">
        <v>50</v>
      </c>
      <c r="P371">
        <v>40</v>
      </c>
      <c r="Q371">
        <v>70</v>
      </c>
      <c r="R371">
        <v>50</v>
      </c>
      <c r="S371">
        <v>110</v>
      </c>
      <c r="T371">
        <v>26</v>
      </c>
      <c r="U371" t="s">
        <v>28</v>
      </c>
      <c r="V371" s="2">
        <v>0.38211382113821141</v>
      </c>
      <c r="W371" s="2">
        <v>0.5934959349593496</v>
      </c>
      <c r="X371">
        <v>12</v>
      </c>
    </row>
    <row r="372" spans="1:24" x14ac:dyDescent="0.3">
      <c r="A372">
        <v>603</v>
      </c>
      <c r="B372">
        <v>52</v>
      </c>
      <c r="C372">
        <v>-13</v>
      </c>
      <c r="D372" s="1">
        <v>41288</v>
      </c>
      <c r="E372">
        <v>327</v>
      </c>
      <c r="F372">
        <v>75</v>
      </c>
      <c r="G372" t="s">
        <v>40</v>
      </c>
      <c r="H372" t="s">
        <v>32</v>
      </c>
      <c r="I372">
        <v>16</v>
      </c>
      <c r="J372" t="s">
        <v>41</v>
      </c>
      <c r="K372" t="s">
        <v>46</v>
      </c>
      <c r="L372" t="s">
        <v>51</v>
      </c>
      <c r="M372">
        <v>37</v>
      </c>
      <c r="N372">
        <v>127</v>
      </c>
      <c r="O372" t="s">
        <v>52</v>
      </c>
      <c r="P372">
        <v>40</v>
      </c>
      <c r="Q372">
        <v>70</v>
      </c>
      <c r="R372">
        <v>50</v>
      </c>
      <c r="S372">
        <v>110</v>
      </c>
      <c r="T372">
        <v>38</v>
      </c>
      <c r="U372" t="s">
        <v>36</v>
      </c>
      <c r="V372" s="2">
        <v>0.29133858267716534</v>
      </c>
      <c r="W372" s="2">
        <v>0.59055118110236215</v>
      </c>
      <c r="X372">
        <v>22</v>
      </c>
    </row>
    <row r="373" spans="1:24" x14ac:dyDescent="0.3">
      <c r="A373">
        <v>475</v>
      </c>
      <c r="B373">
        <v>55</v>
      </c>
      <c r="C373">
        <v>-12</v>
      </c>
      <c r="D373" s="1">
        <v>41289</v>
      </c>
      <c r="E373">
        <v>627</v>
      </c>
      <c r="F373">
        <v>76</v>
      </c>
      <c r="G373" t="s">
        <v>40</v>
      </c>
      <c r="H373" t="s">
        <v>32</v>
      </c>
      <c r="I373">
        <v>49</v>
      </c>
      <c r="J373" t="s">
        <v>41</v>
      </c>
      <c r="K373" t="s">
        <v>42</v>
      </c>
      <c r="L373" t="s">
        <v>54</v>
      </c>
      <c r="M373">
        <v>-2</v>
      </c>
      <c r="N373">
        <v>131</v>
      </c>
      <c r="O373" t="s">
        <v>45</v>
      </c>
      <c r="P373">
        <v>50</v>
      </c>
      <c r="Q373">
        <v>70</v>
      </c>
      <c r="R373">
        <v>10</v>
      </c>
      <c r="S373">
        <v>120</v>
      </c>
      <c r="T373">
        <v>78</v>
      </c>
      <c r="U373" t="s">
        <v>36</v>
      </c>
      <c r="V373" s="2">
        <v>-1.5267175572519083E-2</v>
      </c>
      <c r="W373" s="2">
        <v>0.58015267175572516</v>
      </c>
      <c r="X373">
        <v>29</v>
      </c>
    </row>
    <row r="374" spans="1:24" x14ac:dyDescent="0.3">
      <c r="A374">
        <v>603</v>
      </c>
      <c r="B374">
        <v>49</v>
      </c>
      <c r="C374">
        <v>-14</v>
      </c>
      <c r="D374" s="1">
        <v>41290</v>
      </c>
      <c r="E374">
        <v>335</v>
      </c>
      <c r="F374">
        <v>69</v>
      </c>
      <c r="G374" t="s">
        <v>40</v>
      </c>
      <c r="H374" t="s">
        <v>32</v>
      </c>
      <c r="I374">
        <v>44</v>
      </c>
      <c r="J374" t="s">
        <v>41</v>
      </c>
      <c r="K374" t="s">
        <v>42</v>
      </c>
      <c r="L374" t="s">
        <v>54</v>
      </c>
      <c r="M374">
        <v>-4</v>
      </c>
      <c r="N374">
        <v>118</v>
      </c>
      <c r="O374" t="s">
        <v>52</v>
      </c>
      <c r="P374">
        <v>40</v>
      </c>
      <c r="Q374">
        <v>70</v>
      </c>
      <c r="R374">
        <v>10</v>
      </c>
      <c r="S374">
        <v>110</v>
      </c>
      <c r="T374">
        <v>73</v>
      </c>
      <c r="U374" t="s">
        <v>36</v>
      </c>
      <c r="V374" s="2">
        <v>-3.3898305084745763E-2</v>
      </c>
      <c r="W374" s="2">
        <v>0.5847457627118644</v>
      </c>
      <c r="X374">
        <v>29</v>
      </c>
    </row>
    <row r="375" spans="1:24" x14ac:dyDescent="0.3">
      <c r="A375">
        <v>503</v>
      </c>
      <c r="B375">
        <v>41</v>
      </c>
      <c r="C375">
        <v>-19</v>
      </c>
      <c r="D375" s="1">
        <v>41291</v>
      </c>
      <c r="E375">
        <v>482</v>
      </c>
      <c r="F375">
        <v>57</v>
      </c>
      <c r="G375" t="s">
        <v>40</v>
      </c>
      <c r="H375" t="s">
        <v>37</v>
      </c>
      <c r="I375">
        <v>13</v>
      </c>
      <c r="J375" t="s">
        <v>41</v>
      </c>
      <c r="K375" t="s">
        <v>46</v>
      </c>
      <c r="L375" t="s">
        <v>53</v>
      </c>
      <c r="M375">
        <v>1</v>
      </c>
      <c r="N375">
        <v>98</v>
      </c>
      <c r="O375" t="s">
        <v>57</v>
      </c>
      <c r="P375">
        <v>40</v>
      </c>
      <c r="Q375">
        <v>70</v>
      </c>
      <c r="R375">
        <v>20</v>
      </c>
      <c r="S375">
        <v>110</v>
      </c>
      <c r="T375">
        <v>56</v>
      </c>
      <c r="U375" t="s">
        <v>36</v>
      </c>
      <c r="V375" s="2">
        <v>1.020408163265306E-2</v>
      </c>
      <c r="W375" s="2">
        <v>0.58163265306122447</v>
      </c>
      <c r="X375">
        <v>43</v>
      </c>
    </row>
    <row r="376" spans="1:24" x14ac:dyDescent="0.3">
      <c r="A376">
        <v>503</v>
      </c>
      <c r="B376">
        <v>54</v>
      </c>
      <c r="C376">
        <v>-12</v>
      </c>
      <c r="D376" s="1">
        <v>41292</v>
      </c>
      <c r="E376">
        <v>424</v>
      </c>
      <c r="F376">
        <v>73</v>
      </c>
      <c r="G376" t="s">
        <v>40</v>
      </c>
      <c r="H376" t="s">
        <v>37</v>
      </c>
      <c r="I376">
        <v>17</v>
      </c>
      <c r="J376" t="s">
        <v>41</v>
      </c>
      <c r="K376" t="s">
        <v>42</v>
      </c>
      <c r="L376" t="s">
        <v>54</v>
      </c>
      <c r="M376">
        <v>28</v>
      </c>
      <c r="N376">
        <v>127</v>
      </c>
      <c r="O376" t="s">
        <v>57</v>
      </c>
      <c r="P376">
        <v>50</v>
      </c>
      <c r="Q376">
        <v>70</v>
      </c>
      <c r="R376">
        <v>40</v>
      </c>
      <c r="S376">
        <v>120</v>
      </c>
      <c r="T376">
        <v>45</v>
      </c>
      <c r="U376" t="s">
        <v>36</v>
      </c>
      <c r="V376" s="2">
        <v>0.22047244094488189</v>
      </c>
      <c r="W376" s="2">
        <v>0.57480314960629919</v>
      </c>
      <c r="X376">
        <v>28</v>
      </c>
    </row>
    <row r="377" spans="1:24" x14ac:dyDescent="0.3">
      <c r="A377">
        <v>405</v>
      </c>
      <c r="B377">
        <v>65</v>
      </c>
      <c r="C377">
        <v>2</v>
      </c>
      <c r="D377" s="1">
        <v>41293</v>
      </c>
      <c r="E377">
        <v>403</v>
      </c>
      <c r="F377">
        <v>80</v>
      </c>
      <c r="G377" t="s">
        <v>40</v>
      </c>
      <c r="H377" t="s">
        <v>30</v>
      </c>
      <c r="I377">
        <v>24</v>
      </c>
      <c r="J377" t="s">
        <v>24</v>
      </c>
      <c r="K377" t="s">
        <v>25</v>
      </c>
      <c r="L377" t="s">
        <v>58</v>
      </c>
      <c r="M377">
        <v>22</v>
      </c>
      <c r="N377">
        <v>145</v>
      </c>
      <c r="O377" t="s">
        <v>48</v>
      </c>
      <c r="P377">
        <v>60</v>
      </c>
      <c r="Q377">
        <v>70</v>
      </c>
      <c r="R377">
        <v>20</v>
      </c>
      <c r="S377">
        <v>130</v>
      </c>
      <c r="T377">
        <v>58</v>
      </c>
      <c r="U377" t="s">
        <v>28</v>
      </c>
      <c r="V377" s="2">
        <v>0.15172413793103448</v>
      </c>
      <c r="W377" s="2">
        <v>0.55172413793103448</v>
      </c>
      <c r="X377">
        <v>34</v>
      </c>
    </row>
    <row r="378" spans="1:24" x14ac:dyDescent="0.3">
      <c r="A378">
        <v>435</v>
      </c>
      <c r="B378">
        <v>52</v>
      </c>
      <c r="C378">
        <v>-4</v>
      </c>
      <c r="D378" s="1">
        <v>41294</v>
      </c>
      <c r="E378">
        <v>327</v>
      </c>
      <c r="F378">
        <v>75</v>
      </c>
      <c r="G378" t="s">
        <v>40</v>
      </c>
      <c r="H378" t="s">
        <v>37</v>
      </c>
      <c r="I378">
        <v>16</v>
      </c>
      <c r="J378" t="s">
        <v>24</v>
      </c>
      <c r="K378" t="s">
        <v>25</v>
      </c>
      <c r="L378" t="s">
        <v>58</v>
      </c>
      <c r="M378">
        <v>36</v>
      </c>
      <c r="N378">
        <v>127</v>
      </c>
      <c r="O378" t="s">
        <v>50</v>
      </c>
      <c r="P378">
        <v>40</v>
      </c>
      <c r="Q378">
        <v>70</v>
      </c>
      <c r="R378">
        <v>40</v>
      </c>
      <c r="S378">
        <v>110</v>
      </c>
      <c r="T378">
        <v>39</v>
      </c>
      <c r="U378" t="s">
        <v>28</v>
      </c>
      <c r="V378" s="2">
        <v>0.28346456692913385</v>
      </c>
      <c r="W378" s="2">
        <v>0.59055118110236215</v>
      </c>
      <c r="X378">
        <v>23</v>
      </c>
    </row>
    <row r="379" spans="1:24" x14ac:dyDescent="0.3">
      <c r="A379">
        <v>801</v>
      </c>
      <c r="B379">
        <v>48</v>
      </c>
      <c r="C379">
        <v>-12</v>
      </c>
      <c r="D379" s="1">
        <v>41295</v>
      </c>
      <c r="E379">
        <v>462</v>
      </c>
      <c r="F379">
        <v>74</v>
      </c>
      <c r="G379" t="s">
        <v>40</v>
      </c>
      <c r="H379" t="s">
        <v>37</v>
      </c>
      <c r="I379">
        <v>15</v>
      </c>
      <c r="J379" t="s">
        <v>24</v>
      </c>
      <c r="K379" t="s">
        <v>25</v>
      </c>
      <c r="L379" t="s">
        <v>26</v>
      </c>
      <c r="M379">
        <v>28</v>
      </c>
      <c r="N379">
        <v>122</v>
      </c>
      <c r="O379" t="s">
        <v>50</v>
      </c>
      <c r="P379">
        <v>40</v>
      </c>
      <c r="Q379">
        <v>70</v>
      </c>
      <c r="R379">
        <v>40</v>
      </c>
      <c r="S379">
        <v>110</v>
      </c>
      <c r="T379">
        <v>46</v>
      </c>
      <c r="U379" t="s">
        <v>28</v>
      </c>
      <c r="V379" s="2">
        <v>0.22950819672131148</v>
      </c>
      <c r="W379" s="2">
        <v>0.60655737704918034</v>
      </c>
      <c r="X379">
        <v>31</v>
      </c>
    </row>
    <row r="380" spans="1:24" x14ac:dyDescent="0.3">
      <c r="A380">
        <v>425</v>
      </c>
      <c r="B380">
        <v>49</v>
      </c>
      <c r="C380">
        <v>-4</v>
      </c>
      <c r="D380" s="1">
        <v>41296</v>
      </c>
      <c r="E380">
        <v>845</v>
      </c>
      <c r="F380">
        <v>71</v>
      </c>
      <c r="G380" t="s">
        <v>40</v>
      </c>
      <c r="H380" t="s">
        <v>37</v>
      </c>
      <c r="I380">
        <v>13</v>
      </c>
      <c r="J380" t="s">
        <v>24</v>
      </c>
      <c r="K380" t="s">
        <v>25</v>
      </c>
      <c r="L380" t="s">
        <v>26</v>
      </c>
      <c r="M380">
        <v>46</v>
      </c>
      <c r="N380">
        <v>120</v>
      </c>
      <c r="O380" t="s">
        <v>61</v>
      </c>
      <c r="P380">
        <v>40</v>
      </c>
      <c r="Q380">
        <v>70</v>
      </c>
      <c r="R380">
        <v>50</v>
      </c>
      <c r="S380">
        <v>110</v>
      </c>
      <c r="T380">
        <v>25</v>
      </c>
      <c r="U380" t="s">
        <v>28</v>
      </c>
      <c r="V380" s="2">
        <v>0.38333333333333336</v>
      </c>
      <c r="W380" s="2">
        <v>0.59166666666666667</v>
      </c>
      <c r="X380">
        <v>12</v>
      </c>
    </row>
    <row r="381" spans="1:24" x14ac:dyDescent="0.3">
      <c r="A381">
        <v>860</v>
      </c>
      <c r="B381">
        <v>50</v>
      </c>
      <c r="C381">
        <v>-3</v>
      </c>
      <c r="D381" s="1">
        <v>41297</v>
      </c>
      <c r="E381">
        <v>898</v>
      </c>
      <c r="F381">
        <v>73</v>
      </c>
      <c r="G381" t="s">
        <v>40</v>
      </c>
      <c r="H381" t="s">
        <v>32</v>
      </c>
      <c r="I381">
        <v>14</v>
      </c>
      <c r="J381" t="s">
        <v>24</v>
      </c>
      <c r="K381" t="s">
        <v>33</v>
      </c>
      <c r="L381" t="s">
        <v>34</v>
      </c>
      <c r="M381">
        <v>47</v>
      </c>
      <c r="N381">
        <v>123</v>
      </c>
      <c r="O381" t="s">
        <v>45</v>
      </c>
      <c r="P381">
        <v>50</v>
      </c>
      <c r="Q381">
        <v>70</v>
      </c>
      <c r="R381">
        <v>50</v>
      </c>
      <c r="S381">
        <v>120</v>
      </c>
      <c r="T381">
        <v>26</v>
      </c>
      <c r="U381" t="s">
        <v>36</v>
      </c>
      <c r="V381" s="2">
        <v>0.38211382113821141</v>
      </c>
      <c r="W381" s="2">
        <v>0.5934959349593496</v>
      </c>
      <c r="X381">
        <v>12</v>
      </c>
    </row>
    <row r="382" spans="1:24" x14ac:dyDescent="0.3">
      <c r="A382">
        <v>234</v>
      </c>
      <c r="B382">
        <v>51</v>
      </c>
      <c r="C382">
        <v>-37</v>
      </c>
      <c r="D382" s="1">
        <v>41298</v>
      </c>
      <c r="E382">
        <v>503</v>
      </c>
      <c r="F382">
        <v>71</v>
      </c>
      <c r="G382" t="s">
        <v>22</v>
      </c>
      <c r="H382" t="s">
        <v>23</v>
      </c>
      <c r="I382">
        <v>46</v>
      </c>
      <c r="J382" t="s">
        <v>41</v>
      </c>
      <c r="K382" t="s">
        <v>46</v>
      </c>
      <c r="L382" t="s">
        <v>47</v>
      </c>
      <c r="M382">
        <v>-7</v>
      </c>
      <c r="N382">
        <v>130</v>
      </c>
      <c r="O382" t="s">
        <v>66</v>
      </c>
      <c r="P382">
        <v>40</v>
      </c>
      <c r="Q382">
        <v>70</v>
      </c>
      <c r="R382">
        <v>30</v>
      </c>
      <c r="S382">
        <v>110</v>
      </c>
      <c r="T382">
        <v>76</v>
      </c>
      <c r="U382" t="s">
        <v>28</v>
      </c>
      <c r="V382" s="2">
        <v>-5.3846153846153849E-2</v>
      </c>
      <c r="W382" s="2">
        <v>0.60769230769230764</v>
      </c>
      <c r="X382">
        <v>30</v>
      </c>
    </row>
    <row r="383" spans="1:24" x14ac:dyDescent="0.3">
      <c r="A383">
        <v>614</v>
      </c>
      <c r="B383">
        <v>52</v>
      </c>
      <c r="C383">
        <v>-21</v>
      </c>
      <c r="D383" s="1">
        <v>41299</v>
      </c>
      <c r="E383">
        <v>405</v>
      </c>
      <c r="F383">
        <v>71</v>
      </c>
      <c r="G383" t="s">
        <v>22</v>
      </c>
      <c r="H383" t="s">
        <v>23</v>
      </c>
      <c r="I383">
        <v>17</v>
      </c>
      <c r="J383" t="s">
        <v>41</v>
      </c>
      <c r="K383" t="s">
        <v>46</v>
      </c>
      <c r="L383" t="s">
        <v>51</v>
      </c>
      <c r="M383">
        <v>39</v>
      </c>
      <c r="N383">
        <v>131</v>
      </c>
      <c r="O383" t="s">
        <v>66</v>
      </c>
      <c r="P383">
        <v>40</v>
      </c>
      <c r="Q383">
        <v>70</v>
      </c>
      <c r="R383">
        <v>60</v>
      </c>
      <c r="S383">
        <v>110</v>
      </c>
      <c r="T383">
        <v>45</v>
      </c>
      <c r="U383" t="s">
        <v>36</v>
      </c>
      <c r="V383" s="2">
        <v>0.29770992366412213</v>
      </c>
      <c r="W383" s="2">
        <v>0.60305343511450382</v>
      </c>
      <c r="X383">
        <v>28</v>
      </c>
    </row>
    <row r="384" spans="1:24" x14ac:dyDescent="0.3">
      <c r="A384">
        <v>937</v>
      </c>
      <c r="B384">
        <v>43</v>
      </c>
      <c r="C384">
        <v>-18</v>
      </c>
      <c r="D384" s="1">
        <v>41300</v>
      </c>
      <c r="E384">
        <v>419</v>
      </c>
      <c r="F384">
        <v>64</v>
      </c>
      <c r="G384" t="s">
        <v>22</v>
      </c>
      <c r="H384" t="s">
        <v>23</v>
      </c>
      <c r="I384">
        <v>13</v>
      </c>
      <c r="J384" t="s">
        <v>41</v>
      </c>
      <c r="K384" t="s">
        <v>46</v>
      </c>
      <c r="L384" t="s">
        <v>53</v>
      </c>
      <c r="M384">
        <v>42</v>
      </c>
      <c r="N384">
        <v>114</v>
      </c>
      <c r="O384" t="s">
        <v>66</v>
      </c>
      <c r="P384">
        <v>30</v>
      </c>
      <c r="Q384">
        <v>70</v>
      </c>
      <c r="R384">
        <v>60</v>
      </c>
      <c r="S384">
        <v>100</v>
      </c>
      <c r="T384">
        <v>36</v>
      </c>
      <c r="U384" t="s">
        <v>36</v>
      </c>
      <c r="V384" s="2">
        <v>0.36842105263157893</v>
      </c>
      <c r="W384" s="2">
        <v>0.6228070175438597</v>
      </c>
      <c r="X384">
        <v>23</v>
      </c>
    </row>
    <row r="385" spans="1:24" x14ac:dyDescent="0.3">
      <c r="A385">
        <v>774</v>
      </c>
      <c r="B385">
        <v>51</v>
      </c>
      <c r="C385">
        <v>-46</v>
      </c>
      <c r="D385" s="1">
        <v>41301</v>
      </c>
      <c r="E385">
        <v>542</v>
      </c>
      <c r="F385">
        <v>65</v>
      </c>
      <c r="G385" t="s">
        <v>22</v>
      </c>
      <c r="H385" t="s">
        <v>32</v>
      </c>
      <c r="I385">
        <v>46</v>
      </c>
      <c r="J385" t="s">
        <v>41</v>
      </c>
      <c r="K385" t="s">
        <v>42</v>
      </c>
      <c r="L385" t="s">
        <v>54</v>
      </c>
      <c r="M385">
        <v>-16</v>
      </c>
      <c r="N385">
        <v>124</v>
      </c>
      <c r="O385" t="s">
        <v>63</v>
      </c>
      <c r="P385">
        <v>30</v>
      </c>
      <c r="Q385">
        <v>70</v>
      </c>
      <c r="R385">
        <v>30</v>
      </c>
      <c r="S385">
        <v>100</v>
      </c>
      <c r="T385">
        <v>76</v>
      </c>
      <c r="U385" t="s">
        <v>36</v>
      </c>
      <c r="V385" s="2">
        <v>-0.12903225806451613</v>
      </c>
      <c r="W385" s="2">
        <v>0.58870967741935487</v>
      </c>
      <c r="X385">
        <v>30</v>
      </c>
    </row>
    <row r="386" spans="1:24" x14ac:dyDescent="0.3">
      <c r="A386">
        <v>682</v>
      </c>
      <c r="B386">
        <v>72</v>
      </c>
      <c r="C386">
        <v>32</v>
      </c>
      <c r="D386" s="1">
        <v>41302</v>
      </c>
      <c r="E386">
        <v>-868</v>
      </c>
      <c r="F386">
        <v>110</v>
      </c>
      <c r="G386" t="s">
        <v>22</v>
      </c>
      <c r="H386" t="s">
        <v>30</v>
      </c>
      <c r="I386">
        <v>23</v>
      </c>
      <c r="J386" t="s">
        <v>41</v>
      </c>
      <c r="K386" t="s">
        <v>42</v>
      </c>
      <c r="L386" t="s">
        <v>55</v>
      </c>
      <c r="M386">
        <v>82</v>
      </c>
      <c r="N386">
        <v>194</v>
      </c>
      <c r="O386" t="s">
        <v>31</v>
      </c>
      <c r="P386">
        <v>40</v>
      </c>
      <c r="Q386">
        <v>70</v>
      </c>
      <c r="R386">
        <v>50</v>
      </c>
      <c r="S386">
        <v>110</v>
      </c>
      <c r="T386">
        <v>55</v>
      </c>
      <c r="U386" t="s">
        <v>36</v>
      </c>
      <c r="V386" s="2">
        <v>0.42268041237113402</v>
      </c>
      <c r="W386" s="2">
        <v>0.62886597938144329</v>
      </c>
      <c r="X386">
        <v>32</v>
      </c>
    </row>
    <row r="387" spans="1:24" x14ac:dyDescent="0.3">
      <c r="A387">
        <v>772</v>
      </c>
      <c r="B387">
        <v>48</v>
      </c>
      <c r="C387">
        <v>8</v>
      </c>
      <c r="D387" s="1">
        <v>41303</v>
      </c>
      <c r="E387">
        <v>851</v>
      </c>
      <c r="F387">
        <v>70</v>
      </c>
      <c r="G387" t="s">
        <v>22</v>
      </c>
      <c r="H387" t="s">
        <v>32</v>
      </c>
      <c r="I387">
        <v>13</v>
      </c>
      <c r="J387" t="s">
        <v>24</v>
      </c>
      <c r="K387" t="s">
        <v>33</v>
      </c>
      <c r="L387" t="s">
        <v>38</v>
      </c>
      <c r="M387">
        <v>68</v>
      </c>
      <c r="N387">
        <v>126</v>
      </c>
      <c r="O387" t="s">
        <v>35</v>
      </c>
      <c r="P387">
        <v>50</v>
      </c>
      <c r="Q387">
        <v>70</v>
      </c>
      <c r="R387">
        <v>60</v>
      </c>
      <c r="S387">
        <v>120</v>
      </c>
      <c r="T387">
        <v>24</v>
      </c>
      <c r="U387" t="s">
        <v>36</v>
      </c>
      <c r="V387" s="2">
        <v>0.53968253968253965</v>
      </c>
      <c r="W387" s="2">
        <v>0.61904761904761907</v>
      </c>
      <c r="X387">
        <v>11</v>
      </c>
    </row>
    <row r="388" spans="1:24" x14ac:dyDescent="0.3">
      <c r="A388">
        <v>225</v>
      </c>
      <c r="B388">
        <v>60</v>
      </c>
      <c r="C388">
        <v>16</v>
      </c>
      <c r="D388" s="1">
        <v>41304</v>
      </c>
      <c r="E388">
        <v>329</v>
      </c>
      <c r="F388">
        <v>99</v>
      </c>
      <c r="G388" t="s">
        <v>40</v>
      </c>
      <c r="H388" t="s">
        <v>30</v>
      </c>
      <c r="I388">
        <v>18</v>
      </c>
      <c r="J388" t="s">
        <v>41</v>
      </c>
      <c r="K388" t="s">
        <v>42</v>
      </c>
      <c r="L388" t="s">
        <v>54</v>
      </c>
      <c r="M388">
        <v>86</v>
      </c>
      <c r="N388">
        <v>169</v>
      </c>
      <c r="O388" t="s">
        <v>56</v>
      </c>
      <c r="P388">
        <v>30</v>
      </c>
      <c r="Q388">
        <v>70</v>
      </c>
      <c r="R388">
        <v>70</v>
      </c>
      <c r="S388">
        <v>100</v>
      </c>
      <c r="T388">
        <v>41</v>
      </c>
      <c r="U388" t="s">
        <v>36</v>
      </c>
      <c r="V388" s="2">
        <v>0.50887573964497046</v>
      </c>
      <c r="W388" s="2">
        <v>0.6449704142011834</v>
      </c>
      <c r="X388">
        <v>23</v>
      </c>
    </row>
    <row r="389" spans="1:24" x14ac:dyDescent="0.3">
      <c r="A389">
        <v>541</v>
      </c>
      <c r="B389">
        <v>52</v>
      </c>
      <c r="C389">
        <v>-20</v>
      </c>
      <c r="D389" s="1">
        <v>41305</v>
      </c>
      <c r="E389">
        <v>405</v>
      </c>
      <c r="F389">
        <v>71</v>
      </c>
      <c r="G389" t="s">
        <v>40</v>
      </c>
      <c r="H389" t="s">
        <v>37</v>
      </c>
      <c r="I389">
        <v>17</v>
      </c>
      <c r="J389" t="s">
        <v>41</v>
      </c>
      <c r="K389" t="s">
        <v>42</v>
      </c>
      <c r="L389" t="s">
        <v>54</v>
      </c>
      <c r="M389">
        <v>40</v>
      </c>
      <c r="N389">
        <v>131</v>
      </c>
      <c r="O389" t="s">
        <v>57</v>
      </c>
      <c r="P389">
        <v>30</v>
      </c>
      <c r="Q389">
        <v>70</v>
      </c>
      <c r="R389">
        <v>60</v>
      </c>
      <c r="S389">
        <v>100</v>
      </c>
      <c r="T389">
        <v>44</v>
      </c>
      <c r="U389" t="s">
        <v>36</v>
      </c>
      <c r="V389" s="2">
        <v>0.30534351145038169</v>
      </c>
      <c r="W389" s="2">
        <v>0.60305343511450382</v>
      </c>
      <c r="X389">
        <v>27</v>
      </c>
    </row>
    <row r="390" spans="1:24" x14ac:dyDescent="0.3">
      <c r="A390">
        <v>425</v>
      </c>
      <c r="B390">
        <v>56</v>
      </c>
      <c r="C390">
        <v>-26</v>
      </c>
      <c r="D390" s="1">
        <v>41306</v>
      </c>
      <c r="E390">
        <v>385</v>
      </c>
      <c r="F390">
        <v>70</v>
      </c>
      <c r="G390" t="s">
        <v>40</v>
      </c>
      <c r="H390" t="s">
        <v>37</v>
      </c>
      <c r="I390">
        <v>21</v>
      </c>
      <c r="J390" t="s">
        <v>41</v>
      </c>
      <c r="K390" t="s">
        <v>42</v>
      </c>
      <c r="L390" t="s">
        <v>54</v>
      </c>
      <c r="M390">
        <v>24</v>
      </c>
      <c r="N390">
        <v>134</v>
      </c>
      <c r="O390" t="s">
        <v>61</v>
      </c>
      <c r="P390">
        <v>40</v>
      </c>
      <c r="Q390">
        <v>70</v>
      </c>
      <c r="R390">
        <v>50</v>
      </c>
      <c r="S390">
        <v>110</v>
      </c>
      <c r="T390">
        <v>54</v>
      </c>
      <c r="U390" t="s">
        <v>36</v>
      </c>
      <c r="V390" s="2">
        <v>0.17910447761194029</v>
      </c>
      <c r="W390" s="2">
        <v>0.58208955223880599</v>
      </c>
      <c r="X390">
        <v>33</v>
      </c>
    </row>
    <row r="391" spans="1:24" x14ac:dyDescent="0.3">
      <c r="A391">
        <v>580</v>
      </c>
      <c r="B391">
        <v>56</v>
      </c>
      <c r="C391">
        <v>-26</v>
      </c>
      <c r="D391" s="1">
        <v>41307</v>
      </c>
      <c r="E391">
        <v>385</v>
      </c>
      <c r="F391">
        <v>70</v>
      </c>
      <c r="G391" t="s">
        <v>40</v>
      </c>
      <c r="H391" t="s">
        <v>30</v>
      </c>
      <c r="I391">
        <v>21</v>
      </c>
      <c r="J391" t="s">
        <v>24</v>
      </c>
      <c r="K391" t="s">
        <v>25</v>
      </c>
      <c r="L391" t="s">
        <v>58</v>
      </c>
      <c r="M391">
        <v>24</v>
      </c>
      <c r="N391">
        <v>134</v>
      </c>
      <c r="O391" t="s">
        <v>48</v>
      </c>
      <c r="P391">
        <v>40</v>
      </c>
      <c r="Q391">
        <v>70</v>
      </c>
      <c r="R391">
        <v>50</v>
      </c>
      <c r="S391">
        <v>110</v>
      </c>
      <c r="T391">
        <v>54</v>
      </c>
      <c r="U391" t="s">
        <v>28</v>
      </c>
      <c r="V391" s="2">
        <v>0.17910447761194029</v>
      </c>
      <c r="W391" s="2">
        <v>0.58208955223880599</v>
      </c>
      <c r="X391">
        <v>33</v>
      </c>
    </row>
    <row r="392" spans="1:24" x14ac:dyDescent="0.3">
      <c r="A392">
        <v>435</v>
      </c>
      <c r="B392">
        <v>45</v>
      </c>
      <c r="C392">
        <v>-26</v>
      </c>
      <c r="D392" s="1">
        <v>41308</v>
      </c>
      <c r="E392">
        <v>447</v>
      </c>
      <c r="F392">
        <v>69</v>
      </c>
      <c r="G392" t="s">
        <v>40</v>
      </c>
      <c r="H392" t="s">
        <v>37</v>
      </c>
      <c r="I392">
        <v>14</v>
      </c>
      <c r="J392" t="s">
        <v>24</v>
      </c>
      <c r="K392" t="s">
        <v>25</v>
      </c>
      <c r="L392" t="s">
        <v>26</v>
      </c>
      <c r="M392">
        <v>34</v>
      </c>
      <c r="N392">
        <v>121</v>
      </c>
      <c r="O392" t="s">
        <v>50</v>
      </c>
      <c r="P392">
        <v>20</v>
      </c>
      <c r="Q392">
        <v>70</v>
      </c>
      <c r="R392">
        <v>60</v>
      </c>
      <c r="S392">
        <v>90</v>
      </c>
      <c r="T392">
        <v>46</v>
      </c>
      <c r="U392" t="s">
        <v>28</v>
      </c>
      <c r="V392" s="2">
        <v>0.28099173553719009</v>
      </c>
      <c r="W392" s="2">
        <v>0.62809917355371903</v>
      </c>
      <c r="X392">
        <v>32</v>
      </c>
    </row>
    <row r="393" spans="1:24" x14ac:dyDescent="0.3">
      <c r="A393">
        <v>614</v>
      </c>
      <c r="B393">
        <v>52</v>
      </c>
      <c r="C393">
        <v>-14</v>
      </c>
      <c r="D393" s="1">
        <v>41309</v>
      </c>
      <c r="E393">
        <v>509</v>
      </c>
      <c r="F393">
        <v>73</v>
      </c>
      <c r="G393" t="s">
        <v>22</v>
      </c>
      <c r="H393" t="s">
        <v>23</v>
      </c>
      <c r="I393">
        <v>47</v>
      </c>
      <c r="J393" t="s">
        <v>41</v>
      </c>
      <c r="K393" t="s">
        <v>46</v>
      </c>
      <c r="L393" t="s">
        <v>47</v>
      </c>
      <c r="M393">
        <v>-4</v>
      </c>
      <c r="N393">
        <v>133</v>
      </c>
      <c r="O393" t="s">
        <v>66</v>
      </c>
      <c r="P393">
        <v>50</v>
      </c>
      <c r="Q393">
        <v>70</v>
      </c>
      <c r="R393">
        <v>10</v>
      </c>
      <c r="S393">
        <v>120</v>
      </c>
      <c r="T393">
        <v>76</v>
      </c>
      <c r="U393" t="s">
        <v>28</v>
      </c>
      <c r="V393" s="2">
        <v>-3.007518796992481E-2</v>
      </c>
      <c r="W393" s="2">
        <v>0.60902255639097747</v>
      </c>
      <c r="X393">
        <v>29</v>
      </c>
    </row>
    <row r="394" spans="1:24" x14ac:dyDescent="0.3">
      <c r="A394">
        <v>234</v>
      </c>
      <c r="B394">
        <v>46</v>
      </c>
      <c r="C394">
        <v>7</v>
      </c>
      <c r="D394" s="1">
        <v>41310</v>
      </c>
      <c r="E394">
        <v>424</v>
      </c>
      <c r="F394">
        <v>68</v>
      </c>
      <c r="G394" t="s">
        <v>22</v>
      </c>
      <c r="H394" t="s">
        <v>23</v>
      </c>
      <c r="I394">
        <v>14</v>
      </c>
      <c r="J394" t="s">
        <v>41</v>
      </c>
      <c r="K394" t="s">
        <v>46</v>
      </c>
      <c r="L394" t="s">
        <v>53</v>
      </c>
      <c r="M394">
        <v>47</v>
      </c>
      <c r="N394">
        <v>121</v>
      </c>
      <c r="O394" t="s">
        <v>66</v>
      </c>
      <c r="P394">
        <v>40</v>
      </c>
      <c r="Q394">
        <v>70</v>
      </c>
      <c r="R394">
        <v>40</v>
      </c>
      <c r="S394">
        <v>110</v>
      </c>
      <c r="T394">
        <v>36</v>
      </c>
      <c r="U394" t="s">
        <v>36</v>
      </c>
      <c r="V394" s="2">
        <v>0.38842975206611569</v>
      </c>
      <c r="W394" s="2">
        <v>0.6198347107438017</v>
      </c>
      <c r="X394">
        <v>22</v>
      </c>
    </row>
    <row r="395" spans="1:24" x14ac:dyDescent="0.3">
      <c r="A395">
        <v>970</v>
      </c>
      <c r="B395">
        <v>52</v>
      </c>
      <c r="C395">
        <v>-16</v>
      </c>
      <c r="D395" s="1">
        <v>41311</v>
      </c>
      <c r="E395">
        <v>509</v>
      </c>
      <c r="F395">
        <v>73</v>
      </c>
      <c r="G395" t="s">
        <v>22</v>
      </c>
      <c r="H395" t="s">
        <v>23</v>
      </c>
      <c r="I395">
        <v>47</v>
      </c>
      <c r="J395" t="s">
        <v>24</v>
      </c>
      <c r="K395" t="s">
        <v>25</v>
      </c>
      <c r="L395" t="s">
        <v>26</v>
      </c>
      <c r="M395">
        <v>-6</v>
      </c>
      <c r="N395">
        <v>133</v>
      </c>
      <c r="O395" t="s">
        <v>27</v>
      </c>
      <c r="P395">
        <v>40</v>
      </c>
      <c r="Q395">
        <v>70</v>
      </c>
      <c r="R395">
        <v>10</v>
      </c>
      <c r="S395">
        <v>110</v>
      </c>
      <c r="T395">
        <v>77</v>
      </c>
      <c r="U395" t="s">
        <v>28</v>
      </c>
      <c r="V395" s="2">
        <v>-4.5112781954887216E-2</v>
      </c>
      <c r="W395" s="2">
        <v>0.60902255639097747</v>
      </c>
      <c r="X395">
        <v>30</v>
      </c>
    </row>
    <row r="396" spans="1:24" x14ac:dyDescent="0.3">
      <c r="A396">
        <v>970</v>
      </c>
      <c r="B396">
        <v>59</v>
      </c>
      <c r="C396">
        <v>7</v>
      </c>
      <c r="D396" s="1">
        <v>41312</v>
      </c>
      <c r="E396">
        <v>411</v>
      </c>
      <c r="F396">
        <v>79</v>
      </c>
      <c r="G396" t="s">
        <v>22</v>
      </c>
      <c r="H396" t="s">
        <v>23</v>
      </c>
      <c r="I396">
        <v>19</v>
      </c>
      <c r="J396" t="s">
        <v>24</v>
      </c>
      <c r="K396" t="s">
        <v>25</v>
      </c>
      <c r="L396" t="s">
        <v>29</v>
      </c>
      <c r="M396">
        <v>47</v>
      </c>
      <c r="N396">
        <v>147</v>
      </c>
      <c r="O396" t="s">
        <v>27</v>
      </c>
      <c r="P396">
        <v>50</v>
      </c>
      <c r="Q396">
        <v>70</v>
      </c>
      <c r="R396">
        <v>40</v>
      </c>
      <c r="S396">
        <v>120</v>
      </c>
      <c r="T396">
        <v>47</v>
      </c>
      <c r="U396" t="s">
        <v>28</v>
      </c>
      <c r="V396" s="2">
        <v>0.31972789115646261</v>
      </c>
      <c r="W396" s="2">
        <v>0.59863945578231292</v>
      </c>
      <c r="X396">
        <v>28</v>
      </c>
    </row>
    <row r="397" spans="1:24" x14ac:dyDescent="0.3">
      <c r="A397">
        <v>936</v>
      </c>
      <c r="B397">
        <v>59</v>
      </c>
      <c r="C397">
        <v>7</v>
      </c>
      <c r="D397" s="1">
        <v>41313</v>
      </c>
      <c r="E397">
        <v>411</v>
      </c>
      <c r="F397">
        <v>79</v>
      </c>
      <c r="G397" t="s">
        <v>22</v>
      </c>
      <c r="H397" t="s">
        <v>30</v>
      </c>
      <c r="I397">
        <v>19</v>
      </c>
      <c r="J397" t="s">
        <v>24</v>
      </c>
      <c r="K397" t="s">
        <v>25</v>
      </c>
      <c r="L397" t="s">
        <v>58</v>
      </c>
      <c r="M397">
        <v>47</v>
      </c>
      <c r="N397">
        <v>147</v>
      </c>
      <c r="O397" t="s">
        <v>31</v>
      </c>
      <c r="P397">
        <v>50</v>
      </c>
      <c r="Q397">
        <v>70</v>
      </c>
      <c r="R397">
        <v>40</v>
      </c>
      <c r="S397">
        <v>120</v>
      </c>
      <c r="T397">
        <v>47</v>
      </c>
      <c r="U397" t="s">
        <v>28</v>
      </c>
      <c r="V397" s="2">
        <v>0.31972789115646261</v>
      </c>
      <c r="W397" s="2">
        <v>0.59863945578231292</v>
      </c>
      <c r="X397">
        <v>28</v>
      </c>
    </row>
    <row r="398" spans="1:24" x14ac:dyDescent="0.3">
      <c r="A398">
        <v>914</v>
      </c>
      <c r="B398">
        <v>50</v>
      </c>
      <c r="C398">
        <v>20</v>
      </c>
      <c r="D398" s="1">
        <v>41314</v>
      </c>
      <c r="E398">
        <v>589</v>
      </c>
      <c r="F398">
        <v>73</v>
      </c>
      <c r="G398" t="s">
        <v>22</v>
      </c>
      <c r="H398" t="s">
        <v>32</v>
      </c>
      <c r="I398">
        <v>14</v>
      </c>
      <c r="J398" t="s">
        <v>24</v>
      </c>
      <c r="K398" t="s">
        <v>33</v>
      </c>
      <c r="L398" t="s">
        <v>38</v>
      </c>
      <c r="M398">
        <v>70</v>
      </c>
      <c r="N398">
        <v>131</v>
      </c>
      <c r="O398" t="s">
        <v>68</v>
      </c>
      <c r="P398">
        <v>50</v>
      </c>
      <c r="Q398">
        <v>70</v>
      </c>
      <c r="R398">
        <v>50</v>
      </c>
      <c r="S398">
        <v>120</v>
      </c>
      <c r="T398">
        <v>26</v>
      </c>
      <c r="U398" t="s">
        <v>36</v>
      </c>
      <c r="V398" s="2">
        <v>0.53435114503816794</v>
      </c>
      <c r="W398" s="2">
        <v>0.61832061068702293</v>
      </c>
      <c r="X398">
        <v>12</v>
      </c>
    </row>
    <row r="399" spans="1:24" x14ac:dyDescent="0.3">
      <c r="A399">
        <v>203</v>
      </c>
      <c r="B399">
        <v>53</v>
      </c>
      <c r="C399">
        <v>-1</v>
      </c>
      <c r="D399" s="1">
        <v>41315</v>
      </c>
      <c r="E399">
        <v>380</v>
      </c>
      <c r="F399">
        <v>71</v>
      </c>
      <c r="G399" t="s">
        <v>40</v>
      </c>
      <c r="H399" t="s">
        <v>32</v>
      </c>
      <c r="I399">
        <v>17</v>
      </c>
      <c r="J399" t="s">
        <v>41</v>
      </c>
      <c r="K399" t="s">
        <v>42</v>
      </c>
      <c r="L399" t="s">
        <v>43</v>
      </c>
      <c r="M399">
        <v>39</v>
      </c>
      <c r="N399">
        <v>132</v>
      </c>
      <c r="O399" t="s">
        <v>45</v>
      </c>
      <c r="P399">
        <v>50</v>
      </c>
      <c r="Q399">
        <v>70</v>
      </c>
      <c r="R399">
        <v>40</v>
      </c>
      <c r="S399">
        <v>120</v>
      </c>
      <c r="T399">
        <v>45</v>
      </c>
      <c r="U399" t="s">
        <v>28</v>
      </c>
      <c r="V399" s="2">
        <v>0.29545454545454547</v>
      </c>
      <c r="W399" s="2">
        <v>0.59848484848484851</v>
      </c>
      <c r="X399">
        <v>28</v>
      </c>
    </row>
    <row r="400" spans="1:24" x14ac:dyDescent="0.3">
      <c r="A400">
        <v>435</v>
      </c>
      <c r="B400">
        <v>54</v>
      </c>
      <c r="C400">
        <v>27</v>
      </c>
      <c r="D400" s="1">
        <v>41316</v>
      </c>
      <c r="E400">
        <v>885</v>
      </c>
      <c r="F400">
        <v>78</v>
      </c>
      <c r="G400" t="s">
        <v>40</v>
      </c>
      <c r="H400" t="s">
        <v>37</v>
      </c>
      <c r="I400">
        <v>15</v>
      </c>
      <c r="J400" t="s">
        <v>41</v>
      </c>
      <c r="K400" t="s">
        <v>42</v>
      </c>
      <c r="L400" t="s">
        <v>43</v>
      </c>
      <c r="M400">
        <v>77</v>
      </c>
      <c r="N400">
        <v>141</v>
      </c>
      <c r="O400" t="s">
        <v>50</v>
      </c>
      <c r="P400">
        <v>50</v>
      </c>
      <c r="Q400">
        <v>70</v>
      </c>
      <c r="R400">
        <v>50</v>
      </c>
      <c r="S400">
        <v>120</v>
      </c>
      <c r="T400">
        <v>26</v>
      </c>
      <c r="U400" t="s">
        <v>28</v>
      </c>
      <c r="V400" s="2">
        <v>0.54609929078014185</v>
      </c>
      <c r="W400" s="2">
        <v>0.61702127659574468</v>
      </c>
      <c r="X400">
        <v>11</v>
      </c>
    </row>
    <row r="401" spans="1:24" x14ac:dyDescent="0.3">
      <c r="A401">
        <v>505</v>
      </c>
      <c r="B401">
        <v>43</v>
      </c>
      <c r="C401">
        <v>0</v>
      </c>
      <c r="D401" s="1">
        <v>41317</v>
      </c>
      <c r="E401">
        <v>452</v>
      </c>
      <c r="F401">
        <v>66</v>
      </c>
      <c r="G401" t="s">
        <v>40</v>
      </c>
      <c r="H401" t="s">
        <v>30</v>
      </c>
      <c r="I401">
        <v>14</v>
      </c>
      <c r="J401" t="s">
        <v>41</v>
      </c>
      <c r="K401" t="s">
        <v>46</v>
      </c>
      <c r="L401" t="s">
        <v>53</v>
      </c>
      <c r="M401">
        <v>30</v>
      </c>
      <c r="N401">
        <v>116</v>
      </c>
      <c r="O401" t="s">
        <v>65</v>
      </c>
      <c r="P401">
        <v>50</v>
      </c>
      <c r="Q401">
        <v>70</v>
      </c>
      <c r="R401">
        <v>30</v>
      </c>
      <c r="S401">
        <v>120</v>
      </c>
      <c r="T401">
        <v>46</v>
      </c>
      <c r="U401" t="s">
        <v>36</v>
      </c>
      <c r="V401" s="2">
        <v>0.25862068965517243</v>
      </c>
      <c r="W401" s="2">
        <v>0.62931034482758619</v>
      </c>
      <c r="X401">
        <v>32</v>
      </c>
    </row>
    <row r="402" spans="1:24" x14ac:dyDescent="0.3">
      <c r="A402">
        <v>318</v>
      </c>
      <c r="B402">
        <v>61</v>
      </c>
      <c r="C402">
        <v>-9</v>
      </c>
      <c r="D402" s="1">
        <v>41318</v>
      </c>
      <c r="E402">
        <v>-906</v>
      </c>
      <c r="F402">
        <v>86</v>
      </c>
      <c r="G402" t="s">
        <v>40</v>
      </c>
      <c r="H402" t="s">
        <v>30</v>
      </c>
      <c r="I402">
        <v>55</v>
      </c>
      <c r="J402" t="s">
        <v>41</v>
      </c>
      <c r="K402" t="s">
        <v>42</v>
      </c>
      <c r="L402" t="s">
        <v>55</v>
      </c>
      <c r="M402">
        <v>1</v>
      </c>
      <c r="N402">
        <v>157</v>
      </c>
      <c r="O402" t="s">
        <v>56</v>
      </c>
      <c r="P402">
        <v>40</v>
      </c>
      <c r="Q402">
        <v>70</v>
      </c>
      <c r="R402">
        <v>10</v>
      </c>
      <c r="S402">
        <v>110</v>
      </c>
      <c r="T402">
        <v>85</v>
      </c>
      <c r="U402" t="s">
        <v>36</v>
      </c>
      <c r="V402" s="2">
        <v>6.369426751592357E-3</v>
      </c>
      <c r="W402" s="2">
        <v>0.61146496815286622</v>
      </c>
      <c r="X402">
        <v>30</v>
      </c>
    </row>
    <row r="403" spans="1:24" x14ac:dyDescent="0.3">
      <c r="A403">
        <v>503</v>
      </c>
      <c r="B403">
        <v>55</v>
      </c>
      <c r="C403">
        <v>-6</v>
      </c>
      <c r="D403" s="1">
        <v>41319</v>
      </c>
      <c r="E403">
        <v>410</v>
      </c>
      <c r="F403">
        <v>69</v>
      </c>
      <c r="G403" t="s">
        <v>40</v>
      </c>
      <c r="H403" t="s">
        <v>37</v>
      </c>
      <c r="I403">
        <v>20</v>
      </c>
      <c r="J403" t="s">
        <v>41</v>
      </c>
      <c r="K403" t="s">
        <v>42</v>
      </c>
      <c r="L403" t="s">
        <v>55</v>
      </c>
      <c r="M403">
        <v>24</v>
      </c>
      <c r="N403">
        <v>132</v>
      </c>
      <c r="O403" t="s">
        <v>57</v>
      </c>
      <c r="P403">
        <v>50</v>
      </c>
      <c r="Q403">
        <v>70</v>
      </c>
      <c r="R403">
        <v>30</v>
      </c>
      <c r="S403">
        <v>120</v>
      </c>
      <c r="T403">
        <v>53</v>
      </c>
      <c r="U403" t="s">
        <v>36</v>
      </c>
      <c r="V403" s="2">
        <v>0.18181818181818182</v>
      </c>
      <c r="W403" s="2">
        <v>0.58333333333333337</v>
      </c>
      <c r="X403">
        <v>33</v>
      </c>
    </row>
    <row r="404" spans="1:24" x14ac:dyDescent="0.3">
      <c r="A404">
        <v>475</v>
      </c>
      <c r="B404">
        <v>82</v>
      </c>
      <c r="C404">
        <v>26</v>
      </c>
      <c r="D404" s="1">
        <v>41320</v>
      </c>
      <c r="E404">
        <v>601</v>
      </c>
      <c r="F404">
        <v>102</v>
      </c>
      <c r="G404" t="s">
        <v>40</v>
      </c>
      <c r="H404" t="s">
        <v>32</v>
      </c>
      <c r="I404">
        <v>31</v>
      </c>
      <c r="J404" t="s">
        <v>24</v>
      </c>
      <c r="K404" t="s">
        <v>25</v>
      </c>
      <c r="L404" t="s">
        <v>26</v>
      </c>
      <c r="M404">
        <v>56</v>
      </c>
      <c r="N404">
        <v>196</v>
      </c>
      <c r="O404" t="s">
        <v>45</v>
      </c>
      <c r="P404">
        <v>60</v>
      </c>
      <c r="Q404">
        <v>70</v>
      </c>
      <c r="R404">
        <v>30</v>
      </c>
      <c r="S404">
        <v>130</v>
      </c>
      <c r="T404">
        <v>64</v>
      </c>
      <c r="U404" t="s">
        <v>28</v>
      </c>
      <c r="V404" s="2">
        <v>0.2857142857142857</v>
      </c>
      <c r="W404" s="2">
        <v>0.58163265306122447</v>
      </c>
      <c r="X404">
        <v>33</v>
      </c>
    </row>
    <row r="405" spans="1:24" x14ac:dyDescent="0.3">
      <c r="A405">
        <v>715</v>
      </c>
      <c r="B405">
        <v>61</v>
      </c>
      <c r="C405">
        <v>3</v>
      </c>
      <c r="D405" s="1">
        <v>41321</v>
      </c>
      <c r="E405">
        <v>613</v>
      </c>
      <c r="F405">
        <v>86</v>
      </c>
      <c r="G405" t="s">
        <v>40</v>
      </c>
      <c r="H405" t="s">
        <v>23</v>
      </c>
      <c r="I405">
        <v>55</v>
      </c>
      <c r="J405" t="s">
        <v>24</v>
      </c>
      <c r="K405" t="s">
        <v>33</v>
      </c>
      <c r="L405" t="s">
        <v>62</v>
      </c>
      <c r="M405">
        <v>3</v>
      </c>
      <c r="N405">
        <v>157</v>
      </c>
      <c r="O405" t="s">
        <v>60</v>
      </c>
      <c r="P405">
        <v>50</v>
      </c>
      <c r="Q405">
        <v>70</v>
      </c>
      <c r="R405">
        <v>0</v>
      </c>
      <c r="S405">
        <v>120</v>
      </c>
      <c r="T405">
        <v>84</v>
      </c>
      <c r="U405" t="s">
        <v>36</v>
      </c>
      <c r="V405" s="2">
        <v>1.9108280254777069E-2</v>
      </c>
      <c r="W405" s="2">
        <v>0.61146496815286622</v>
      </c>
      <c r="X405">
        <v>29</v>
      </c>
    </row>
    <row r="406" spans="1:24" x14ac:dyDescent="0.3">
      <c r="A406">
        <v>509</v>
      </c>
      <c r="B406">
        <v>53</v>
      </c>
      <c r="C406">
        <v>23</v>
      </c>
      <c r="D406" s="1">
        <v>41322</v>
      </c>
      <c r="E406">
        <v>321</v>
      </c>
      <c r="F406">
        <v>88</v>
      </c>
      <c r="G406" t="s">
        <v>40</v>
      </c>
      <c r="H406" t="s">
        <v>37</v>
      </c>
      <c r="I406">
        <v>16</v>
      </c>
      <c r="J406" t="s">
        <v>24</v>
      </c>
      <c r="K406" t="s">
        <v>33</v>
      </c>
      <c r="L406" t="s">
        <v>34</v>
      </c>
      <c r="M406">
        <v>73</v>
      </c>
      <c r="N406">
        <v>150</v>
      </c>
      <c r="O406" t="s">
        <v>61</v>
      </c>
      <c r="P406">
        <v>30</v>
      </c>
      <c r="Q406">
        <v>70</v>
      </c>
      <c r="R406">
        <v>50</v>
      </c>
      <c r="S406">
        <v>100</v>
      </c>
      <c r="T406">
        <v>39</v>
      </c>
      <c r="U406" t="s">
        <v>36</v>
      </c>
      <c r="V406" s="2">
        <v>0.48666666666666669</v>
      </c>
      <c r="W406" s="2">
        <v>0.64666666666666661</v>
      </c>
      <c r="X406">
        <v>23</v>
      </c>
    </row>
    <row r="407" spans="1:24" x14ac:dyDescent="0.3">
      <c r="A407">
        <v>513</v>
      </c>
      <c r="B407">
        <v>47</v>
      </c>
      <c r="C407">
        <v>-19</v>
      </c>
      <c r="D407" s="1">
        <v>41323</v>
      </c>
      <c r="E407">
        <v>521</v>
      </c>
      <c r="F407">
        <v>65</v>
      </c>
      <c r="G407" t="s">
        <v>22</v>
      </c>
      <c r="H407" t="s">
        <v>23</v>
      </c>
      <c r="I407">
        <v>42</v>
      </c>
      <c r="J407" t="s">
        <v>41</v>
      </c>
      <c r="K407" t="s">
        <v>46</v>
      </c>
      <c r="L407" t="s">
        <v>47</v>
      </c>
      <c r="M407">
        <v>-9</v>
      </c>
      <c r="N407">
        <v>119</v>
      </c>
      <c r="O407" t="s">
        <v>66</v>
      </c>
      <c r="P407">
        <v>40</v>
      </c>
      <c r="Q407">
        <v>70</v>
      </c>
      <c r="R407">
        <v>10</v>
      </c>
      <c r="S407">
        <v>110</v>
      </c>
      <c r="T407">
        <v>71</v>
      </c>
      <c r="U407" t="s">
        <v>28</v>
      </c>
      <c r="V407" s="2">
        <v>-7.5630252100840331E-2</v>
      </c>
      <c r="W407" s="2">
        <v>0.60504201680672265</v>
      </c>
      <c r="X407">
        <v>29</v>
      </c>
    </row>
    <row r="408" spans="1:24" x14ac:dyDescent="0.3">
      <c r="A408">
        <v>234</v>
      </c>
      <c r="B408">
        <v>54</v>
      </c>
      <c r="C408">
        <v>3</v>
      </c>
      <c r="D408" s="1">
        <v>41324</v>
      </c>
      <c r="E408">
        <v>424</v>
      </c>
      <c r="F408">
        <v>73</v>
      </c>
      <c r="G408" t="s">
        <v>22</v>
      </c>
      <c r="H408" t="s">
        <v>23</v>
      </c>
      <c r="I408">
        <v>17</v>
      </c>
      <c r="J408" t="s">
        <v>41</v>
      </c>
      <c r="K408" t="s">
        <v>46</v>
      </c>
      <c r="L408" t="s">
        <v>51</v>
      </c>
      <c r="M408">
        <v>43</v>
      </c>
      <c r="N408">
        <v>135</v>
      </c>
      <c r="O408" t="s">
        <v>66</v>
      </c>
      <c r="P408">
        <v>50</v>
      </c>
      <c r="Q408">
        <v>70</v>
      </c>
      <c r="R408">
        <v>40</v>
      </c>
      <c r="S408">
        <v>120</v>
      </c>
      <c r="T408">
        <v>44</v>
      </c>
      <c r="U408" t="s">
        <v>36</v>
      </c>
      <c r="V408" s="2">
        <v>0.31851851851851853</v>
      </c>
      <c r="W408" s="2">
        <v>0.6</v>
      </c>
      <c r="X408">
        <v>27</v>
      </c>
    </row>
    <row r="409" spans="1:24" x14ac:dyDescent="0.3">
      <c r="A409">
        <v>361</v>
      </c>
      <c r="B409">
        <v>67</v>
      </c>
      <c r="C409">
        <v>40</v>
      </c>
      <c r="D409" s="1">
        <v>41325</v>
      </c>
      <c r="E409">
        <v>-1239</v>
      </c>
      <c r="F409">
        <v>101</v>
      </c>
      <c r="G409" t="s">
        <v>22</v>
      </c>
      <c r="H409" t="s">
        <v>30</v>
      </c>
      <c r="I409">
        <v>22</v>
      </c>
      <c r="J409" t="s">
        <v>41</v>
      </c>
      <c r="K409" t="s">
        <v>42</v>
      </c>
      <c r="L409" t="s">
        <v>55</v>
      </c>
      <c r="M409">
        <v>70</v>
      </c>
      <c r="N409">
        <v>179</v>
      </c>
      <c r="O409" t="s">
        <v>31</v>
      </c>
      <c r="P409">
        <v>50</v>
      </c>
      <c r="Q409">
        <v>70</v>
      </c>
      <c r="R409">
        <v>30</v>
      </c>
      <c r="S409">
        <v>120</v>
      </c>
      <c r="T409">
        <v>54</v>
      </c>
      <c r="U409" t="s">
        <v>36</v>
      </c>
      <c r="V409" s="2">
        <v>0.39106145251396646</v>
      </c>
      <c r="W409" s="2">
        <v>0.62569832402234637</v>
      </c>
      <c r="X409">
        <v>32</v>
      </c>
    </row>
    <row r="410" spans="1:24" x14ac:dyDescent="0.3">
      <c r="A410">
        <v>630</v>
      </c>
      <c r="B410">
        <v>54</v>
      </c>
      <c r="C410">
        <v>29</v>
      </c>
      <c r="D410" s="1">
        <v>41326</v>
      </c>
      <c r="E410">
        <v>601</v>
      </c>
      <c r="F410">
        <v>79</v>
      </c>
      <c r="G410" t="s">
        <v>22</v>
      </c>
      <c r="H410" t="s">
        <v>23</v>
      </c>
      <c r="I410">
        <v>15</v>
      </c>
      <c r="J410" t="s">
        <v>24</v>
      </c>
      <c r="K410" t="s">
        <v>33</v>
      </c>
      <c r="L410" t="s">
        <v>34</v>
      </c>
      <c r="M410">
        <v>79</v>
      </c>
      <c r="N410">
        <v>142</v>
      </c>
      <c r="O410" t="s">
        <v>64</v>
      </c>
      <c r="P410">
        <v>40</v>
      </c>
      <c r="Q410">
        <v>70</v>
      </c>
      <c r="R410">
        <v>50</v>
      </c>
      <c r="S410">
        <v>110</v>
      </c>
      <c r="T410">
        <v>26</v>
      </c>
      <c r="U410" t="s">
        <v>36</v>
      </c>
      <c r="V410" s="2">
        <v>0.55633802816901412</v>
      </c>
      <c r="W410" s="2">
        <v>0.61971830985915488</v>
      </c>
      <c r="X410">
        <v>11</v>
      </c>
    </row>
    <row r="411" spans="1:24" x14ac:dyDescent="0.3">
      <c r="A411">
        <v>636</v>
      </c>
      <c r="B411">
        <v>63</v>
      </c>
      <c r="C411">
        <v>13</v>
      </c>
      <c r="D411" s="1">
        <v>41327</v>
      </c>
      <c r="E411">
        <v>1075</v>
      </c>
      <c r="F411">
        <v>76</v>
      </c>
      <c r="G411" t="s">
        <v>40</v>
      </c>
      <c r="H411" t="s">
        <v>23</v>
      </c>
      <c r="I411">
        <v>19</v>
      </c>
      <c r="J411" t="s">
        <v>41</v>
      </c>
      <c r="K411" t="s">
        <v>46</v>
      </c>
      <c r="L411" t="s">
        <v>47</v>
      </c>
      <c r="M411">
        <v>53</v>
      </c>
      <c r="N411">
        <v>148</v>
      </c>
      <c r="O411" t="s">
        <v>59</v>
      </c>
      <c r="P411">
        <v>60</v>
      </c>
      <c r="Q411">
        <v>70</v>
      </c>
      <c r="R411">
        <v>40</v>
      </c>
      <c r="S411">
        <v>130</v>
      </c>
      <c r="T411">
        <v>40</v>
      </c>
      <c r="U411" t="s">
        <v>28</v>
      </c>
      <c r="V411" s="2">
        <v>0.35810810810810811</v>
      </c>
      <c r="W411" s="2">
        <v>0.57432432432432434</v>
      </c>
      <c r="X411">
        <v>21</v>
      </c>
    </row>
    <row r="412" spans="1:24" x14ac:dyDescent="0.3">
      <c r="A412">
        <v>203</v>
      </c>
      <c r="B412">
        <v>49</v>
      </c>
      <c r="C412">
        <v>-9</v>
      </c>
      <c r="D412" s="1">
        <v>41328</v>
      </c>
      <c r="E412">
        <v>392</v>
      </c>
      <c r="F412">
        <v>65</v>
      </c>
      <c r="G412" t="s">
        <v>40</v>
      </c>
      <c r="H412" t="s">
        <v>32</v>
      </c>
      <c r="I412">
        <v>16</v>
      </c>
      <c r="J412" t="s">
        <v>41</v>
      </c>
      <c r="K412" t="s">
        <v>42</v>
      </c>
      <c r="L412" t="s">
        <v>43</v>
      </c>
      <c r="M412">
        <v>31</v>
      </c>
      <c r="N412">
        <v>121</v>
      </c>
      <c r="O412" t="s">
        <v>45</v>
      </c>
      <c r="P412">
        <v>40</v>
      </c>
      <c r="Q412">
        <v>70</v>
      </c>
      <c r="R412">
        <v>40</v>
      </c>
      <c r="S412">
        <v>110</v>
      </c>
      <c r="T412">
        <v>44</v>
      </c>
      <c r="U412" t="s">
        <v>28</v>
      </c>
      <c r="V412" s="2">
        <v>0.256198347107438</v>
      </c>
      <c r="W412" s="2">
        <v>0.5950413223140496</v>
      </c>
      <c r="X412">
        <v>28</v>
      </c>
    </row>
    <row r="413" spans="1:24" x14ac:dyDescent="0.3">
      <c r="A413">
        <v>435</v>
      </c>
      <c r="B413">
        <v>50</v>
      </c>
      <c r="C413">
        <v>20</v>
      </c>
      <c r="D413" s="1">
        <v>41329</v>
      </c>
      <c r="E413">
        <v>898</v>
      </c>
      <c r="F413">
        <v>73</v>
      </c>
      <c r="G413" t="s">
        <v>40</v>
      </c>
      <c r="H413" t="s">
        <v>37</v>
      </c>
      <c r="I413">
        <v>14</v>
      </c>
      <c r="J413" t="s">
        <v>41</v>
      </c>
      <c r="K413" t="s">
        <v>42</v>
      </c>
      <c r="L413" t="s">
        <v>43</v>
      </c>
      <c r="M413">
        <v>70</v>
      </c>
      <c r="N413">
        <v>131</v>
      </c>
      <c r="O413" t="s">
        <v>50</v>
      </c>
      <c r="P413">
        <v>40</v>
      </c>
      <c r="Q413">
        <v>70</v>
      </c>
      <c r="R413">
        <v>50</v>
      </c>
      <c r="S413">
        <v>110</v>
      </c>
      <c r="T413">
        <v>26</v>
      </c>
      <c r="U413" t="s">
        <v>28</v>
      </c>
      <c r="V413" s="2">
        <v>0.53435114503816794</v>
      </c>
      <c r="W413" s="2">
        <v>0.61832061068702293</v>
      </c>
      <c r="X413">
        <v>12</v>
      </c>
    </row>
    <row r="414" spans="1:24" x14ac:dyDescent="0.3">
      <c r="A414">
        <v>603</v>
      </c>
      <c r="B414">
        <v>52</v>
      </c>
      <c r="C414">
        <v>5</v>
      </c>
      <c r="D414" s="1">
        <v>41330</v>
      </c>
      <c r="E414">
        <v>327</v>
      </c>
      <c r="F414">
        <v>75</v>
      </c>
      <c r="G414" t="s">
        <v>40</v>
      </c>
      <c r="H414" t="s">
        <v>32</v>
      </c>
      <c r="I414">
        <v>16</v>
      </c>
      <c r="J414" t="s">
        <v>41</v>
      </c>
      <c r="K414" t="s">
        <v>46</v>
      </c>
      <c r="L414" t="s">
        <v>51</v>
      </c>
      <c r="M414">
        <v>55</v>
      </c>
      <c r="N414">
        <v>135</v>
      </c>
      <c r="O414" t="s">
        <v>52</v>
      </c>
      <c r="P414">
        <v>40</v>
      </c>
      <c r="Q414">
        <v>70</v>
      </c>
      <c r="R414">
        <v>50</v>
      </c>
      <c r="S414">
        <v>110</v>
      </c>
      <c r="T414">
        <v>38</v>
      </c>
      <c r="U414" t="s">
        <v>36</v>
      </c>
      <c r="V414" s="2">
        <v>0.40740740740740738</v>
      </c>
      <c r="W414" s="2">
        <v>0.61481481481481481</v>
      </c>
      <c r="X414">
        <v>22</v>
      </c>
    </row>
    <row r="415" spans="1:24" x14ac:dyDescent="0.3">
      <c r="A415">
        <v>203</v>
      </c>
      <c r="B415">
        <v>55</v>
      </c>
      <c r="C415">
        <v>-13</v>
      </c>
      <c r="D415" s="1">
        <v>41331</v>
      </c>
      <c r="E415">
        <v>627</v>
      </c>
      <c r="F415">
        <v>76</v>
      </c>
      <c r="G415" t="s">
        <v>40</v>
      </c>
      <c r="H415" t="s">
        <v>32</v>
      </c>
      <c r="I415">
        <v>49</v>
      </c>
      <c r="J415" t="s">
        <v>41</v>
      </c>
      <c r="K415" t="s">
        <v>42</v>
      </c>
      <c r="L415" t="s">
        <v>54</v>
      </c>
      <c r="M415">
        <v>-3</v>
      </c>
      <c r="N415">
        <v>140</v>
      </c>
      <c r="O415" t="s">
        <v>45</v>
      </c>
      <c r="P415">
        <v>50</v>
      </c>
      <c r="Q415">
        <v>70</v>
      </c>
      <c r="R415">
        <v>10</v>
      </c>
      <c r="S415">
        <v>120</v>
      </c>
      <c r="T415">
        <v>78</v>
      </c>
      <c r="U415" t="s">
        <v>36</v>
      </c>
      <c r="V415" s="2">
        <v>-2.1428571428571429E-2</v>
      </c>
      <c r="W415" s="2">
        <v>0.6071428571428571</v>
      </c>
      <c r="X415">
        <v>29</v>
      </c>
    </row>
    <row r="416" spans="1:24" x14ac:dyDescent="0.3">
      <c r="A416">
        <v>603</v>
      </c>
      <c r="B416">
        <v>49</v>
      </c>
      <c r="C416">
        <v>-16</v>
      </c>
      <c r="D416" s="1">
        <v>41332</v>
      </c>
      <c r="E416">
        <v>335</v>
      </c>
      <c r="F416">
        <v>69</v>
      </c>
      <c r="G416" t="s">
        <v>40</v>
      </c>
      <c r="H416" t="s">
        <v>32</v>
      </c>
      <c r="I416">
        <v>44</v>
      </c>
      <c r="J416" t="s">
        <v>41</v>
      </c>
      <c r="K416" t="s">
        <v>42</v>
      </c>
      <c r="L416" t="s">
        <v>54</v>
      </c>
      <c r="M416">
        <v>-6</v>
      </c>
      <c r="N416">
        <v>126</v>
      </c>
      <c r="O416" t="s">
        <v>52</v>
      </c>
      <c r="P416">
        <v>40</v>
      </c>
      <c r="Q416">
        <v>70</v>
      </c>
      <c r="R416">
        <v>10</v>
      </c>
      <c r="S416">
        <v>110</v>
      </c>
      <c r="T416">
        <v>73</v>
      </c>
      <c r="U416" t="s">
        <v>36</v>
      </c>
      <c r="V416" s="2">
        <v>-4.7619047619047616E-2</v>
      </c>
      <c r="W416" s="2">
        <v>0.61111111111111116</v>
      </c>
      <c r="X416">
        <v>29</v>
      </c>
    </row>
    <row r="417" spans="1:24" x14ac:dyDescent="0.3">
      <c r="A417">
        <v>541</v>
      </c>
      <c r="B417">
        <v>41</v>
      </c>
      <c r="C417">
        <v>-19</v>
      </c>
      <c r="D417" s="1">
        <v>41333</v>
      </c>
      <c r="E417">
        <v>482</v>
      </c>
      <c r="F417">
        <v>57</v>
      </c>
      <c r="G417" t="s">
        <v>40</v>
      </c>
      <c r="H417" t="s">
        <v>37</v>
      </c>
      <c r="I417">
        <v>13</v>
      </c>
      <c r="J417" t="s">
        <v>41</v>
      </c>
      <c r="K417" t="s">
        <v>46</v>
      </c>
      <c r="L417" t="s">
        <v>53</v>
      </c>
      <c r="M417">
        <v>1</v>
      </c>
      <c r="N417">
        <v>104</v>
      </c>
      <c r="O417" t="s">
        <v>57</v>
      </c>
      <c r="P417">
        <v>40</v>
      </c>
      <c r="Q417">
        <v>70</v>
      </c>
      <c r="R417">
        <v>20</v>
      </c>
      <c r="S417">
        <v>110</v>
      </c>
      <c r="T417">
        <v>56</v>
      </c>
      <c r="U417" t="s">
        <v>36</v>
      </c>
      <c r="V417" s="2">
        <v>9.6153846153846159E-3</v>
      </c>
      <c r="W417" s="2">
        <v>0.60576923076923073</v>
      </c>
      <c r="X417">
        <v>43</v>
      </c>
    </row>
    <row r="418" spans="1:24" x14ac:dyDescent="0.3">
      <c r="A418">
        <v>503</v>
      </c>
      <c r="B418">
        <v>54</v>
      </c>
      <c r="C418">
        <v>2</v>
      </c>
      <c r="D418" s="1">
        <v>41334</v>
      </c>
      <c r="E418">
        <v>424</v>
      </c>
      <c r="F418">
        <v>73</v>
      </c>
      <c r="G418" t="s">
        <v>40</v>
      </c>
      <c r="H418" t="s">
        <v>37</v>
      </c>
      <c r="I418">
        <v>17</v>
      </c>
      <c r="J418" t="s">
        <v>41</v>
      </c>
      <c r="K418" t="s">
        <v>42</v>
      </c>
      <c r="L418" t="s">
        <v>54</v>
      </c>
      <c r="M418">
        <v>42</v>
      </c>
      <c r="N418">
        <v>135</v>
      </c>
      <c r="O418" t="s">
        <v>57</v>
      </c>
      <c r="P418">
        <v>50</v>
      </c>
      <c r="Q418">
        <v>70</v>
      </c>
      <c r="R418">
        <v>40</v>
      </c>
      <c r="S418">
        <v>120</v>
      </c>
      <c r="T418">
        <v>45</v>
      </c>
      <c r="U418" t="s">
        <v>36</v>
      </c>
      <c r="V418" s="2">
        <v>0.31111111111111112</v>
      </c>
      <c r="W418" s="2">
        <v>0.6</v>
      </c>
      <c r="X418">
        <v>28</v>
      </c>
    </row>
    <row r="419" spans="1:24" x14ac:dyDescent="0.3">
      <c r="A419">
        <v>405</v>
      </c>
      <c r="B419">
        <v>65</v>
      </c>
      <c r="C419">
        <v>13</v>
      </c>
      <c r="D419" s="1">
        <v>41335</v>
      </c>
      <c r="E419">
        <v>403</v>
      </c>
      <c r="F419">
        <v>80</v>
      </c>
      <c r="G419" t="s">
        <v>40</v>
      </c>
      <c r="H419" t="s">
        <v>30</v>
      </c>
      <c r="I419">
        <v>24</v>
      </c>
      <c r="J419" t="s">
        <v>24</v>
      </c>
      <c r="K419" t="s">
        <v>25</v>
      </c>
      <c r="L419" t="s">
        <v>58</v>
      </c>
      <c r="M419">
        <v>33</v>
      </c>
      <c r="N419">
        <v>155</v>
      </c>
      <c r="O419" t="s">
        <v>48</v>
      </c>
      <c r="P419">
        <v>60</v>
      </c>
      <c r="Q419">
        <v>70</v>
      </c>
      <c r="R419">
        <v>20</v>
      </c>
      <c r="S419">
        <v>130</v>
      </c>
      <c r="T419">
        <v>58</v>
      </c>
      <c r="U419" t="s">
        <v>28</v>
      </c>
      <c r="V419" s="2">
        <v>0.2129032258064516</v>
      </c>
      <c r="W419" s="2">
        <v>0.58064516129032262</v>
      </c>
      <c r="X419">
        <v>34</v>
      </c>
    </row>
    <row r="420" spans="1:24" x14ac:dyDescent="0.3">
      <c r="A420">
        <v>435</v>
      </c>
      <c r="B420">
        <v>52</v>
      </c>
      <c r="C420">
        <v>13</v>
      </c>
      <c r="D420" s="1">
        <v>41336</v>
      </c>
      <c r="E420">
        <v>327</v>
      </c>
      <c r="F420">
        <v>75</v>
      </c>
      <c r="G420" t="s">
        <v>40</v>
      </c>
      <c r="H420" t="s">
        <v>37</v>
      </c>
      <c r="I420">
        <v>16</v>
      </c>
      <c r="J420" t="s">
        <v>24</v>
      </c>
      <c r="K420" t="s">
        <v>25</v>
      </c>
      <c r="L420" t="s">
        <v>58</v>
      </c>
      <c r="M420">
        <v>53</v>
      </c>
      <c r="N420">
        <v>135</v>
      </c>
      <c r="O420" t="s">
        <v>50</v>
      </c>
      <c r="P420">
        <v>40</v>
      </c>
      <c r="Q420">
        <v>70</v>
      </c>
      <c r="R420">
        <v>40</v>
      </c>
      <c r="S420">
        <v>110</v>
      </c>
      <c r="T420">
        <v>39</v>
      </c>
      <c r="U420" t="s">
        <v>28</v>
      </c>
      <c r="V420" s="2">
        <v>0.3925925925925926</v>
      </c>
      <c r="W420" s="2">
        <v>0.61481481481481481</v>
      </c>
      <c r="X420">
        <v>23</v>
      </c>
    </row>
    <row r="421" spans="1:24" x14ac:dyDescent="0.3">
      <c r="A421">
        <v>435</v>
      </c>
      <c r="B421">
        <v>48</v>
      </c>
      <c r="C421">
        <v>2</v>
      </c>
      <c r="D421" s="1">
        <v>41337</v>
      </c>
      <c r="E421">
        <v>462</v>
      </c>
      <c r="F421">
        <v>74</v>
      </c>
      <c r="G421" t="s">
        <v>40</v>
      </c>
      <c r="H421" t="s">
        <v>37</v>
      </c>
      <c r="I421">
        <v>15</v>
      </c>
      <c r="J421" t="s">
        <v>24</v>
      </c>
      <c r="K421" t="s">
        <v>25</v>
      </c>
      <c r="L421" t="s">
        <v>26</v>
      </c>
      <c r="M421">
        <v>42</v>
      </c>
      <c r="N421">
        <v>130</v>
      </c>
      <c r="O421" t="s">
        <v>50</v>
      </c>
      <c r="P421">
        <v>40</v>
      </c>
      <c r="Q421">
        <v>70</v>
      </c>
      <c r="R421">
        <v>40</v>
      </c>
      <c r="S421">
        <v>110</v>
      </c>
      <c r="T421">
        <v>46</v>
      </c>
      <c r="U421" t="s">
        <v>28</v>
      </c>
      <c r="V421" s="2">
        <v>0.32307692307692309</v>
      </c>
      <c r="W421" s="2">
        <v>0.63076923076923075</v>
      </c>
      <c r="X421">
        <v>31</v>
      </c>
    </row>
    <row r="422" spans="1:24" x14ac:dyDescent="0.3">
      <c r="A422">
        <v>425</v>
      </c>
      <c r="B422">
        <v>49</v>
      </c>
      <c r="C422">
        <v>18</v>
      </c>
      <c r="D422" s="1">
        <v>41338</v>
      </c>
      <c r="E422">
        <v>845</v>
      </c>
      <c r="F422">
        <v>71</v>
      </c>
      <c r="G422" t="s">
        <v>40</v>
      </c>
      <c r="H422" t="s">
        <v>37</v>
      </c>
      <c r="I422">
        <v>13</v>
      </c>
      <c r="J422" t="s">
        <v>24</v>
      </c>
      <c r="K422" t="s">
        <v>25</v>
      </c>
      <c r="L422" t="s">
        <v>26</v>
      </c>
      <c r="M422">
        <v>68</v>
      </c>
      <c r="N422">
        <v>128</v>
      </c>
      <c r="O422" t="s">
        <v>61</v>
      </c>
      <c r="P422">
        <v>40</v>
      </c>
      <c r="Q422">
        <v>70</v>
      </c>
      <c r="R422">
        <v>50</v>
      </c>
      <c r="S422">
        <v>110</v>
      </c>
      <c r="T422">
        <v>25</v>
      </c>
      <c r="U422" t="s">
        <v>28</v>
      </c>
      <c r="V422" s="2">
        <v>0.53125</v>
      </c>
      <c r="W422" s="2">
        <v>0.6171875</v>
      </c>
      <c r="X422">
        <v>12</v>
      </c>
    </row>
    <row r="423" spans="1:24" x14ac:dyDescent="0.3">
      <c r="A423">
        <v>959</v>
      </c>
      <c r="B423">
        <v>50</v>
      </c>
      <c r="C423">
        <v>20</v>
      </c>
      <c r="D423" s="1">
        <v>41339</v>
      </c>
      <c r="E423">
        <v>898</v>
      </c>
      <c r="F423">
        <v>73</v>
      </c>
      <c r="G423" t="s">
        <v>40</v>
      </c>
      <c r="H423" t="s">
        <v>32</v>
      </c>
      <c r="I423">
        <v>14</v>
      </c>
      <c r="J423" t="s">
        <v>24</v>
      </c>
      <c r="K423" t="s">
        <v>33</v>
      </c>
      <c r="L423" t="s">
        <v>34</v>
      </c>
      <c r="M423">
        <v>70</v>
      </c>
      <c r="N423">
        <v>131</v>
      </c>
      <c r="O423" t="s">
        <v>45</v>
      </c>
      <c r="P423">
        <v>50</v>
      </c>
      <c r="Q423">
        <v>70</v>
      </c>
      <c r="R423">
        <v>50</v>
      </c>
      <c r="S423">
        <v>120</v>
      </c>
      <c r="T423">
        <v>26</v>
      </c>
      <c r="U423" t="s">
        <v>36</v>
      </c>
      <c r="V423" s="2">
        <v>0.53435114503816794</v>
      </c>
      <c r="W423" s="2">
        <v>0.61832061068702293</v>
      </c>
      <c r="X423">
        <v>12</v>
      </c>
    </row>
    <row r="424" spans="1:24" x14ac:dyDescent="0.3">
      <c r="A424">
        <v>937</v>
      </c>
      <c r="B424">
        <v>21</v>
      </c>
      <c r="C424">
        <v>-14</v>
      </c>
      <c r="D424" s="1">
        <v>41340</v>
      </c>
      <c r="E424">
        <v>480</v>
      </c>
      <c r="F424">
        <v>32</v>
      </c>
      <c r="G424" t="s">
        <v>22</v>
      </c>
      <c r="H424" t="s">
        <v>23</v>
      </c>
      <c r="I424">
        <v>5</v>
      </c>
      <c r="J424" t="s">
        <v>24</v>
      </c>
      <c r="K424" t="s">
        <v>25</v>
      </c>
      <c r="L424" t="s">
        <v>58</v>
      </c>
      <c r="M424">
        <v>16</v>
      </c>
      <c r="N424">
        <v>53</v>
      </c>
      <c r="O424" t="s">
        <v>66</v>
      </c>
      <c r="P424">
        <v>0</v>
      </c>
      <c r="Q424">
        <v>30</v>
      </c>
      <c r="R424">
        <v>30</v>
      </c>
      <c r="S424">
        <v>30</v>
      </c>
      <c r="T424">
        <v>16</v>
      </c>
      <c r="U424" t="s">
        <v>28</v>
      </c>
      <c r="V424" s="2">
        <v>0.30188679245283018</v>
      </c>
      <c r="W424" s="2">
        <v>0.60377358490566035</v>
      </c>
      <c r="X424">
        <v>11</v>
      </c>
    </row>
    <row r="425" spans="1:24" x14ac:dyDescent="0.3">
      <c r="A425">
        <v>513</v>
      </c>
      <c r="B425">
        <v>27</v>
      </c>
      <c r="C425">
        <v>-10</v>
      </c>
      <c r="D425" s="1">
        <v>41341</v>
      </c>
      <c r="E425">
        <v>859</v>
      </c>
      <c r="F425">
        <v>39</v>
      </c>
      <c r="G425" t="s">
        <v>22</v>
      </c>
      <c r="H425" t="s">
        <v>23</v>
      </c>
      <c r="I425">
        <v>7</v>
      </c>
      <c r="J425" t="s">
        <v>24</v>
      </c>
      <c r="K425" t="s">
        <v>25</v>
      </c>
      <c r="L425" t="s">
        <v>26</v>
      </c>
      <c r="M425">
        <v>20</v>
      </c>
      <c r="N425">
        <v>66</v>
      </c>
      <c r="O425" t="s">
        <v>66</v>
      </c>
      <c r="P425">
        <v>10</v>
      </c>
      <c r="Q425">
        <v>30</v>
      </c>
      <c r="R425">
        <v>30</v>
      </c>
      <c r="S425">
        <v>40</v>
      </c>
      <c r="T425">
        <v>19</v>
      </c>
      <c r="U425" t="s">
        <v>28</v>
      </c>
      <c r="V425" s="2">
        <v>0.30303030303030304</v>
      </c>
      <c r="W425" s="2">
        <v>0.59090909090909094</v>
      </c>
      <c r="X425">
        <v>12</v>
      </c>
    </row>
    <row r="426" spans="1:24" x14ac:dyDescent="0.3">
      <c r="A426">
        <v>850</v>
      </c>
      <c r="B426">
        <v>56</v>
      </c>
      <c r="C426">
        <v>-4</v>
      </c>
      <c r="D426" s="1">
        <v>41342</v>
      </c>
      <c r="E426">
        <v>385</v>
      </c>
      <c r="F426">
        <v>70</v>
      </c>
      <c r="G426" t="s">
        <v>22</v>
      </c>
      <c r="H426" t="s">
        <v>32</v>
      </c>
      <c r="I426">
        <v>21</v>
      </c>
      <c r="J426" t="s">
        <v>24</v>
      </c>
      <c r="K426" t="s">
        <v>25</v>
      </c>
      <c r="L426" t="s">
        <v>26</v>
      </c>
      <c r="M426">
        <v>16</v>
      </c>
      <c r="N426">
        <v>126</v>
      </c>
      <c r="O426" t="s">
        <v>35</v>
      </c>
      <c r="P426">
        <v>30</v>
      </c>
      <c r="Q426">
        <v>30</v>
      </c>
      <c r="R426">
        <v>20</v>
      </c>
      <c r="S426">
        <v>60</v>
      </c>
      <c r="T426">
        <v>54</v>
      </c>
      <c r="U426" t="s">
        <v>28</v>
      </c>
      <c r="V426" s="2">
        <v>0.12698412698412698</v>
      </c>
      <c r="W426" s="2">
        <v>0.55555555555555558</v>
      </c>
      <c r="X426">
        <v>33</v>
      </c>
    </row>
    <row r="427" spans="1:24" x14ac:dyDescent="0.3">
      <c r="A427">
        <v>781</v>
      </c>
      <c r="B427">
        <v>54</v>
      </c>
      <c r="C427">
        <v>-7</v>
      </c>
      <c r="D427" s="1">
        <v>41343</v>
      </c>
      <c r="E427">
        <v>404</v>
      </c>
      <c r="F427">
        <v>66</v>
      </c>
      <c r="G427" t="s">
        <v>22</v>
      </c>
      <c r="H427" t="s">
        <v>32</v>
      </c>
      <c r="I427">
        <v>20</v>
      </c>
      <c r="J427" t="s">
        <v>24</v>
      </c>
      <c r="K427" t="s">
        <v>25</v>
      </c>
      <c r="L427" t="s">
        <v>26</v>
      </c>
      <c r="M427">
        <v>13</v>
      </c>
      <c r="N427">
        <v>120</v>
      </c>
      <c r="O427" t="s">
        <v>63</v>
      </c>
      <c r="P427">
        <v>30</v>
      </c>
      <c r="Q427">
        <v>30</v>
      </c>
      <c r="R427">
        <v>20</v>
      </c>
      <c r="S427">
        <v>60</v>
      </c>
      <c r="T427">
        <v>53</v>
      </c>
      <c r="U427" t="s">
        <v>28</v>
      </c>
      <c r="V427" s="2">
        <v>0.10833333333333334</v>
      </c>
      <c r="W427" s="2">
        <v>0.55000000000000004</v>
      </c>
      <c r="X427">
        <v>33</v>
      </c>
    </row>
    <row r="428" spans="1:24" x14ac:dyDescent="0.3">
      <c r="A428">
        <v>413</v>
      </c>
      <c r="B428">
        <v>21</v>
      </c>
      <c r="C428">
        <v>-15</v>
      </c>
      <c r="D428" s="1">
        <v>41344</v>
      </c>
      <c r="E428">
        <v>480</v>
      </c>
      <c r="F428">
        <v>32</v>
      </c>
      <c r="G428" t="s">
        <v>22</v>
      </c>
      <c r="H428" t="s">
        <v>32</v>
      </c>
      <c r="I428">
        <v>5</v>
      </c>
      <c r="J428" t="s">
        <v>24</v>
      </c>
      <c r="K428" t="s">
        <v>33</v>
      </c>
      <c r="L428" t="s">
        <v>38</v>
      </c>
      <c r="M428">
        <v>15</v>
      </c>
      <c r="N428">
        <v>53</v>
      </c>
      <c r="O428" t="s">
        <v>63</v>
      </c>
      <c r="P428">
        <v>20</v>
      </c>
      <c r="Q428">
        <v>30</v>
      </c>
      <c r="R428">
        <v>30</v>
      </c>
      <c r="S428">
        <v>50</v>
      </c>
      <c r="T428">
        <v>17</v>
      </c>
      <c r="U428" t="s">
        <v>36</v>
      </c>
      <c r="V428" s="2">
        <v>0.28301886792452829</v>
      </c>
      <c r="W428" s="2">
        <v>0.60377358490566035</v>
      </c>
      <c r="X428">
        <v>12</v>
      </c>
    </row>
    <row r="429" spans="1:24" x14ac:dyDescent="0.3">
      <c r="A429">
        <v>505</v>
      </c>
      <c r="B429">
        <v>39</v>
      </c>
      <c r="C429">
        <v>-6</v>
      </c>
      <c r="D429" s="1">
        <v>41345</v>
      </c>
      <c r="E429">
        <v>244</v>
      </c>
      <c r="F429">
        <v>53</v>
      </c>
      <c r="G429" t="s">
        <v>40</v>
      </c>
      <c r="H429" t="s">
        <v>30</v>
      </c>
      <c r="I429">
        <v>12</v>
      </c>
      <c r="J429" t="s">
        <v>41</v>
      </c>
      <c r="K429" t="s">
        <v>42</v>
      </c>
      <c r="L429" t="s">
        <v>43</v>
      </c>
      <c r="M429">
        <v>14</v>
      </c>
      <c r="N429">
        <v>92</v>
      </c>
      <c r="O429" t="s">
        <v>65</v>
      </c>
      <c r="P429">
        <v>20</v>
      </c>
      <c r="Q429">
        <v>30</v>
      </c>
      <c r="R429">
        <v>20</v>
      </c>
      <c r="S429">
        <v>50</v>
      </c>
      <c r="T429">
        <v>39</v>
      </c>
      <c r="U429" t="s">
        <v>28</v>
      </c>
      <c r="V429" s="2">
        <v>0.15217391304347827</v>
      </c>
      <c r="W429" s="2">
        <v>0.57608695652173914</v>
      </c>
      <c r="X429">
        <v>27</v>
      </c>
    </row>
    <row r="430" spans="1:24" x14ac:dyDescent="0.3">
      <c r="A430">
        <v>702</v>
      </c>
      <c r="B430">
        <v>23</v>
      </c>
      <c r="C430">
        <v>-13</v>
      </c>
      <c r="D430" s="1">
        <v>41346</v>
      </c>
      <c r="E430">
        <v>800</v>
      </c>
      <c r="F430">
        <v>35</v>
      </c>
      <c r="G430" t="s">
        <v>40</v>
      </c>
      <c r="H430" t="s">
        <v>37</v>
      </c>
      <c r="I430">
        <v>6</v>
      </c>
      <c r="J430" t="s">
        <v>41</v>
      </c>
      <c r="K430" t="s">
        <v>42</v>
      </c>
      <c r="L430" t="s">
        <v>43</v>
      </c>
      <c r="M430">
        <v>17</v>
      </c>
      <c r="N430">
        <v>58</v>
      </c>
      <c r="O430" t="s">
        <v>49</v>
      </c>
      <c r="P430">
        <v>10</v>
      </c>
      <c r="Q430">
        <v>30</v>
      </c>
      <c r="R430">
        <v>30</v>
      </c>
      <c r="S430">
        <v>40</v>
      </c>
      <c r="T430">
        <v>18</v>
      </c>
      <c r="U430" t="s">
        <v>28</v>
      </c>
      <c r="V430" s="2">
        <v>0.29310344827586204</v>
      </c>
      <c r="W430" s="2">
        <v>0.60344827586206895</v>
      </c>
      <c r="X430">
        <v>12</v>
      </c>
    </row>
    <row r="431" spans="1:24" x14ac:dyDescent="0.3">
      <c r="A431">
        <v>563</v>
      </c>
      <c r="B431">
        <v>21</v>
      </c>
      <c r="C431">
        <v>-15</v>
      </c>
      <c r="D431" s="1">
        <v>41347</v>
      </c>
      <c r="E431">
        <v>846</v>
      </c>
      <c r="F431">
        <v>31</v>
      </c>
      <c r="G431" t="s">
        <v>40</v>
      </c>
      <c r="H431" t="s">
        <v>23</v>
      </c>
      <c r="I431">
        <v>5</v>
      </c>
      <c r="J431" t="s">
        <v>41</v>
      </c>
      <c r="K431" t="s">
        <v>46</v>
      </c>
      <c r="L431" t="s">
        <v>51</v>
      </c>
      <c r="M431">
        <v>15</v>
      </c>
      <c r="N431">
        <v>52</v>
      </c>
      <c r="O431" t="s">
        <v>44</v>
      </c>
      <c r="P431">
        <v>10</v>
      </c>
      <c r="Q431">
        <v>30</v>
      </c>
      <c r="R431">
        <v>30</v>
      </c>
      <c r="S431">
        <v>40</v>
      </c>
      <c r="T431">
        <v>16</v>
      </c>
      <c r="U431" t="s">
        <v>36</v>
      </c>
      <c r="V431" s="2">
        <v>0.28846153846153844</v>
      </c>
      <c r="W431" s="2">
        <v>0.59615384615384615</v>
      </c>
      <c r="X431">
        <v>11</v>
      </c>
    </row>
    <row r="432" spans="1:24" x14ac:dyDescent="0.3">
      <c r="A432">
        <v>603</v>
      </c>
      <c r="B432">
        <v>25</v>
      </c>
      <c r="C432">
        <v>-22</v>
      </c>
      <c r="D432" s="1">
        <v>41348</v>
      </c>
      <c r="E432">
        <v>209</v>
      </c>
      <c r="F432">
        <v>31</v>
      </c>
      <c r="G432" t="s">
        <v>40</v>
      </c>
      <c r="H432" t="s">
        <v>32</v>
      </c>
      <c r="I432">
        <v>9</v>
      </c>
      <c r="J432" t="s">
        <v>41</v>
      </c>
      <c r="K432" t="s">
        <v>42</v>
      </c>
      <c r="L432" t="s">
        <v>67</v>
      </c>
      <c r="M432">
        <v>-12</v>
      </c>
      <c r="N432">
        <v>56</v>
      </c>
      <c r="O432" t="s">
        <v>52</v>
      </c>
      <c r="P432">
        <v>10</v>
      </c>
      <c r="Q432">
        <v>30</v>
      </c>
      <c r="R432">
        <v>10</v>
      </c>
      <c r="S432">
        <v>40</v>
      </c>
      <c r="T432">
        <v>43</v>
      </c>
      <c r="U432" t="s">
        <v>36</v>
      </c>
      <c r="V432" s="2">
        <v>-0.21428571428571427</v>
      </c>
      <c r="W432" s="2">
        <v>0.5535714285714286</v>
      </c>
      <c r="X432">
        <v>34</v>
      </c>
    </row>
    <row r="433" spans="1:24" x14ac:dyDescent="0.3">
      <c r="A433">
        <v>405</v>
      </c>
      <c r="B433">
        <v>21</v>
      </c>
      <c r="C433">
        <v>-15</v>
      </c>
      <c r="D433" s="1">
        <v>41349</v>
      </c>
      <c r="E433">
        <v>480</v>
      </c>
      <c r="F433">
        <v>32</v>
      </c>
      <c r="G433" t="s">
        <v>40</v>
      </c>
      <c r="H433" t="s">
        <v>30</v>
      </c>
      <c r="I433">
        <v>5</v>
      </c>
      <c r="J433" t="s">
        <v>41</v>
      </c>
      <c r="K433" t="s">
        <v>42</v>
      </c>
      <c r="L433" t="s">
        <v>54</v>
      </c>
      <c r="M433">
        <v>15</v>
      </c>
      <c r="N433">
        <v>53</v>
      </c>
      <c r="O433" t="s">
        <v>48</v>
      </c>
      <c r="P433">
        <v>0</v>
      </c>
      <c r="Q433">
        <v>30</v>
      </c>
      <c r="R433">
        <v>30</v>
      </c>
      <c r="S433">
        <v>30</v>
      </c>
      <c r="T433">
        <v>17</v>
      </c>
      <c r="U433" t="s">
        <v>36</v>
      </c>
      <c r="V433" s="2">
        <v>0.28301886792452829</v>
      </c>
      <c r="W433" s="2">
        <v>0.60377358490566035</v>
      </c>
      <c r="X433">
        <v>12</v>
      </c>
    </row>
    <row r="434" spans="1:24" x14ac:dyDescent="0.3">
      <c r="A434">
        <v>702</v>
      </c>
      <c r="B434">
        <v>0</v>
      </c>
      <c r="C434">
        <v>2</v>
      </c>
      <c r="D434" s="1">
        <v>41350</v>
      </c>
      <c r="E434">
        <v>430</v>
      </c>
      <c r="F434">
        <v>43</v>
      </c>
      <c r="G434" t="s">
        <v>40</v>
      </c>
      <c r="H434" t="s">
        <v>37</v>
      </c>
      <c r="I434">
        <v>0</v>
      </c>
      <c r="J434" t="s">
        <v>41</v>
      </c>
      <c r="K434" t="s">
        <v>42</v>
      </c>
      <c r="L434" t="s">
        <v>55</v>
      </c>
      <c r="M434">
        <v>32</v>
      </c>
      <c r="N434">
        <v>43</v>
      </c>
      <c r="O434" t="s">
        <v>49</v>
      </c>
      <c r="P434">
        <v>0</v>
      </c>
      <c r="Q434">
        <v>30</v>
      </c>
      <c r="R434">
        <v>30</v>
      </c>
      <c r="S434">
        <v>30</v>
      </c>
      <c r="T434">
        <v>11</v>
      </c>
      <c r="U434" t="s">
        <v>36</v>
      </c>
      <c r="V434" s="2">
        <v>0.7441860465116279</v>
      </c>
      <c r="W434" s="2">
        <v>1</v>
      </c>
      <c r="X434">
        <v>11</v>
      </c>
    </row>
    <row r="435" spans="1:24" x14ac:dyDescent="0.3">
      <c r="A435">
        <v>603</v>
      </c>
      <c r="B435">
        <v>34</v>
      </c>
      <c r="C435">
        <v>-23</v>
      </c>
      <c r="D435" s="1">
        <v>41351</v>
      </c>
      <c r="E435">
        <v>240</v>
      </c>
      <c r="F435">
        <v>43</v>
      </c>
      <c r="G435" t="s">
        <v>40</v>
      </c>
      <c r="H435" t="s">
        <v>32</v>
      </c>
      <c r="I435">
        <v>12</v>
      </c>
      <c r="J435" t="s">
        <v>24</v>
      </c>
      <c r="K435" t="s">
        <v>25</v>
      </c>
      <c r="L435" t="s">
        <v>26</v>
      </c>
      <c r="M435">
        <v>-3</v>
      </c>
      <c r="N435">
        <v>77</v>
      </c>
      <c r="O435" t="s">
        <v>52</v>
      </c>
      <c r="P435">
        <v>10</v>
      </c>
      <c r="Q435">
        <v>30</v>
      </c>
      <c r="R435">
        <v>20</v>
      </c>
      <c r="S435">
        <v>40</v>
      </c>
      <c r="T435">
        <v>46</v>
      </c>
      <c r="U435" t="s">
        <v>28</v>
      </c>
      <c r="V435" s="2">
        <v>-3.896103896103896E-2</v>
      </c>
      <c r="W435" s="2">
        <v>0.55844155844155841</v>
      </c>
      <c r="X435">
        <v>34</v>
      </c>
    </row>
    <row r="436" spans="1:24" x14ac:dyDescent="0.3">
      <c r="A436">
        <v>505</v>
      </c>
      <c r="B436">
        <v>21</v>
      </c>
      <c r="C436">
        <v>-16</v>
      </c>
      <c r="D436" s="1">
        <v>41352</v>
      </c>
      <c r="E436">
        <v>846</v>
      </c>
      <c r="F436">
        <v>31</v>
      </c>
      <c r="G436" t="s">
        <v>40</v>
      </c>
      <c r="H436" t="s">
        <v>30</v>
      </c>
      <c r="I436">
        <v>5</v>
      </c>
      <c r="J436" t="s">
        <v>24</v>
      </c>
      <c r="K436" t="s">
        <v>25</v>
      </c>
      <c r="L436" t="s">
        <v>58</v>
      </c>
      <c r="M436">
        <v>14</v>
      </c>
      <c r="N436">
        <v>52</v>
      </c>
      <c r="O436" t="s">
        <v>65</v>
      </c>
      <c r="P436">
        <v>10</v>
      </c>
      <c r="Q436">
        <v>30</v>
      </c>
      <c r="R436">
        <v>30</v>
      </c>
      <c r="S436">
        <v>40</v>
      </c>
      <c r="T436">
        <v>17</v>
      </c>
      <c r="U436" t="s">
        <v>28</v>
      </c>
      <c r="V436" s="2">
        <v>0.26923076923076922</v>
      </c>
      <c r="W436" s="2">
        <v>0.59615384615384615</v>
      </c>
      <c r="X436">
        <v>12</v>
      </c>
    </row>
    <row r="437" spans="1:24" x14ac:dyDescent="0.3">
      <c r="A437">
        <v>971</v>
      </c>
      <c r="B437">
        <v>25</v>
      </c>
      <c r="C437">
        <v>-13</v>
      </c>
      <c r="D437" s="1">
        <v>41353</v>
      </c>
      <c r="E437">
        <v>820</v>
      </c>
      <c r="F437">
        <v>36</v>
      </c>
      <c r="G437" t="s">
        <v>40</v>
      </c>
      <c r="H437" t="s">
        <v>37</v>
      </c>
      <c r="I437">
        <v>7</v>
      </c>
      <c r="J437" t="s">
        <v>24</v>
      </c>
      <c r="K437" t="s">
        <v>25</v>
      </c>
      <c r="L437" t="s">
        <v>58</v>
      </c>
      <c r="M437">
        <v>17</v>
      </c>
      <c r="N437">
        <v>61</v>
      </c>
      <c r="O437" t="s">
        <v>57</v>
      </c>
      <c r="P437">
        <v>10</v>
      </c>
      <c r="Q437">
        <v>30</v>
      </c>
      <c r="R437">
        <v>30</v>
      </c>
      <c r="S437">
        <v>40</v>
      </c>
      <c r="T437">
        <v>19</v>
      </c>
      <c r="U437" t="s">
        <v>28</v>
      </c>
      <c r="V437" s="2">
        <v>0.27868852459016391</v>
      </c>
      <c r="W437" s="2">
        <v>0.5901639344262295</v>
      </c>
      <c r="X437">
        <v>12</v>
      </c>
    </row>
    <row r="438" spans="1:24" x14ac:dyDescent="0.3">
      <c r="A438">
        <v>314</v>
      </c>
      <c r="B438">
        <v>34</v>
      </c>
      <c r="C438">
        <v>-13</v>
      </c>
      <c r="D438" s="1">
        <v>41354</v>
      </c>
      <c r="E438">
        <v>240</v>
      </c>
      <c r="F438">
        <v>43</v>
      </c>
      <c r="G438" t="s">
        <v>40</v>
      </c>
      <c r="H438" t="s">
        <v>23</v>
      </c>
      <c r="I438">
        <v>12</v>
      </c>
      <c r="J438" t="s">
        <v>24</v>
      </c>
      <c r="K438" t="s">
        <v>33</v>
      </c>
      <c r="L438" t="s">
        <v>38</v>
      </c>
      <c r="M438">
        <v>-3</v>
      </c>
      <c r="N438">
        <v>77</v>
      </c>
      <c r="O438" t="s">
        <v>59</v>
      </c>
      <c r="P438">
        <v>10</v>
      </c>
      <c r="Q438">
        <v>30</v>
      </c>
      <c r="R438">
        <v>10</v>
      </c>
      <c r="S438">
        <v>40</v>
      </c>
      <c r="T438">
        <v>46</v>
      </c>
      <c r="U438" t="s">
        <v>36</v>
      </c>
      <c r="V438" s="2">
        <v>-3.896103896103896E-2</v>
      </c>
      <c r="W438" s="2">
        <v>0.55844155844155841</v>
      </c>
      <c r="X438">
        <v>34</v>
      </c>
    </row>
    <row r="439" spans="1:24" x14ac:dyDescent="0.3">
      <c r="A439">
        <v>603</v>
      </c>
      <c r="B439">
        <v>21</v>
      </c>
      <c r="C439">
        <v>-16</v>
      </c>
      <c r="D439" s="1">
        <v>41355</v>
      </c>
      <c r="E439">
        <v>846</v>
      </c>
      <c r="F439">
        <v>31</v>
      </c>
      <c r="G439" t="s">
        <v>40</v>
      </c>
      <c r="H439" t="s">
        <v>32</v>
      </c>
      <c r="I439">
        <v>5</v>
      </c>
      <c r="J439" t="s">
        <v>24</v>
      </c>
      <c r="K439" t="s">
        <v>33</v>
      </c>
      <c r="L439" t="s">
        <v>34</v>
      </c>
      <c r="M439">
        <v>14</v>
      </c>
      <c r="N439">
        <v>52</v>
      </c>
      <c r="O439" t="s">
        <v>52</v>
      </c>
      <c r="P439">
        <v>20</v>
      </c>
      <c r="Q439">
        <v>30</v>
      </c>
      <c r="R439">
        <v>30</v>
      </c>
      <c r="S439">
        <v>50</v>
      </c>
      <c r="T439">
        <v>17</v>
      </c>
      <c r="U439" t="s">
        <v>36</v>
      </c>
      <c r="V439" s="2">
        <v>0.26923076923076922</v>
      </c>
      <c r="W439" s="2">
        <v>0.59615384615384615</v>
      </c>
      <c r="X439">
        <v>12</v>
      </c>
    </row>
    <row r="440" spans="1:24" x14ac:dyDescent="0.3">
      <c r="A440">
        <v>435</v>
      </c>
      <c r="B440">
        <v>39</v>
      </c>
      <c r="C440">
        <v>-6</v>
      </c>
      <c r="D440" s="1">
        <v>41356</v>
      </c>
      <c r="E440">
        <v>244</v>
      </c>
      <c r="F440">
        <v>53</v>
      </c>
      <c r="G440" t="s">
        <v>40</v>
      </c>
      <c r="H440" t="s">
        <v>37</v>
      </c>
      <c r="I440">
        <v>12</v>
      </c>
      <c r="J440" t="s">
        <v>24</v>
      </c>
      <c r="K440" t="s">
        <v>33</v>
      </c>
      <c r="L440" t="s">
        <v>62</v>
      </c>
      <c r="M440">
        <v>14</v>
      </c>
      <c r="N440">
        <v>92</v>
      </c>
      <c r="O440" t="s">
        <v>50</v>
      </c>
      <c r="P440">
        <v>10</v>
      </c>
      <c r="Q440">
        <v>30</v>
      </c>
      <c r="R440">
        <v>20</v>
      </c>
      <c r="S440">
        <v>40</v>
      </c>
      <c r="T440">
        <v>39</v>
      </c>
      <c r="U440" t="s">
        <v>36</v>
      </c>
      <c r="V440" s="2">
        <v>0.15217391304347827</v>
      </c>
      <c r="W440" s="2">
        <v>0.57608695652173914</v>
      </c>
      <c r="X440">
        <v>27</v>
      </c>
    </row>
    <row r="441" spans="1:24" x14ac:dyDescent="0.3">
      <c r="A441">
        <v>360</v>
      </c>
      <c r="B441">
        <v>46</v>
      </c>
      <c r="C441">
        <v>1</v>
      </c>
      <c r="D441" s="1">
        <v>41357</v>
      </c>
      <c r="E441">
        <v>449</v>
      </c>
      <c r="F441">
        <v>67</v>
      </c>
      <c r="G441" t="s">
        <v>40</v>
      </c>
      <c r="H441" t="s">
        <v>37</v>
      </c>
      <c r="I441">
        <v>14</v>
      </c>
      <c r="J441" t="s">
        <v>24</v>
      </c>
      <c r="K441" t="s">
        <v>33</v>
      </c>
      <c r="L441" t="s">
        <v>62</v>
      </c>
      <c r="M441">
        <v>31</v>
      </c>
      <c r="N441">
        <v>113</v>
      </c>
      <c r="O441" t="s">
        <v>61</v>
      </c>
      <c r="P441">
        <v>20</v>
      </c>
      <c r="Q441">
        <v>30</v>
      </c>
      <c r="R441">
        <v>30</v>
      </c>
      <c r="S441">
        <v>50</v>
      </c>
      <c r="T441">
        <v>36</v>
      </c>
      <c r="U441" t="s">
        <v>36</v>
      </c>
      <c r="V441" s="2">
        <v>0.27433628318584069</v>
      </c>
      <c r="W441" s="2">
        <v>0.59292035398230092</v>
      </c>
      <c r="X441">
        <v>22</v>
      </c>
    </row>
    <row r="442" spans="1:24" x14ac:dyDescent="0.3">
      <c r="A442">
        <v>775</v>
      </c>
      <c r="B442">
        <v>22</v>
      </c>
      <c r="C442">
        <v>-3</v>
      </c>
      <c r="D442" s="1">
        <v>41358</v>
      </c>
      <c r="E442">
        <v>802</v>
      </c>
      <c r="F442">
        <v>34</v>
      </c>
      <c r="G442" t="s">
        <v>40</v>
      </c>
      <c r="H442" t="s">
        <v>37</v>
      </c>
      <c r="I442">
        <v>6</v>
      </c>
      <c r="J442" t="s">
        <v>41</v>
      </c>
      <c r="K442" t="s">
        <v>42</v>
      </c>
      <c r="L442" t="s">
        <v>43</v>
      </c>
      <c r="M442">
        <v>17</v>
      </c>
      <c r="N442">
        <v>56</v>
      </c>
      <c r="O442" t="s">
        <v>49</v>
      </c>
      <c r="P442">
        <v>20</v>
      </c>
      <c r="Q442">
        <v>30</v>
      </c>
      <c r="R442">
        <v>20</v>
      </c>
      <c r="S442">
        <v>50</v>
      </c>
      <c r="T442">
        <v>17</v>
      </c>
      <c r="U442" t="s">
        <v>28</v>
      </c>
      <c r="V442" s="2">
        <v>0.30357142857142855</v>
      </c>
      <c r="W442" s="2">
        <v>0.6071428571428571</v>
      </c>
      <c r="X442">
        <v>11</v>
      </c>
    </row>
    <row r="443" spans="1:24" x14ac:dyDescent="0.3">
      <c r="A443">
        <v>505</v>
      </c>
      <c r="B443">
        <v>34</v>
      </c>
      <c r="C443">
        <v>6</v>
      </c>
      <c r="D443" s="1">
        <v>41359</v>
      </c>
      <c r="E443">
        <v>-522</v>
      </c>
      <c r="F443">
        <v>42</v>
      </c>
      <c r="G443" t="s">
        <v>40</v>
      </c>
      <c r="H443" t="s">
        <v>30</v>
      </c>
      <c r="I443">
        <v>12</v>
      </c>
      <c r="J443" t="s">
        <v>41</v>
      </c>
      <c r="K443" t="s">
        <v>42</v>
      </c>
      <c r="L443" t="s">
        <v>55</v>
      </c>
      <c r="M443">
        <v>-4</v>
      </c>
      <c r="N443">
        <v>76</v>
      </c>
      <c r="O443" t="s">
        <v>65</v>
      </c>
      <c r="P443">
        <v>20</v>
      </c>
      <c r="Q443">
        <v>30</v>
      </c>
      <c r="R443">
        <v>-10</v>
      </c>
      <c r="S443">
        <v>50</v>
      </c>
      <c r="T443">
        <v>46</v>
      </c>
      <c r="U443" t="s">
        <v>36</v>
      </c>
      <c r="V443" s="2">
        <v>-5.2631578947368418E-2</v>
      </c>
      <c r="W443" s="2">
        <v>0.55263157894736847</v>
      </c>
      <c r="X443">
        <v>34</v>
      </c>
    </row>
    <row r="444" spans="1:24" x14ac:dyDescent="0.3">
      <c r="A444">
        <v>253</v>
      </c>
      <c r="B444">
        <v>22</v>
      </c>
      <c r="C444">
        <v>-9</v>
      </c>
      <c r="D444" s="1">
        <v>41360</v>
      </c>
      <c r="E444">
        <v>570</v>
      </c>
      <c r="F444">
        <v>30</v>
      </c>
      <c r="G444" t="s">
        <v>40</v>
      </c>
      <c r="H444" t="s">
        <v>37</v>
      </c>
      <c r="I444">
        <v>7</v>
      </c>
      <c r="J444" t="s">
        <v>41</v>
      </c>
      <c r="K444" t="s">
        <v>42</v>
      </c>
      <c r="L444" t="s">
        <v>55</v>
      </c>
      <c r="M444">
        <v>11</v>
      </c>
      <c r="N444">
        <v>52</v>
      </c>
      <c r="O444" t="s">
        <v>61</v>
      </c>
      <c r="P444">
        <v>20</v>
      </c>
      <c r="Q444">
        <v>30</v>
      </c>
      <c r="R444">
        <v>20</v>
      </c>
      <c r="S444">
        <v>50</v>
      </c>
      <c r="T444">
        <v>19</v>
      </c>
      <c r="U444" t="s">
        <v>36</v>
      </c>
      <c r="V444" s="2">
        <v>0.21153846153846154</v>
      </c>
      <c r="W444" s="2">
        <v>0.57692307692307687</v>
      </c>
      <c r="X444">
        <v>12</v>
      </c>
    </row>
    <row r="445" spans="1:24" x14ac:dyDescent="0.3">
      <c r="A445">
        <v>603</v>
      </c>
      <c r="B445">
        <v>33</v>
      </c>
      <c r="C445">
        <v>-4</v>
      </c>
      <c r="D445" s="1">
        <v>41361</v>
      </c>
      <c r="E445">
        <v>243</v>
      </c>
      <c r="F445">
        <v>41</v>
      </c>
      <c r="G445" t="s">
        <v>40</v>
      </c>
      <c r="H445" t="s">
        <v>32</v>
      </c>
      <c r="I445">
        <v>12</v>
      </c>
      <c r="J445" t="s">
        <v>24</v>
      </c>
      <c r="K445" t="s">
        <v>25</v>
      </c>
      <c r="L445" t="s">
        <v>26</v>
      </c>
      <c r="M445">
        <v>-4</v>
      </c>
      <c r="N445">
        <v>74</v>
      </c>
      <c r="O445" t="s">
        <v>52</v>
      </c>
      <c r="P445">
        <v>20</v>
      </c>
      <c r="Q445">
        <v>30</v>
      </c>
      <c r="R445">
        <v>0</v>
      </c>
      <c r="S445">
        <v>50</v>
      </c>
      <c r="T445">
        <v>45</v>
      </c>
      <c r="U445" t="s">
        <v>28</v>
      </c>
      <c r="V445" s="2">
        <v>-5.4054054054054057E-2</v>
      </c>
      <c r="W445" s="2">
        <v>0.55405405405405406</v>
      </c>
      <c r="X445">
        <v>33</v>
      </c>
    </row>
    <row r="446" spans="1:24" x14ac:dyDescent="0.3">
      <c r="A446">
        <v>505</v>
      </c>
      <c r="B446">
        <v>29</v>
      </c>
      <c r="C446">
        <v>-5</v>
      </c>
      <c r="D446" s="1">
        <v>41362</v>
      </c>
      <c r="E446">
        <v>1003</v>
      </c>
      <c r="F446">
        <v>35</v>
      </c>
      <c r="G446" t="s">
        <v>40</v>
      </c>
      <c r="H446" t="s">
        <v>30</v>
      </c>
      <c r="I446">
        <v>8</v>
      </c>
      <c r="J446" t="s">
        <v>24</v>
      </c>
      <c r="K446" t="s">
        <v>25</v>
      </c>
      <c r="L446" t="s">
        <v>26</v>
      </c>
      <c r="M446">
        <v>5</v>
      </c>
      <c r="N446">
        <v>64</v>
      </c>
      <c r="O446" t="s">
        <v>65</v>
      </c>
      <c r="P446">
        <v>20</v>
      </c>
      <c r="Q446">
        <v>30</v>
      </c>
      <c r="R446">
        <v>10</v>
      </c>
      <c r="S446">
        <v>50</v>
      </c>
      <c r="T446">
        <v>30</v>
      </c>
      <c r="U446" t="s">
        <v>28</v>
      </c>
      <c r="V446" s="2">
        <v>7.8125E-2</v>
      </c>
      <c r="W446" s="2">
        <v>0.546875</v>
      </c>
      <c r="X446">
        <v>22</v>
      </c>
    </row>
    <row r="447" spans="1:24" x14ac:dyDescent="0.3">
      <c r="A447">
        <v>503</v>
      </c>
      <c r="B447">
        <v>25</v>
      </c>
      <c r="C447">
        <v>-1</v>
      </c>
      <c r="D447" s="1">
        <v>41363</v>
      </c>
      <c r="E447">
        <v>823</v>
      </c>
      <c r="F447">
        <v>38</v>
      </c>
      <c r="G447" t="s">
        <v>40</v>
      </c>
      <c r="H447" t="s">
        <v>37</v>
      </c>
      <c r="I447">
        <v>7</v>
      </c>
      <c r="J447" t="s">
        <v>24</v>
      </c>
      <c r="K447" t="s">
        <v>25</v>
      </c>
      <c r="L447" t="s">
        <v>58</v>
      </c>
      <c r="M447">
        <v>19</v>
      </c>
      <c r="N447">
        <v>63</v>
      </c>
      <c r="O447" t="s">
        <v>57</v>
      </c>
      <c r="P447">
        <v>20</v>
      </c>
      <c r="Q447">
        <v>30</v>
      </c>
      <c r="R447">
        <v>20</v>
      </c>
      <c r="S447">
        <v>50</v>
      </c>
      <c r="T447">
        <v>19</v>
      </c>
      <c r="U447" t="s">
        <v>28</v>
      </c>
      <c r="V447" s="2">
        <v>0.30158730158730157</v>
      </c>
      <c r="W447" s="2">
        <v>0.60317460317460314</v>
      </c>
      <c r="X447">
        <v>12</v>
      </c>
    </row>
    <row r="448" spans="1:24" x14ac:dyDescent="0.3">
      <c r="A448">
        <v>603</v>
      </c>
      <c r="B448">
        <v>15</v>
      </c>
      <c r="C448">
        <v>-12</v>
      </c>
      <c r="D448" s="1">
        <v>41364</v>
      </c>
      <c r="E448">
        <v>848</v>
      </c>
      <c r="F448">
        <v>24</v>
      </c>
      <c r="G448" t="s">
        <v>40</v>
      </c>
      <c r="H448" t="s">
        <v>32</v>
      </c>
      <c r="I448">
        <v>4</v>
      </c>
      <c r="J448" t="s">
        <v>24</v>
      </c>
      <c r="K448" t="s">
        <v>33</v>
      </c>
      <c r="L448" t="s">
        <v>34</v>
      </c>
      <c r="M448">
        <v>8</v>
      </c>
      <c r="N448">
        <v>39</v>
      </c>
      <c r="O448" t="s">
        <v>52</v>
      </c>
      <c r="P448">
        <v>10</v>
      </c>
      <c r="Q448">
        <v>30</v>
      </c>
      <c r="R448">
        <v>20</v>
      </c>
      <c r="S448">
        <v>40</v>
      </c>
      <c r="T448">
        <v>16</v>
      </c>
      <c r="U448" t="s">
        <v>36</v>
      </c>
      <c r="V448" s="2">
        <v>0.20512820512820512</v>
      </c>
      <c r="W448" s="2">
        <v>0.61538461538461542</v>
      </c>
      <c r="X448">
        <v>12</v>
      </c>
    </row>
    <row r="449" spans="1:24" x14ac:dyDescent="0.3">
      <c r="A449">
        <v>541</v>
      </c>
      <c r="B449">
        <v>32</v>
      </c>
      <c r="C449">
        <v>-2</v>
      </c>
      <c r="D449" s="1">
        <v>41365</v>
      </c>
      <c r="E449">
        <v>482</v>
      </c>
      <c r="F449">
        <v>48</v>
      </c>
      <c r="G449" t="s">
        <v>40</v>
      </c>
      <c r="H449" t="s">
        <v>37</v>
      </c>
      <c r="I449">
        <v>8</v>
      </c>
      <c r="J449" t="s">
        <v>24</v>
      </c>
      <c r="K449" t="s">
        <v>33</v>
      </c>
      <c r="L449" t="s">
        <v>34</v>
      </c>
      <c r="M449">
        <v>28</v>
      </c>
      <c r="N449">
        <v>80</v>
      </c>
      <c r="O449" t="s">
        <v>57</v>
      </c>
      <c r="P449">
        <v>20</v>
      </c>
      <c r="Q449">
        <v>30</v>
      </c>
      <c r="R449">
        <v>30</v>
      </c>
      <c r="S449">
        <v>50</v>
      </c>
      <c r="T449">
        <v>20</v>
      </c>
      <c r="U449" t="s">
        <v>36</v>
      </c>
      <c r="V449" s="2">
        <v>0.35</v>
      </c>
      <c r="W449" s="2">
        <v>0.6</v>
      </c>
      <c r="X449">
        <v>12</v>
      </c>
    </row>
    <row r="450" spans="1:24" x14ac:dyDescent="0.3">
      <c r="A450">
        <v>435</v>
      </c>
      <c r="B450">
        <v>35</v>
      </c>
      <c r="C450">
        <v>-1</v>
      </c>
      <c r="D450" s="1">
        <v>41366</v>
      </c>
      <c r="E450">
        <v>248</v>
      </c>
      <c r="F450">
        <v>47</v>
      </c>
      <c r="G450" t="s">
        <v>40</v>
      </c>
      <c r="H450" t="s">
        <v>37</v>
      </c>
      <c r="I450">
        <v>11</v>
      </c>
      <c r="J450" t="s">
        <v>24</v>
      </c>
      <c r="K450" t="s">
        <v>33</v>
      </c>
      <c r="L450" t="s">
        <v>62</v>
      </c>
      <c r="M450">
        <v>9</v>
      </c>
      <c r="N450">
        <v>82</v>
      </c>
      <c r="O450" t="s">
        <v>50</v>
      </c>
      <c r="P450">
        <v>20</v>
      </c>
      <c r="Q450">
        <v>30</v>
      </c>
      <c r="R450">
        <v>10</v>
      </c>
      <c r="S450">
        <v>50</v>
      </c>
      <c r="T450">
        <v>38</v>
      </c>
      <c r="U450" t="s">
        <v>36</v>
      </c>
      <c r="V450" s="2">
        <v>0.10975609756097561</v>
      </c>
      <c r="W450" s="2">
        <v>0.57317073170731703</v>
      </c>
      <c r="X450">
        <v>27</v>
      </c>
    </row>
    <row r="451" spans="1:24" x14ac:dyDescent="0.3">
      <c r="A451">
        <v>801</v>
      </c>
      <c r="B451">
        <v>34</v>
      </c>
      <c r="C451">
        <v>-3</v>
      </c>
      <c r="D451" s="1">
        <v>41367</v>
      </c>
      <c r="E451">
        <v>211</v>
      </c>
      <c r="F451">
        <v>42</v>
      </c>
      <c r="G451" t="s">
        <v>40</v>
      </c>
      <c r="H451" t="s">
        <v>37</v>
      </c>
      <c r="I451">
        <v>12</v>
      </c>
      <c r="J451" t="s">
        <v>24</v>
      </c>
      <c r="K451" t="s">
        <v>33</v>
      </c>
      <c r="L451" t="s">
        <v>38</v>
      </c>
      <c r="M451">
        <v>-3</v>
      </c>
      <c r="N451">
        <v>76</v>
      </c>
      <c r="O451" t="s">
        <v>50</v>
      </c>
      <c r="P451">
        <v>20</v>
      </c>
      <c r="Q451">
        <v>30</v>
      </c>
      <c r="R451">
        <v>0</v>
      </c>
      <c r="S451">
        <v>50</v>
      </c>
      <c r="T451">
        <v>45</v>
      </c>
      <c r="U451" t="s">
        <v>36</v>
      </c>
      <c r="V451" s="2">
        <v>-3.9473684210526314E-2</v>
      </c>
      <c r="W451" s="2">
        <v>0.55263157894736847</v>
      </c>
      <c r="X451">
        <v>33</v>
      </c>
    </row>
    <row r="452" spans="1:24" x14ac:dyDescent="0.3">
      <c r="A452">
        <v>772</v>
      </c>
      <c r="B452">
        <v>24</v>
      </c>
      <c r="C452">
        <v>-8</v>
      </c>
      <c r="D452" s="1">
        <v>41368</v>
      </c>
      <c r="E452">
        <v>567</v>
      </c>
      <c r="F452">
        <v>32</v>
      </c>
      <c r="G452" t="s">
        <v>22</v>
      </c>
      <c r="H452" t="s">
        <v>32</v>
      </c>
      <c r="I452">
        <v>7</v>
      </c>
      <c r="J452" t="s">
        <v>24</v>
      </c>
      <c r="K452" t="s">
        <v>25</v>
      </c>
      <c r="L452" t="s">
        <v>58</v>
      </c>
      <c r="M452">
        <v>12</v>
      </c>
      <c r="N452">
        <v>56</v>
      </c>
      <c r="O452" t="s">
        <v>35</v>
      </c>
      <c r="P452">
        <v>10</v>
      </c>
      <c r="Q452">
        <v>30</v>
      </c>
      <c r="R452">
        <v>20</v>
      </c>
      <c r="S452">
        <v>40</v>
      </c>
      <c r="T452">
        <v>20</v>
      </c>
      <c r="U452" t="s">
        <v>28</v>
      </c>
      <c r="V452" s="2">
        <v>0.21428571428571427</v>
      </c>
      <c r="W452" s="2">
        <v>0.5714285714285714</v>
      </c>
      <c r="X452">
        <v>13</v>
      </c>
    </row>
    <row r="453" spans="1:24" x14ac:dyDescent="0.3">
      <c r="A453">
        <v>505</v>
      </c>
      <c r="B453">
        <v>38</v>
      </c>
      <c r="C453">
        <v>12</v>
      </c>
      <c r="D453" s="1">
        <v>41369</v>
      </c>
      <c r="E453">
        <v>256</v>
      </c>
      <c r="F453">
        <v>51</v>
      </c>
      <c r="G453" t="s">
        <v>40</v>
      </c>
      <c r="H453" t="s">
        <v>30</v>
      </c>
      <c r="I453">
        <v>12</v>
      </c>
      <c r="J453" t="s">
        <v>41</v>
      </c>
      <c r="K453" t="s">
        <v>42</v>
      </c>
      <c r="L453" t="s">
        <v>43</v>
      </c>
      <c r="M453">
        <v>12</v>
      </c>
      <c r="N453">
        <v>89</v>
      </c>
      <c r="O453" t="s">
        <v>65</v>
      </c>
      <c r="P453">
        <v>30</v>
      </c>
      <c r="Q453">
        <v>30</v>
      </c>
      <c r="R453">
        <v>0</v>
      </c>
      <c r="S453">
        <v>60</v>
      </c>
      <c r="T453">
        <v>39</v>
      </c>
      <c r="U453" t="s">
        <v>28</v>
      </c>
      <c r="V453" s="2">
        <v>0.1348314606741573</v>
      </c>
      <c r="W453" s="2">
        <v>0.5730337078651685</v>
      </c>
      <c r="X453">
        <v>27</v>
      </c>
    </row>
    <row r="454" spans="1:24" x14ac:dyDescent="0.3">
      <c r="A454">
        <v>702</v>
      </c>
      <c r="B454">
        <v>23</v>
      </c>
      <c r="C454">
        <v>-3</v>
      </c>
      <c r="D454" s="1">
        <v>41370</v>
      </c>
      <c r="E454">
        <v>807</v>
      </c>
      <c r="F454">
        <v>35</v>
      </c>
      <c r="G454" t="s">
        <v>40</v>
      </c>
      <c r="H454" t="s">
        <v>37</v>
      </c>
      <c r="I454">
        <v>6</v>
      </c>
      <c r="J454" t="s">
        <v>41</v>
      </c>
      <c r="K454" t="s">
        <v>42</v>
      </c>
      <c r="L454" t="s">
        <v>43</v>
      </c>
      <c r="M454">
        <v>17</v>
      </c>
      <c r="N454">
        <v>58</v>
      </c>
      <c r="O454" t="s">
        <v>49</v>
      </c>
      <c r="P454">
        <v>20</v>
      </c>
      <c r="Q454">
        <v>30</v>
      </c>
      <c r="R454">
        <v>20</v>
      </c>
      <c r="S454">
        <v>50</v>
      </c>
      <c r="T454">
        <v>18</v>
      </c>
      <c r="U454" t="s">
        <v>28</v>
      </c>
      <c r="V454" s="2">
        <v>0.29310344827586204</v>
      </c>
      <c r="W454" s="2">
        <v>0.60344827586206895</v>
      </c>
      <c r="X454">
        <v>12</v>
      </c>
    </row>
    <row r="455" spans="1:24" x14ac:dyDescent="0.3">
      <c r="A455">
        <v>641</v>
      </c>
      <c r="B455">
        <v>16</v>
      </c>
      <c r="C455">
        <v>-10</v>
      </c>
      <c r="D455" s="1">
        <v>41371</v>
      </c>
      <c r="E455">
        <v>851</v>
      </c>
      <c r="F455">
        <v>25</v>
      </c>
      <c r="G455" t="s">
        <v>40</v>
      </c>
      <c r="H455" t="s">
        <v>23</v>
      </c>
      <c r="I455">
        <v>4</v>
      </c>
      <c r="J455" t="s">
        <v>41</v>
      </c>
      <c r="K455" t="s">
        <v>46</v>
      </c>
      <c r="L455" t="s">
        <v>51</v>
      </c>
      <c r="M455">
        <v>10</v>
      </c>
      <c r="N455">
        <v>41</v>
      </c>
      <c r="O455" t="s">
        <v>44</v>
      </c>
      <c r="P455">
        <v>10</v>
      </c>
      <c r="Q455">
        <v>30</v>
      </c>
      <c r="R455">
        <v>20</v>
      </c>
      <c r="S455">
        <v>40</v>
      </c>
      <c r="T455">
        <v>15</v>
      </c>
      <c r="U455" t="s">
        <v>36</v>
      </c>
      <c r="V455" s="2">
        <v>0.24390243902439024</v>
      </c>
      <c r="W455" s="2">
        <v>0.6097560975609756</v>
      </c>
      <c r="X455">
        <v>11</v>
      </c>
    </row>
    <row r="456" spans="1:24" x14ac:dyDescent="0.3">
      <c r="A456">
        <v>563</v>
      </c>
      <c r="B456">
        <v>31</v>
      </c>
      <c r="C456">
        <v>-2</v>
      </c>
      <c r="D456" s="1">
        <v>41372</v>
      </c>
      <c r="E456">
        <v>1009</v>
      </c>
      <c r="F456">
        <v>38</v>
      </c>
      <c r="G456" t="s">
        <v>40</v>
      </c>
      <c r="H456" t="s">
        <v>23</v>
      </c>
      <c r="I456">
        <v>9</v>
      </c>
      <c r="J456" t="s">
        <v>41</v>
      </c>
      <c r="K456" t="s">
        <v>46</v>
      </c>
      <c r="L456" t="s">
        <v>53</v>
      </c>
      <c r="M456">
        <v>8</v>
      </c>
      <c r="N456">
        <v>69</v>
      </c>
      <c r="O456" t="s">
        <v>44</v>
      </c>
      <c r="P456">
        <v>30</v>
      </c>
      <c r="Q456">
        <v>30</v>
      </c>
      <c r="R456">
        <v>10</v>
      </c>
      <c r="S456">
        <v>60</v>
      </c>
      <c r="T456">
        <v>30</v>
      </c>
      <c r="U456" t="s">
        <v>36</v>
      </c>
      <c r="V456" s="2">
        <v>0.11594202898550725</v>
      </c>
      <c r="W456" s="2">
        <v>0.55072463768115942</v>
      </c>
      <c r="X456">
        <v>21</v>
      </c>
    </row>
    <row r="457" spans="1:24" x14ac:dyDescent="0.3">
      <c r="A457">
        <v>603</v>
      </c>
      <c r="B457">
        <v>20</v>
      </c>
      <c r="C457">
        <v>-16</v>
      </c>
      <c r="D457" s="1">
        <v>41373</v>
      </c>
      <c r="E457">
        <v>218</v>
      </c>
      <c r="F457">
        <v>25</v>
      </c>
      <c r="G457" t="s">
        <v>40</v>
      </c>
      <c r="H457" t="s">
        <v>32</v>
      </c>
      <c r="I457">
        <v>7</v>
      </c>
      <c r="J457" t="s">
        <v>41</v>
      </c>
      <c r="K457" t="s">
        <v>42</v>
      </c>
      <c r="L457" t="s">
        <v>67</v>
      </c>
      <c r="M457">
        <v>-16</v>
      </c>
      <c r="N457">
        <v>45</v>
      </c>
      <c r="O457" t="s">
        <v>52</v>
      </c>
      <c r="P457">
        <v>10</v>
      </c>
      <c r="Q457">
        <v>30</v>
      </c>
      <c r="R457">
        <v>0</v>
      </c>
      <c r="S457">
        <v>40</v>
      </c>
      <c r="T457">
        <v>41</v>
      </c>
      <c r="U457" t="s">
        <v>36</v>
      </c>
      <c r="V457" s="2">
        <v>-0.35555555555555557</v>
      </c>
      <c r="W457" s="2">
        <v>0.55555555555555558</v>
      </c>
      <c r="X457">
        <v>34</v>
      </c>
    </row>
    <row r="458" spans="1:24" x14ac:dyDescent="0.3">
      <c r="A458">
        <v>580</v>
      </c>
      <c r="B458">
        <v>29</v>
      </c>
      <c r="C458">
        <v>4</v>
      </c>
      <c r="D458" s="1">
        <v>41374</v>
      </c>
      <c r="E458">
        <v>490</v>
      </c>
      <c r="F458">
        <v>44</v>
      </c>
      <c r="G458" t="s">
        <v>40</v>
      </c>
      <c r="H458" t="s">
        <v>30</v>
      </c>
      <c r="I458">
        <v>8</v>
      </c>
      <c r="J458" t="s">
        <v>41</v>
      </c>
      <c r="K458" t="s">
        <v>42</v>
      </c>
      <c r="L458" t="s">
        <v>54</v>
      </c>
      <c r="M458">
        <v>24</v>
      </c>
      <c r="N458">
        <v>73</v>
      </c>
      <c r="O458" t="s">
        <v>48</v>
      </c>
      <c r="P458">
        <v>20</v>
      </c>
      <c r="Q458">
        <v>30</v>
      </c>
      <c r="R458">
        <v>20</v>
      </c>
      <c r="S458">
        <v>50</v>
      </c>
      <c r="T458">
        <v>20</v>
      </c>
      <c r="U458" t="s">
        <v>36</v>
      </c>
      <c r="V458" s="2">
        <v>0.32876712328767121</v>
      </c>
      <c r="W458" s="2">
        <v>0.60273972602739723</v>
      </c>
      <c r="X458">
        <v>12</v>
      </c>
    </row>
    <row r="459" spans="1:24" x14ac:dyDescent="0.3">
      <c r="A459">
        <v>253</v>
      </c>
      <c r="B459">
        <v>24</v>
      </c>
      <c r="C459">
        <v>-7</v>
      </c>
      <c r="D459" s="1">
        <v>41375</v>
      </c>
      <c r="E459">
        <v>567</v>
      </c>
      <c r="F459">
        <v>32</v>
      </c>
      <c r="G459" t="s">
        <v>40</v>
      </c>
      <c r="H459" t="s">
        <v>37</v>
      </c>
      <c r="I459">
        <v>7</v>
      </c>
      <c r="J459" t="s">
        <v>41</v>
      </c>
      <c r="K459" t="s">
        <v>42</v>
      </c>
      <c r="L459" t="s">
        <v>55</v>
      </c>
      <c r="M459">
        <v>13</v>
      </c>
      <c r="N459">
        <v>56</v>
      </c>
      <c r="O459" t="s">
        <v>61</v>
      </c>
      <c r="P459">
        <v>20</v>
      </c>
      <c r="Q459">
        <v>30</v>
      </c>
      <c r="R459">
        <v>20</v>
      </c>
      <c r="S459">
        <v>50</v>
      </c>
      <c r="T459">
        <v>19</v>
      </c>
      <c r="U459" t="s">
        <v>36</v>
      </c>
      <c r="V459" s="2">
        <v>0.23214285714285715</v>
      </c>
      <c r="W459" s="2">
        <v>0.5714285714285714</v>
      </c>
      <c r="X459">
        <v>12</v>
      </c>
    </row>
    <row r="460" spans="1:24" x14ac:dyDescent="0.3">
      <c r="A460">
        <v>541</v>
      </c>
      <c r="B460">
        <v>24</v>
      </c>
      <c r="C460">
        <v>-1</v>
      </c>
      <c r="D460" s="1">
        <v>41376</v>
      </c>
      <c r="E460">
        <v>829</v>
      </c>
      <c r="F460">
        <v>36</v>
      </c>
      <c r="G460" t="s">
        <v>40</v>
      </c>
      <c r="H460" t="s">
        <v>37</v>
      </c>
      <c r="I460">
        <v>6</v>
      </c>
      <c r="J460" t="s">
        <v>24</v>
      </c>
      <c r="K460" t="s">
        <v>25</v>
      </c>
      <c r="L460" t="s">
        <v>58</v>
      </c>
      <c r="M460">
        <v>19</v>
      </c>
      <c r="N460">
        <v>60</v>
      </c>
      <c r="O460" t="s">
        <v>57</v>
      </c>
      <c r="P460">
        <v>20</v>
      </c>
      <c r="Q460">
        <v>30</v>
      </c>
      <c r="R460">
        <v>20</v>
      </c>
      <c r="S460">
        <v>50</v>
      </c>
      <c r="T460">
        <v>17</v>
      </c>
      <c r="U460" t="s">
        <v>28</v>
      </c>
      <c r="V460" s="2">
        <v>0.31666666666666665</v>
      </c>
      <c r="W460" s="2">
        <v>0.6</v>
      </c>
      <c r="X460">
        <v>11</v>
      </c>
    </row>
    <row r="461" spans="1:24" x14ac:dyDescent="0.3">
      <c r="A461">
        <v>603</v>
      </c>
      <c r="B461">
        <v>16</v>
      </c>
      <c r="C461">
        <v>-10</v>
      </c>
      <c r="D461" s="1">
        <v>41377</v>
      </c>
      <c r="E461">
        <v>851</v>
      </c>
      <c r="F461">
        <v>25</v>
      </c>
      <c r="G461" t="s">
        <v>40</v>
      </c>
      <c r="H461" t="s">
        <v>32</v>
      </c>
      <c r="I461">
        <v>4</v>
      </c>
      <c r="J461" t="s">
        <v>24</v>
      </c>
      <c r="K461" t="s">
        <v>33</v>
      </c>
      <c r="L461" t="s">
        <v>34</v>
      </c>
      <c r="M461">
        <v>10</v>
      </c>
      <c r="N461">
        <v>41</v>
      </c>
      <c r="O461" t="s">
        <v>52</v>
      </c>
      <c r="P461">
        <v>10</v>
      </c>
      <c r="Q461">
        <v>30</v>
      </c>
      <c r="R461">
        <v>20</v>
      </c>
      <c r="S461">
        <v>40</v>
      </c>
      <c r="T461">
        <v>15</v>
      </c>
      <c r="U461" t="s">
        <v>36</v>
      </c>
      <c r="V461" s="2">
        <v>0.24390243902439024</v>
      </c>
      <c r="W461" s="2">
        <v>0.6097560975609756</v>
      </c>
      <c r="X461">
        <v>11</v>
      </c>
    </row>
    <row r="462" spans="1:24" x14ac:dyDescent="0.3">
      <c r="A462">
        <v>971</v>
      </c>
      <c r="B462">
        <v>29</v>
      </c>
      <c r="C462">
        <v>-5</v>
      </c>
      <c r="D462" s="1">
        <v>41378</v>
      </c>
      <c r="E462">
        <v>490</v>
      </c>
      <c r="F462">
        <v>44</v>
      </c>
      <c r="G462" t="s">
        <v>40</v>
      </c>
      <c r="H462" t="s">
        <v>37</v>
      </c>
      <c r="I462">
        <v>8</v>
      </c>
      <c r="J462" t="s">
        <v>24</v>
      </c>
      <c r="K462" t="s">
        <v>33</v>
      </c>
      <c r="L462" t="s">
        <v>34</v>
      </c>
      <c r="M462">
        <v>25</v>
      </c>
      <c r="N462">
        <v>73</v>
      </c>
      <c r="O462" t="s">
        <v>57</v>
      </c>
      <c r="P462">
        <v>20</v>
      </c>
      <c r="Q462">
        <v>30</v>
      </c>
      <c r="R462">
        <v>30</v>
      </c>
      <c r="S462">
        <v>50</v>
      </c>
      <c r="T462">
        <v>19</v>
      </c>
      <c r="U462" t="s">
        <v>36</v>
      </c>
      <c r="V462" s="2">
        <v>0.34246575342465752</v>
      </c>
      <c r="W462" s="2">
        <v>0.60273972602739723</v>
      </c>
      <c r="X462">
        <v>11</v>
      </c>
    </row>
    <row r="463" spans="1:24" x14ac:dyDescent="0.3">
      <c r="A463">
        <v>937</v>
      </c>
      <c r="B463">
        <v>21</v>
      </c>
      <c r="C463">
        <v>-6</v>
      </c>
      <c r="D463" s="1">
        <v>41379</v>
      </c>
      <c r="E463">
        <v>480</v>
      </c>
      <c r="F463">
        <v>32</v>
      </c>
      <c r="G463" t="s">
        <v>22</v>
      </c>
      <c r="H463" t="s">
        <v>23</v>
      </c>
      <c r="I463">
        <v>5</v>
      </c>
      <c r="J463" t="s">
        <v>24</v>
      </c>
      <c r="K463" t="s">
        <v>25</v>
      </c>
      <c r="L463" t="s">
        <v>58</v>
      </c>
      <c r="M463">
        <v>24</v>
      </c>
      <c r="N463">
        <v>56</v>
      </c>
      <c r="O463" t="s">
        <v>66</v>
      </c>
      <c r="P463">
        <v>0</v>
      </c>
      <c r="Q463">
        <v>30</v>
      </c>
      <c r="R463">
        <v>30</v>
      </c>
      <c r="S463">
        <v>30</v>
      </c>
      <c r="T463">
        <v>16</v>
      </c>
      <c r="U463" t="s">
        <v>28</v>
      </c>
      <c r="V463" s="2">
        <v>0.42857142857142855</v>
      </c>
      <c r="W463" s="2">
        <v>0.625</v>
      </c>
      <c r="X463">
        <v>11</v>
      </c>
    </row>
    <row r="464" spans="1:24" x14ac:dyDescent="0.3">
      <c r="A464">
        <v>937</v>
      </c>
      <c r="B464">
        <v>27</v>
      </c>
      <c r="C464">
        <v>0</v>
      </c>
      <c r="D464" s="1">
        <v>41380</v>
      </c>
      <c r="E464">
        <v>859</v>
      </c>
      <c r="F464">
        <v>39</v>
      </c>
      <c r="G464" t="s">
        <v>22</v>
      </c>
      <c r="H464" t="s">
        <v>23</v>
      </c>
      <c r="I464">
        <v>7</v>
      </c>
      <c r="J464" t="s">
        <v>24</v>
      </c>
      <c r="K464" t="s">
        <v>25</v>
      </c>
      <c r="L464" t="s">
        <v>26</v>
      </c>
      <c r="M464">
        <v>30</v>
      </c>
      <c r="N464">
        <v>70</v>
      </c>
      <c r="O464" t="s">
        <v>66</v>
      </c>
      <c r="P464">
        <v>10</v>
      </c>
      <c r="Q464">
        <v>30</v>
      </c>
      <c r="R464">
        <v>30</v>
      </c>
      <c r="S464">
        <v>40</v>
      </c>
      <c r="T464">
        <v>19</v>
      </c>
      <c r="U464" t="s">
        <v>28</v>
      </c>
      <c r="V464" s="2">
        <v>0.42857142857142855</v>
      </c>
      <c r="W464" s="2">
        <v>0.61428571428571432</v>
      </c>
      <c r="X464">
        <v>12</v>
      </c>
    </row>
    <row r="465" spans="1:24" x14ac:dyDescent="0.3">
      <c r="A465">
        <v>786</v>
      </c>
      <c r="B465">
        <v>56</v>
      </c>
      <c r="C465">
        <v>4</v>
      </c>
      <c r="D465" s="1">
        <v>41381</v>
      </c>
      <c r="E465">
        <v>385</v>
      </c>
      <c r="F465">
        <v>70</v>
      </c>
      <c r="G465" t="s">
        <v>22</v>
      </c>
      <c r="H465" t="s">
        <v>32</v>
      </c>
      <c r="I465">
        <v>21</v>
      </c>
      <c r="J465" t="s">
        <v>24</v>
      </c>
      <c r="K465" t="s">
        <v>25</v>
      </c>
      <c r="L465" t="s">
        <v>26</v>
      </c>
      <c r="M465">
        <v>24</v>
      </c>
      <c r="N465">
        <v>134</v>
      </c>
      <c r="O465" t="s">
        <v>35</v>
      </c>
      <c r="P465">
        <v>30</v>
      </c>
      <c r="Q465">
        <v>30</v>
      </c>
      <c r="R465">
        <v>20</v>
      </c>
      <c r="S465">
        <v>60</v>
      </c>
      <c r="T465">
        <v>54</v>
      </c>
      <c r="U465" t="s">
        <v>28</v>
      </c>
      <c r="V465" s="2">
        <v>0.17910447761194029</v>
      </c>
      <c r="W465" s="2">
        <v>0.58208955223880599</v>
      </c>
      <c r="X465">
        <v>33</v>
      </c>
    </row>
    <row r="466" spans="1:24" x14ac:dyDescent="0.3">
      <c r="A466">
        <v>339</v>
      </c>
      <c r="B466">
        <v>54</v>
      </c>
      <c r="C466">
        <v>-1</v>
      </c>
      <c r="D466" s="1">
        <v>41382</v>
      </c>
      <c r="E466">
        <v>404</v>
      </c>
      <c r="F466">
        <v>66</v>
      </c>
      <c r="G466" t="s">
        <v>22</v>
      </c>
      <c r="H466" t="s">
        <v>32</v>
      </c>
      <c r="I466">
        <v>20</v>
      </c>
      <c r="J466" t="s">
        <v>24</v>
      </c>
      <c r="K466" t="s">
        <v>25</v>
      </c>
      <c r="L466" t="s">
        <v>26</v>
      </c>
      <c r="M466">
        <v>19</v>
      </c>
      <c r="N466">
        <v>128</v>
      </c>
      <c r="O466" t="s">
        <v>63</v>
      </c>
      <c r="P466">
        <v>30</v>
      </c>
      <c r="Q466">
        <v>30</v>
      </c>
      <c r="R466">
        <v>20</v>
      </c>
      <c r="S466">
        <v>60</v>
      </c>
      <c r="T466">
        <v>53</v>
      </c>
      <c r="U466" t="s">
        <v>28</v>
      </c>
      <c r="V466" s="2">
        <v>0.1484375</v>
      </c>
      <c r="W466" s="2">
        <v>0.578125</v>
      </c>
      <c r="X466">
        <v>33</v>
      </c>
    </row>
    <row r="467" spans="1:24" x14ac:dyDescent="0.3">
      <c r="A467">
        <v>781</v>
      </c>
      <c r="B467">
        <v>21</v>
      </c>
      <c r="C467">
        <v>-8</v>
      </c>
      <c r="D467" s="1">
        <v>41383</v>
      </c>
      <c r="E467">
        <v>480</v>
      </c>
      <c r="F467">
        <v>32</v>
      </c>
      <c r="G467" t="s">
        <v>22</v>
      </c>
      <c r="H467" t="s">
        <v>32</v>
      </c>
      <c r="I467">
        <v>5</v>
      </c>
      <c r="J467" t="s">
        <v>24</v>
      </c>
      <c r="K467" t="s">
        <v>33</v>
      </c>
      <c r="L467" t="s">
        <v>38</v>
      </c>
      <c r="M467">
        <v>22</v>
      </c>
      <c r="N467">
        <v>56</v>
      </c>
      <c r="O467" t="s">
        <v>63</v>
      </c>
      <c r="P467">
        <v>20</v>
      </c>
      <c r="Q467">
        <v>30</v>
      </c>
      <c r="R467">
        <v>30</v>
      </c>
      <c r="S467">
        <v>50</v>
      </c>
      <c r="T467">
        <v>17</v>
      </c>
      <c r="U467" t="s">
        <v>36</v>
      </c>
      <c r="V467" s="2">
        <v>0.39285714285714285</v>
      </c>
      <c r="W467" s="2">
        <v>0.625</v>
      </c>
      <c r="X467">
        <v>12</v>
      </c>
    </row>
    <row r="468" spans="1:24" x14ac:dyDescent="0.3">
      <c r="A468">
        <v>505</v>
      </c>
      <c r="B468">
        <v>39</v>
      </c>
      <c r="C468">
        <v>1</v>
      </c>
      <c r="D468" s="1">
        <v>41384</v>
      </c>
      <c r="E468">
        <v>244</v>
      </c>
      <c r="F468">
        <v>53</v>
      </c>
      <c r="G468" t="s">
        <v>40</v>
      </c>
      <c r="H468" t="s">
        <v>30</v>
      </c>
      <c r="I468">
        <v>12</v>
      </c>
      <c r="J468" t="s">
        <v>41</v>
      </c>
      <c r="K468" t="s">
        <v>42</v>
      </c>
      <c r="L468" t="s">
        <v>43</v>
      </c>
      <c r="M468">
        <v>21</v>
      </c>
      <c r="N468">
        <v>98</v>
      </c>
      <c r="O468" t="s">
        <v>65</v>
      </c>
      <c r="P468">
        <v>20</v>
      </c>
      <c r="Q468">
        <v>30</v>
      </c>
      <c r="R468">
        <v>20</v>
      </c>
      <c r="S468">
        <v>50</v>
      </c>
      <c r="T468">
        <v>39</v>
      </c>
      <c r="U468" t="s">
        <v>28</v>
      </c>
      <c r="V468" s="2">
        <v>0.21428571428571427</v>
      </c>
      <c r="W468" s="2">
        <v>0.60204081632653061</v>
      </c>
      <c r="X468">
        <v>27</v>
      </c>
    </row>
    <row r="469" spans="1:24" x14ac:dyDescent="0.3">
      <c r="A469">
        <v>775</v>
      </c>
      <c r="B469">
        <v>23</v>
      </c>
      <c r="C469">
        <v>-5</v>
      </c>
      <c r="D469" s="1">
        <v>41385</v>
      </c>
      <c r="E469">
        <v>800</v>
      </c>
      <c r="F469">
        <v>35</v>
      </c>
      <c r="G469" t="s">
        <v>40</v>
      </c>
      <c r="H469" t="s">
        <v>37</v>
      </c>
      <c r="I469">
        <v>6</v>
      </c>
      <c r="J469" t="s">
        <v>41</v>
      </c>
      <c r="K469" t="s">
        <v>42</v>
      </c>
      <c r="L469" t="s">
        <v>43</v>
      </c>
      <c r="M469">
        <v>25</v>
      </c>
      <c r="N469">
        <v>62</v>
      </c>
      <c r="O469" t="s">
        <v>49</v>
      </c>
      <c r="P469">
        <v>10</v>
      </c>
      <c r="Q469">
        <v>30</v>
      </c>
      <c r="R469">
        <v>30</v>
      </c>
      <c r="S469">
        <v>40</v>
      </c>
      <c r="T469">
        <v>18</v>
      </c>
      <c r="U469" t="s">
        <v>28</v>
      </c>
      <c r="V469" s="2">
        <v>0.40322580645161288</v>
      </c>
      <c r="W469" s="2">
        <v>0.62903225806451613</v>
      </c>
      <c r="X469">
        <v>12</v>
      </c>
    </row>
    <row r="470" spans="1:24" x14ac:dyDescent="0.3">
      <c r="A470">
        <v>515</v>
      </c>
      <c r="B470">
        <v>21</v>
      </c>
      <c r="C470">
        <v>-8</v>
      </c>
      <c r="D470" s="1">
        <v>41386</v>
      </c>
      <c r="E470">
        <v>846</v>
      </c>
      <c r="F470">
        <v>31</v>
      </c>
      <c r="G470" t="s">
        <v>40</v>
      </c>
      <c r="H470" t="s">
        <v>23</v>
      </c>
      <c r="I470">
        <v>5</v>
      </c>
      <c r="J470" t="s">
        <v>41</v>
      </c>
      <c r="K470" t="s">
        <v>46</v>
      </c>
      <c r="L470" t="s">
        <v>51</v>
      </c>
      <c r="M470">
        <v>22</v>
      </c>
      <c r="N470">
        <v>55</v>
      </c>
      <c r="O470" t="s">
        <v>44</v>
      </c>
      <c r="P470">
        <v>10</v>
      </c>
      <c r="Q470">
        <v>30</v>
      </c>
      <c r="R470">
        <v>30</v>
      </c>
      <c r="S470">
        <v>40</v>
      </c>
      <c r="T470">
        <v>16</v>
      </c>
      <c r="U470" t="s">
        <v>36</v>
      </c>
      <c r="V470" s="2">
        <v>0.4</v>
      </c>
      <c r="W470" s="2">
        <v>0.61818181818181817</v>
      </c>
      <c r="X470">
        <v>11</v>
      </c>
    </row>
    <row r="471" spans="1:24" x14ac:dyDescent="0.3">
      <c r="A471">
        <v>603</v>
      </c>
      <c r="B471">
        <v>25</v>
      </c>
      <c r="C471">
        <v>-28</v>
      </c>
      <c r="D471" s="1">
        <v>41387</v>
      </c>
      <c r="E471">
        <v>209</v>
      </c>
      <c r="F471">
        <v>31</v>
      </c>
      <c r="G471" t="s">
        <v>40</v>
      </c>
      <c r="H471" t="s">
        <v>32</v>
      </c>
      <c r="I471">
        <v>9</v>
      </c>
      <c r="J471" t="s">
        <v>41</v>
      </c>
      <c r="K471" t="s">
        <v>42</v>
      </c>
      <c r="L471" t="s">
        <v>67</v>
      </c>
      <c r="M471">
        <v>-18</v>
      </c>
      <c r="N471">
        <v>60</v>
      </c>
      <c r="O471" t="s">
        <v>52</v>
      </c>
      <c r="P471">
        <v>10</v>
      </c>
      <c r="Q471">
        <v>30</v>
      </c>
      <c r="R471">
        <v>10</v>
      </c>
      <c r="S471">
        <v>40</v>
      </c>
      <c r="T471">
        <v>43</v>
      </c>
      <c r="U471" t="s">
        <v>36</v>
      </c>
      <c r="V471" s="2">
        <v>-0.3</v>
      </c>
      <c r="W471" s="2">
        <v>0.58333333333333337</v>
      </c>
      <c r="X471">
        <v>34</v>
      </c>
    </row>
    <row r="472" spans="1:24" x14ac:dyDescent="0.3">
      <c r="A472">
        <v>580</v>
      </c>
      <c r="B472">
        <v>21</v>
      </c>
      <c r="C472">
        <v>-8</v>
      </c>
      <c r="D472" s="1">
        <v>41388</v>
      </c>
      <c r="E472">
        <v>480</v>
      </c>
      <c r="F472">
        <v>32</v>
      </c>
      <c r="G472" t="s">
        <v>40</v>
      </c>
      <c r="H472" t="s">
        <v>30</v>
      </c>
      <c r="I472">
        <v>5</v>
      </c>
      <c r="J472" t="s">
        <v>41</v>
      </c>
      <c r="K472" t="s">
        <v>42</v>
      </c>
      <c r="L472" t="s">
        <v>54</v>
      </c>
      <c r="M472">
        <v>22</v>
      </c>
      <c r="N472">
        <v>56</v>
      </c>
      <c r="O472" t="s">
        <v>48</v>
      </c>
      <c r="P472">
        <v>0</v>
      </c>
      <c r="Q472">
        <v>30</v>
      </c>
      <c r="R472">
        <v>30</v>
      </c>
      <c r="S472">
        <v>30</v>
      </c>
      <c r="T472">
        <v>17</v>
      </c>
      <c r="U472" t="s">
        <v>36</v>
      </c>
      <c r="V472" s="2">
        <v>0.39285714285714285</v>
      </c>
      <c r="W472" s="2">
        <v>0.625</v>
      </c>
      <c r="X472">
        <v>12</v>
      </c>
    </row>
    <row r="473" spans="1:24" x14ac:dyDescent="0.3">
      <c r="A473">
        <v>702</v>
      </c>
      <c r="B473">
        <v>0</v>
      </c>
      <c r="C473">
        <v>17</v>
      </c>
      <c r="D473" s="1">
        <v>41389</v>
      </c>
      <c r="E473">
        <v>430</v>
      </c>
      <c r="F473">
        <v>43</v>
      </c>
      <c r="G473" t="s">
        <v>40</v>
      </c>
      <c r="H473" t="s">
        <v>37</v>
      </c>
      <c r="I473">
        <v>0</v>
      </c>
      <c r="J473" t="s">
        <v>41</v>
      </c>
      <c r="K473" t="s">
        <v>42</v>
      </c>
      <c r="L473" t="s">
        <v>55</v>
      </c>
      <c r="M473">
        <v>47</v>
      </c>
      <c r="N473">
        <v>46</v>
      </c>
      <c r="O473" t="s">
        <v>49</v>
      </c>
      <c r="P473">
        <v>0</v>
      </c>
      <c r="Q473">
        <v>30</v>
      </c>
      <c r="R473">
        <v>30</v>
      </c>
      <c r="S473">
        <v>30</v>
      </c>
      <c r="T473">
        <v>11</v>
      </c>
      <c r="U473" t="s">
        <v>36</v>
      </c>
      <c r="V473" s="2">
        <v>1.0217391304347827</v>
      </c>
      <c r="W473" s="2">
        <v>1</v>
      </c>
      <c r="X473">
        <v>11</v>
      </c>
    </row>
    <row r="474" spans="1:24" x14ac:dyDescent="0.3">
      <c r="A474">
        <v>603</v>
      </c>
      <c r="B474">
        <v>34</v>
      </c>
      <c r="C474">
        <v>-24</v>
      </c>
      <c r="D474" s="1">
        <v>41390</v>
      </c>
      <c r="E474">
        <v>240</v>
      </c>
      <c r="F474">
        <v>43</v>
      </c>
      <c r="G474" t="s">
        <v>40</v>
      </c>
      <c r="H474" t="s">
        <v>32</v>
      </c>
      <c r="I474">
        <v>12</v>
      </c>
      <c r="J474" t="s">
        <v>24</v>
      </c>
      <c r="K474" t="s">
        <v>25</v>
      </c>
      <c r="L474" t="s">
        <v>26</v>
      </c>
      <c r="M474">
        <v>-4</v>
      </c>
      <c r="N474">
        <v>82</v>
      </c>
      <c r="O474" t="s">
        <v>52</v>
      </c>
      <c r="P474">
        <v>10</v>
      </c>
      <c r="Q474">
        <v>30</v>
      </c>
      <c r="R474">
        <v>20</v>
      </c>
      <c r="S474">
        <v>40</v>
      </c>
      <c r="T474">
        <v>46</v>
      </c>
      <c r="U474" t="s">
        <v>28</v>
      </c>
      <c r="V474" s="2">
        <v>-4.878048780487805E-2</v>
      </c>
      <c r="W474" s="2">
        <v>0.58536585365853655</v>
      </c>
      <c r="X474">
        <v>34</v>
      </c>
    </row>
    <row r="475" spans="1:24" x14ac:dyDescent="0.3">
      <c r="A475">
        <v>505</v>
      </c>
      <c r="B475">
        <v>21</v>
      </c>
      <c r="C475">
        <v>-9</v>
      </c>
      <c r="D475" s="1">
        <v>41391</v>
      </c>
      <c r="E475">
        <v>846</v>
      </c>
      <c r="F475">
        <v>31</v>
      </c>
      <c r="G475" t="s">
        <v>40</v>
      </c>
      <c r="H475" t="s">
        <v>30</v>
      </c>
      <c r="I475">
        <v>5</v>
      </c>
      <c r="J475" t="s">
        <v>24</v>
      </c>
      <c r="K475" t="s">
        <v>25</v>
      </c>
      <c r="L475" t="s">
        <v>58</v>
      </c>
      <c r="M475">
        <v>21</v>
      </c>
      <c r="N475">
        <v>55</v>
      </c>
      <c r="O475" t="s">
        <v>65</v>
      </c>
      <c r="P475">
        <v>10</v>
      </c>
      <c r="Q475">
        <v>30</v>
      </c>
      <c r="R475">
        <v>30</v>
      </c>
      <c r="S475">
        <v>40</v>
      </c>
      <c r="T475">
        <v>17</v>
      </c>
      <c r="U475" t="s">
        <v>28</v>
      </c>
      <c r="V475" s="2">
        <v>0.38181818181818183</v>
      </c>
      <c r="W475" s="2">
        <v>0.61818181818181817</v>
      </c>
      <c r="X475">
        <v>12</v>
      </c>
    </row>
    <row r="476" spans="1:24" x14ac:dyDescent="0.3">
      <c r="A476">
        <v>971</v>
      </c>
      <c r="B476">
        <v>25</v>
      </c>
      <c r="C476">
        <v>-5</v>
      </c>
      <c r="D476" s="1">
        <v>41392</v>
      </c>
      <c r="E476">
        <v>820</v>
      </c>
      <c r="F476">
        <v>36</v>
      </c>
      <c r="G476" t="s">
        <v>40</v>
      </c>
      <c r="H476" t="s">
        <v>37</v>
      </c>
      <c r="I476">
        <v>7</v>
      </c>
      <c r="J476" t="s">
        <v>24</v>
      </c>
      <c r="K476" t="s">
        <v>25</v>
      </c>
      <c r="L476" t="s">
        <v>58</v>
      </c>
      <c r="M476">
        <v>25</v>
      </c>
      <c r="N476">
        <v>65</v>
      </c>
      <c r="O476" t="s">
        <v>57</v>
      </c>
      <c r="P476">
        <v>10</v>
      </c>
      <c r="Q476">
        <v>30</v>
      </c>
      <c r="R476">
        <v>30</v>
      </c>
      <c r="S476">
        <v>40</v>
      </c>
      <c r="T476">
        <v>19</v>
      </c>
      <c r="U476" t="s">
        <v>28</v>
      </c>
      <c r="V476" s="2">
        <v>0.38461538461538464</v>
      </c>
      <c r="W476" s="2">
        <v>0.61538461538461542</v>
      </c>
      <c r="X476">
        <v>12</v>
      </c>
    </row>
    <row r="477" spans="1:24" x14ac:dyDescent="0.3">
      <c r="A477">
        <v>314</v>
      </c>
      <c r="B477">
        <v>34</v>
      </c>
      <c r="C477">
        <v>-14</v>
      </c>
      <c r="D477" s="1">
        <v>41393</v>
      </c>
      <c r="E477">
        <v>240</v>
      </c>
      <c r="F477">
        <v>43</v>
      </c>
      <c r="G477" t="s">
        <v>40</v>
      </c>
      <c r="H477" t="s">
        <v>23</v>
      </c>
      <c r="I477">
        <v>12</v>
      </c>
      <c r="J477" t="s">
        <v>24</v>
      </c>
      <c r="K477" t="s">
        <v>33</v>
      </c>
      <c r="L477" t="s">
        <v>38</v>
      </c>
      <c r="M477">
        <v>-4</v>
      </c>
      <c r="N477">
        <v>82</v>
      </c>
      <c r="O477" t="s">
        <v>59</v>
      </c>
      <c r="P477">
        <v>10</v>
      </c>
      <c r="Q477">
        <v>30</v>
      </c>
      <c r="R477">
        <v>10</v>
      </c>
      <c r="S477">
        <v>40</v>
      </c>
      <c r="T477">
        <v>46</v>
      </c>
      <c r="U477" t="s">
        <v>36</v>
      </c>
      <c r="V477" s="2">
        <v>-4.878048780487805E-2</v>
      </c>
      <c r="W477" s="2">
        <v>0.58536585365853655</v>
      </c>
      <c r="X477">
        <v>34</v>
      </c>
    </row>
    <row r="478" spans="1:24" x14ac:dyDescent="0.3">
      <c r="A478">
        <v>603</v>
      </c>
      <c r="B478">
        <v>21</v>
      </c>
      <c r="C478">
        <v>-9</v>
      </c>
      <c r="D478" s="1">
        <v>41394</v>
      </c>
      <c r="E478">
        <v>846</v>
      </c>
      <c r="F478">
        <v>31</v>
      </c>
      <c r="G478" t="s">
        <v>40</v>
      </c>
      <c r="H478" t="s">
        <v>32</v>
      </c>
      <c r="I478">
        <v>5</v>
      </c>
      <c r="J478" t="s">
        <v>24</v>
      </c>
      <c r="K478" t="s">
        <v>33</v>
      </c>
      <c r="L478" t="s">
        <v>34</v>
      </c>
      <c r="M478">
        <v>21</v>
      </c>
      <c r="N478">
        <v>55</v>
      </c>
      <c r="O478" t="s">
        <v>52</v>
      </c>
      <c r="P478">
        <v>20</v>
      </c>
      <c r="Q478">
        <v>30</v>
      </c>
      <c r="R478">
        <v>30</v>
      </c>
      <c r="S478">
        <v>50</v>
      </c>
      <c r="T478">
        <v>17</v>
      </c>
      <c r="U478" t="s">
        <v>36</v>
      </c>
      <c r="V478" s="2">
        <v>0.38181818181818183</v>
      </c>
      <c r="W478" s="2">
        <v>0.61818181818181817</v>
      </c>
      <c r="X478">
        <v>12</v>
      </c>
    </row>
    <row r="479" spans="1:24" x14ac:dyDescent="0.3">
      <c r="A479">
        <v>435</v>
      </c>
      <c r="B479">
        <v>39</v>
      </c>
      <c r="C479">
        <v>1</v>
      </c>
      <c r="D479" s="1">
        <v>41395</v>
      </c>
      <c r="E479">
        <v>244</v>
      </c>
      <c r="F479">
        <v>53</v>
      </c>
      <c r="G479" t="s">
        <v>40</v>
      </c>
      <c r="H479" t="s">
        <v>37</v>
      </c>
      <c r="I479">
        <v>12</v>
      </c>
      <c r="J479" t="s">
        <v>24</v>
      </c>
      <c r="K479" t="s">
        <v>33</v>
      </c>
      <c r="L479" t="s">
        <v>62</v>
      </c>
      <c r="M479">
        <v>21</v>
      </c>
      <c r="N479">
        <v>98</v>
      </c>
      <c r="O479" t="s">
        <v>50</v>
      </c>
      <c r="P479">
        <v>10</v>
      </c>
      <c r="Q479">
        <v>30</v>
      </c>
      <c r="R479">
        <v>20</v>
      </c>
      <c r="S479">
        <v>40</v>
      </c>
      <c r="T479">
        <v>39</v>
      </c>
      <c r="U479" t="s">
        <v>36</v>
      </c>
      <c r="V479" s="2">
        <v>0.21428571428571427</v>
      </c>
      <c r="W479" s="2">
        <v>0.60204081632653061</v>
      </c>
      <c r="X479">
        <v>27</v>
      </c>
    </row>
    <row r="480" spans="1:24" x14ac:dyDescent="0.3">
      <c r="A480">
        <v>509</v>
      </c>
      <c r="B480">
        <v>46</v>
      </c>
      <c r="C480">
        <v>16</v>
      </c>
      <c r="D480" s="1">
        <v>41396</v>
      </c>
      <c r="E480">
        <v>449</v>
      </c>
      <c r="F480">
        <v>67</v>
      </c>
      <c r="G480" t="s">
        <v>40</v>
      </c>
      <c r="H480" t="s">
        <v>37</v>
      </c>
      <c r="I480">
        <v>14</v>
      </c>
      <c r="J480" t="s">
        <v>24</v>
      </c>
      <c r="K480" t="s">
        <v>33</v>
      </c>
      <c r="L480" t="s">
        <v>62</v>
      </c>
      <c r="M480">
        <v>46</v>
      </c>
      <c r="N480">
        <v>120</v>
      </c>
      <c r="O480" t="s">
        <v>61</v>
      </c>
      <c r="P480">
        <v>20</v>
      </c>
      <c r="Q480">
        <v>30</v>
      </c>
      <c r="R480">
        <v>30</v>
      </c>
      <c r="S480">
        <v>50</v>
      </c>
      <c r="T480">
        <v>36</v>
      </c>
      <c r="U480" t="s">
        <v>36</v>
      </c>
      <c r="V480" s="2">
        <v>0.38333333333333336</v>
      </c>
      <c r="W480" s="2">
        <v>0.6166666666666667</v>
      </c>
      <c r="X480">
        <v>22</v>
      </c>
    </row>
    <row r="481" spans="1:24" x14ac:dyDescent="0.3">
      <c r="A481">
        <v>775</v>
      </c>
      <c r="B481">
        <v>22</v>
      </c>
      <c r="C481">
        <v>5</v>
      </c>
      <c r="D481" s="1">
        <v>41397</v>
      </c>
      <c r="E481">
        <v>802</v>
      </c>
      <c r="F481">
        <v>34</v>
      </c>
      <c r="G481" t="s">
        <v>40</v>
      </c>
      <c r="H481" t="s">
        <v>37</v>
      </c>
      <c r="I481">
        <v>6</v>
      </c>
      <c r="J481" t="s">
        <v>41</v>
      </c>
      <c r="K481" t="s">
        <v>42</v>
      </c>
      <c r="L481" t="s">
        <v>43</v>
      </c>
      <c r="M481">
        <v>25</v>
      </c>
      <c r="N481">
        <v>60</v>
      </c>
      <c r="O481" t="s">
        <v>49</v>
      </c>
      <c r="P481">
        <v>20</v>
      </c>
      <c r="Q481">
        <v>30</v>
      </c>
      <c r="R481">
        <v>20</v>
      </c>
      <c r="S481">
        <v>50</v>
      </c>
      <c r="T481">
        <v>17</v>
      </c>
      <c r="U481" t="s">
        <v>28</v>
      </c>
      <c r="V481" s="2">
        <v>0.41666666666666669</v>
      </c>
      <c r="W481" s="2">
        <v>0.6333333333333333</v>
      </c>
      <c r="X481">
        <v>11</v>
      </c>
    </row>
    <row r="482" spans="1:24" x14ac:dyDescent="0.3">
      <c r="A482">
        <v>505</v>
      </c>
      <c r="B482">
        <v>34</v>
      </c>
      <c r="C482">
        <v>4</v>
      </c>
      <c r="D482" s="1">
        <v>41398</v>
      </c>
      <c r="E482">
        <v>-522</v>
      </c>
      <c r="F482">
        <v>42</v>
      </c>
      <c r="G482" t="s">
        <v>40</v>
      </c>
      <c r="H482" t="s">
        <v>30</v>
      </c>
      <c r="I482">
        <v>12</v>
      </c>
      <c r="J482" t="s">
        <v>41</v>
      </c>
      <c r="K482" t="s">
        <v>42</v>
      </c>
      <c r="L482" t="s">
        <v>55</v>
      </c>
      <c r="M482">
        <v>-6</v>
      </c>
      <c r="N482">
        <v>81</v>
      </c>
      <c r="O482" t="s">
        <v>65</v>
      </c>
      <c r="P482">
        <v>20</v>
      </c>
      <c r="Q482">
        <v>30</v>
      </c>
      <c r="R482">
        <v>-10</v>
      </c>
      <c r="S482">
        <v>50</v>
      </c>
      <c r="T482">
        <v>46</v>
      </c>
      <c r="U482" t="s">
        <v>36</v>
      </c>
      <c r="V482" s="2">
        <v>-7.407407407407407E-2</v>
      </c>
      <c r="W482" s="2">
        <v>0.58024691358024694</v>
      </c>
      <c r="X482">
        <v>34</v>
      </c>
    </row>
    <row r="483" spans="1:24" x14ac:dyDescent="0.3">
      <c r="A483">
        <v>425</v>
      </c>
      <c r="B483">
        <v>22</v>
      </c>
      <c r="C483">
        <v>-4</v>
      </c>
      <c r="D483" s="1">
        <v>41399</v>
      </c>
      <c r="E483">
        <v>570</v>
      </c>
      <c r="F483">
        <v>30</v>
      </c>
      <c r="G483" t="s">
        <v>40</v>
      </c>
      <c r="H483" t="s">
        <v>37</v>
      </c>
      <c r="I483">
        <v>7</v>
      </c>
      <c r="J483" t="s">
        <v>41</v>
      </c>
      <c r="K483" t="s">
        <v>42</v>
      </c>
      <c r="L483" t="s">
        <v>55</v>
      </c>
      <c r="M483">
        <v>16</v>
      </c>
      <c r="N483">
        <v>55</v>
      </c>
      <c r="O483" t="s">
        <v>61</v>
      </c>
      <c r="P483">
        <v>20</v>
      </c>
      <c r="Q483">
        <v>30</v>
      </c>
      <c r="R483">
        <v>20</v>
      </c>
      <c r="S483">
        <v>50</v>
      </c>
      <c r="T483">
        <v>19</v>
      </c>
      <c r="U483" t="s">
        <v>36</v>
      </c>
      <c r="V483" s="2">
        <v>0.29090909090909089</v>
      </c>
      <c r="W483" s="2">
        <v>0.6</v>
      </c>
      <c r="X483">
        <v>12</v>
      </c>
    </row>
    <row r="484" spans="1:24" x14ac:dyDescent="0.3">
      <c r="A484">
        <v>603</v>
      </c>
      <c r="B484">
        <v>33</v>
      </c>
      <c r="C484">
        <v>-6</v>
      </c>
      <c r="D484" s="1">
        <v>41400</v>
      </c>
      <c r="E484">
        <v>243</v>
      </c>
      <c r="F484">
        <v>41</v>
      </c>
      <c r="G484" t="s">
        <v>40</v>
      </c>
      <c r="H484" t="s">
        <v>32</v>
      </c>
      <c r="I484">
        <v>12</v>
      </c>
      <c r="J484" t="s">
        <v>24</v>
      </c>
      <c r="K484" t="s">
        <v>25</v>
      </c>
      <c r="L484" t="s">
        <v>26</v>
      </c>
      <c r="M484">
        <v>-6</v>
      </c>
      <c r="N484">
        <v>79</v>
      </c>
      <c r="O484" t="s">
        <v>52</v>
      </c>
      <c r="P484">
        <v>20</v>
      </c>
      <c r="Q484">
        <v>30</v>
      </c>
      <c r="R484">
        <v>0</v>
      </c>
      <c r="S484">
        <v>50</v>
      </c>
      <c r="T484">
        <v>45</v>
      </c>
      <c r="U484" t="s">
        <v>28</v>
      </c>
      <c r="V484" s="2">
        <v>-7.5949367088607597E-2</v>
      </c>
      <c r="W484" s="2">
        <v>0.58227848101265822</v>
      </c>
      <c r="X484">
        <v>33</v>
      </c>
    </row>
    <row r="485" spans="1:24" x14ac:dyDescent="0.3">
      <c r="A485">
        <v>505</v>
      </c>
      <c r="B485">
        <v>29</v>
      </c>
      <c r="C485">
        <v>-3</v>
      </c>
      <c r="D485" s="1">
        <v>41401</v>
      </c>
      <c r="E485">
        <v>1003</v>
      </c>
      <c r="F485">
        <v>35</v>
      </c>
      <c r="G485" t="s">
        <v>40</v>
      </c>
      <c r="H485" t="s">
        <v>30</v>
      </c>
      <c r="I485">
        <v>8</v>
      </c>
      <c r="J485" t="s">
        <v>24</v>
      </c>
      <c r="K485" t="s">
        <v>25</v>
      </c>
      <c r="L485" t="s">
        <v>26</v>
      </c>
      <c r="M485">
        <v>7</v>
      </c>
      <c r="N485">
        <v>68</v>
      </c>
      <c r="O485" t="s">
        <v>65</v>
      </c>
      <c r="P485">
        <v>20</v>
      </c>
      <c r="Q485">
        <v>30</v>
      </c>
      <c r="R485">
        <v>10</v>
      </c>
      <c r="S485">
        <v>50</v>
      </c>
      <c r="T485">
        <v>30</v>
      </c>
      <c r="U485" t="s">
        <v>28</v>
      </c>
      <c r="V485" s="2">
        <v>0.10294117647058823</v>
      </c>
      <c r="W485" s="2">
        <v>0.57352941176470584</v>
      </c>
      <c r="X485">
        <v>22</v>
      </c>
    </row>
    <row r="486" spans="1:24" x14ac:dyDescent="0.3">
      <c r="A486">
        <v>541</v>
      </c>
      <c r="B486">
        <v>25</v>
      </c>
      <c r="C486">
        <v>8</v>
      </c>
      <c r="D486" s="1">
        <v>41402</v>
      </c>
      <c r="E486">
        <v>823</v>
      </c>
      <c r="F486">
        <v>38</v>
      </c>
      <c r="G486" t="s">
        <v>40</v>
      </c>
      <c r="H486" t="s">
        <v>37</v>
      </c>
      <c r="I486">
        <v>7</v>
      </c>
      <c r="J486" t="s">
        <v>24</v>
      </c>
      <c r="K486" t="s">
        <v>25</v>
      </c>
      <c r="L486" t="s">
        <v>58</v>
      </c>
      <c r="M486">
        <v>28</v>
      </c>
      <c r="N486">
        <v>67</v>
      </c>
      <c r="O486" t="s">
        <v>57</v>
      </c>
      <c r="P486">
        <v>20</v>
      </c>
      <c r="Q486">
        <v>30</v>
      </c>
      <c r="R486">
        <v>20</v>
      </c>
      <c r="S486">
        <v>50</v>
      </c>
      <c r="T486">
        <v>19</v>
      </c>
      <c r="U486" t="s">
        <v>28</v>
      </c>
      <c r="V486" s="2">
        <v>0.41791044776119401</v>
      </c>
      <c r="W486" s="2">
        <v>0.62686567164179108</v>
      </c>
      <c r="X486">
        <v>12</v>
      </c>
    </row>
    <row r="487" spans="1:24" x14ac:dyDescent="0.3">
      <c r="A487">
        <v>603</v>
      </c>
      <c r="B487">
        <v>15</v>
      </c>
      <c r="C487">
        <v>-8</v>
      </c>
      <c r="D487" s="1">
        <v>41403</v>
      </c>
      <c r="E487">
        <v>848</v>
      </c>
      <c r="F487">
        <v>24</v>
      </c>
      <c r="G487" t="s">
        <v>40</v>
      </c>
      <c r="H487" t="s">
        <v>32</v>
      </c>
      <c r="I487">
        <v>4</v>
      </c>
      <c r="J487" t="s">
        <v>24</v>
      </c>
      <c r="K487" t="s">
        <v>33</v>
      </c>
      <c r="L487" t="s">
        <v>34</v>
      </c>
      <c r="M487">
        <v>12</v>
      </c>
      <c r="N487">
        <v>42</v>
      </c>
      <c r="O487" t="s">
        <v>52</v>
      </c>
      <c r="P487">
        <v>10</v>
      </c>
      <c r="Q487">
        <v>30</v>
      </c>
      <c r="R487">
        <v>20</v>
      </c>
      <c r="S487">
        <v>40</v>
      </c>
      <c r="T487">
        <v>16</v>
      </c>
      <c r="U487" t="s">
        <v>36</v>
      </c>
      <c r="V487" s="2">
        <v>0.2857142857142857</v>
      </c>
      <c r="W487" s="2">
        <v>0.6428571428571429</v>
      </c>
      <c r="X487">
        <v>12</v>
      </c>
    </row>
    <row r="488" spans="1:24" x14ac:dyDescent="0.3">
      <c r="A488">
        <v>503</v>
      </c>
      <c r="B488">
        <v>32</v>
      </c>
      <c r="C488">
        <v>12</v>
      </c>
      <c r="D488" s="1">
        <v>41404</v>
      </c>
      <c r="E488">
        <v>482</v>
      </c>
      <c r="F488">
        <v>48</v>
      </c>
      <c r="G488" t="s">
        <v>40</v>
      </c>
      <c r="H488" t="s">
        <v>37</v>
      </c>
      <c r="I488">
        <v>8</v>
      </c>
      <c r="J488" t="s">
        <v>24</v>
      </c>
      <c r="K488" t="s">
        <v>33</v>
      </c>
      <c r="L488" t="s">
        <v>34</v>
      </c>
      <c r="M488">
        <v>42</v>
      </c>
      <c r="N488">
        <v>85</v>
      </c>
      <c r="O488" t="s">
        <v>57</v>
      </c>
      <c r="P488">
        <v>20</v>
      </c>
      <c r="Q488">
        <v>30</v>
      </c>
      <c r="R488">
        <v>30</v>
      </c>
      <c r="S488">
        <v>50</v>
      </c>
      <c r="T488">
        <v>20</v>
      </c>
      <c r="U488" t="s">
        <v>36</v>
      </c>
      <c r="V488" s="2">
        <v>0.49411764705882355</v>
      </c>
      <c r="W488" s="2">
        <v>0.62352941176470589</v>
      </c>
      <c r="X488">
        <v>12</v>
      </c>
    </row>
    <row r="489" spans="1:24" x14ac:dyDescent="0.3">
      <c r="A489">
        <v>435</v>
      </c>
      <c r="B489">
        <v>35</v>
      </c>
      <c r="C489">
        <v>3</v>
      </c>
      <c r="D489" s="1">
        <v>41405</v>
      </c>
      <c r="E489">
        <v>248</v>
      </c>
      <c r="F489">
        <v>47</v>
      </c>
      <c r="G489" t="s">
        <v>40</v>
      </c>
      <c r="H489" t="s">
        <v>37</v>
      </c>
      <c r="I489">
        <v>11</v>
      </c>
      <c r="J489" t="s">
        <v>24</v>
      </c>
      <c r="K489" t="s">
        <v>33</v>
      </c>
      <c r="L489" t="s">
        <v>62</v>
      </c>
      <c r="M489">
        <v>13</v>
      </c>
      <c r="N489">
        <v>87</v>
      </c>
      <c r="O489" t="s">
        <v>50</v>
      </c>
      <c r="P489">
        <v>20</v>
      </c>
      <c r="Q489">
        <v>30</v>
      </c>
      <c r="R489">
        <v>10</v>
      </c>
      <c r="S489">
        <v>50</v>
      </c>
      <c r="T489">
        <v>38</v>
      </c>
      <c r="U489" t="s">
        <v>36</v>
      </c>
      <c r="V489" s="2">
        <v>0.14942528735632185</v>
      </c>
      <c r="W489" s="2">
        <v>0.5977011494252874</v>
      </c>
      <c r="X489">
        <v>27</v>
      </c>
    </row>
    <row r="490" spans="1:24" x14ac:dyDescent="0.3">
      <c r="A490">
        <v>435</v>
      </c>
      <c r="B490">
        <v>34</v>
      </c>
      <c r="C490">
        <v>-4</v>
      </c>
      <c r="D490" s="1">
        <v>41406</v>
      </c>
      <c r="E490">
        <v>211</v>
      </c>
      <c r="F490">
        <v>42</v>
      </c>
      <c r="G490" t="s">
        <v>40</v>
      </c>
      <c r="H490" t="s">
        <v>37</v>
      </c>
      <c r="I490">
        <v>12</v>
      </c>
      <c r="J490" t="s">
        <v>24</v>
      </c>
      <c r="K490" t="s">
        <v>33</v>
      </c>
      <c r="L490" t="s">
        <v>38</v>
      </c>
      <c r="M490">
        <v>-4</v>
      </c>
      <c r="N490">
        <v>81</v>
      </c>
      <c r="O490" t="s">
        <v>50</v>
      </c>
      <c r="P490">
        <v>20</v>
      </c>
      <c r="Q490">
        <v>30</v>
      </c>
      <c r="R490">
        <v>0</v>
      </c>
      <c r="S490">
        <v>50</v>
      </c>
      <c r="T490">
        <v>45</v>
      </c>
      <c r="U490" t="s">
        <v>36</v>
      </c>
      <c r="V490" s="2">
        <v>-4.9382716049382713E-2</v>
      </c>
      <c r="W490" s="2">
        <v>0.58024691358024694</v>
      </c>
      <c r="X490">
        <v>33</v>
      </c>
    </row>
    <row r="491" spans="1:24" x14ac:dyDescent="0.3">
      <c r="A491">
        <v>904</v>
      </c>
      <c r="B491">
        <v>24</v>
      </c>
      <c r="C491">
        <v>-2</v>
      </c>
      <c r="D491" s="1">
        <v>41407</v>
      </c>
      <c r="E491">
        <v>567</v>
      </c>
      <c r="F491">
        <v>32</v>
      </c>
      <c r="G491" t="s">
        <v>22</v>
      </c>
      <c r="H491" t="s">
        <v>32</v>
      </c>
      <c r="I491">
        <v>7</v>
      </c>
      <c r="J491" t="s">
        <v>24</v>
      </c>
      <c r="K491" t="s">
        <v>25</v>
      </c>
      <c r="L491" t="s">
        <v>58</v>
      </c>
      <c r="M491">
        <v>18</v>
      </c>
      <c r="N491">
        <v>60</v>
      </c>
      <c r="O491" t="s">
        <v>35</v>
      </c>
      <c r="P491">
        <v>10</v>
      </c>
      <c r="Q491">
        <v>30</v>
      </c>
      <c r="R491">
        <v>20</v>
      </c>
      <c r="S491">
        <v>40</v>
      </c>
      <c r="T491">
        <v>20</v>
      </c>
      <c r="U491" t="s">
        <v>28</v>
      </c>
      <c r="V491" s="2">
        <v>0.3</v>
      </c>
      <c r="W491" s="2">
        <v>0.6</v>
      </c>
      <c r="X491">
        <v>13</v>
      </c>
    </row>
    <row r="492" spans="1:24" x14ac:dyDescent="0.3">
      <c r="A492">
        <v>505</v>
      </c>
      <c r="B492">
        <v>38</v>
      </c>
      <c r="C492">
        <v>18</v>
      </c>
      <c r="D492" s="1">
        <v>41408</v>
      </c>
      <c r="E492">
        <v>256</v>
      </c>
      <c r="F492">
        <v>51</v>
      </c>
      <c r="G492" t="s">
        <v>40</v>
      </c>
      <c r="H492" t="s">
        <v>30</v>
      </c>
      <c r="I492">
        <v>12</v>
      </c>
      <c r="J492" t="s">
        <v>41</v>
      </c>
      <c r="K492" t="s">
        <v>42</v>
      </c>
      <c r="L492" t="s">
        <v>43</v>
      </c>
      <c r="M492">
        <v>18</v>
      </c>
      <c r="N492">
        <v>95</v>
      </c>
      <c r="O492" t="s">
        <v>65</v>
      </c>
      <c r="P492">
        <v>30</v>
      </c>
      <c r="Q492">
        <v>30</v>
      </c>
      <c r="R492">
        <v>0</v>
      </c>
      <c r="S492">
        <v>60</v>
      </c>
      <c r="T492">
        <v>39</v>
      </c>
      <c r="U492" t="s">
        <v>28</v>
      </c>
      <c r="V492" s="2">
        <v>0.18947368421052632</v>
      </c>
      <c r="W492" s="2">
        <v>0.6</v>
      </c>
      <c r="X492">
        <v>27</v>
      </c>
    </row>
    <row r="493" spans="1:24" x14ac:dyDescent="0.3">
      <c r="A493">
        <v>775</v>
      </c>
      <c r="B493">
        <v>23</v>
      </c>
      <c r="C493">
        <v>5</v>
      </c>
      <c r="D493" s="1">
        <v>41409</v>
      </c>
      <c r="E493">
        <v>807</v>
      </c>
      <c r="F493">
        <v>35</v>
      </c>
      <c r="G493" t="s">
        <v>40</v>
      </c>
      <c r="H493" t="s">
        <v>37</v>
      </c>
      <c r="I493">
        <v>6</v>
      </c>
      <c r="J493" t="s">
        <v>41</v>
      </c>
      <c r="K493" t="s">
        <v>42</v>
      </c>
      <c r="L493" t="s">
        <v>43</v>
      </c>
      <c r="M493">
        <v>25</v>
      </c>
      <c r="N493">
        <v>62</v>
      </c>
      <c r="O493" t="s">
        <v>49</v>
      </c>
      <c r="P493">
        <v>20</v>
      </c>
      <c r="Q493">
        <v>30</v>
      </c>
      <c r="R493">
        <v>20</v>
      </c>
      <c r="S493">
        <v>50</v>
      </c>
      <c r="T493">
        <v>18</v>
      </c>
      <c r="U493" t="s">
        <v>28</v>
      </c>
      <c r="V493" s="2">
        <v>0.40322580645161288</v>
      </c>
      <c r="W493" s="2">
        <v>0.62903225806451613</v>
      </c>
      <c r="X493">
        <v>12</v>
      </c>
    </row>
    <row r="494" spans="1:24" x14ac:dyDescent="0.3">
      <c r="A494">
        <v>563</v>
      </c>
      <c r="B494">
        <v>16</v>
      </c>
      <c r="C494">
        <v>-5</v>
      </c>
      <c r="D494" s="1">
        <v>41410</v>
      </c>
      <c r="E494">
        <v>851</v>
      </c>
      <c r="F494">
        <v>25</v>
      </c>
      <c r="G494" t="s">
        <v>40</v>
      </c>
      <c r="H494" t="s">
        <v>23</v>
      </c>
      <c r="I494">
        <v>4</v>
      </c>
      <c r="J494" t="s">
        <v>41</v>
      </c>
      <c r="K494" t="s">
        <v>46</v>
      </c>
      <c r="L494" t="s">
        <v>51</v>
      </c>
      <c r="M494">
        <v>15</v>
      </c>
      <c r="N494">
        <v>44</v>
      </c>
      <c r="O494" t="s">
        <v>44</v>
      </c>
      <c r="P494">
        <v>10</v>
      </c>
      <c r="Q494">
        <v>30</v>
      </c>
      <c r="R494">
        <v>20</v>
      </c>
      <c r="S494">
        <v>40</v>
      </c>
      <c r="T494">
        <v>15</v>
      </c>
      <c r="U494" t="s">
        <v>36</v>
      </c>
      <c r="V494" s="2">
        <v>0.34090909090909088</v>
      </c>
      <c r="W494" s="2">
        <v>0.63636363636363635</v>
      </c>
      <c r="X494">
        <v>11</v>
      </c>
    </row>
    <row r="495" spans="1:24" x14ac:dyDescent="0.3">
      <c r="A495">
        <v>641</v>
      </c>
      <c r="B495">
        <v>31</v>
      </c>
      <c r="C495">
        <v>2</v>
      </c>
      <c r="D495" s="1">
        <v>41411</v>
      </c>
      <c r="E495">
        <v>1009</v>
      </c>
      <c r="F495">
        <v>38</v>
      </c>
      <c r="G495" t="s">
        <v>40</v>
      </c>
      <c r="H495" t="s">
        <v>23</v>
      </c>
      <c r="I495">
        <v>9</v>
      </c>
      <c r="J495" t="s">
        <v>41</v>
      </c>
      <c r="K495" t="s">
        <v>46</v>
      </c>
      <c r="L495" t="s">
        <v>53</v>
      </c>
      <c r="M495">
        <v>12</v>
      </c>
      <c r="N495">
        <v>74</v>
      </c>
      <c r="O495" t="s">
        <v>44</v>
      </c>
      <c r="P495">
        <v>30</v>
      </c>
      <c r="Q495">
        <v>30</v>
      </c>
      <c r="R495">
        <v>10</v>
      </c>
      <c r="S495">
        <v>60</v>
      </c>
      <c r="T495">
        <v>30</v>
      </c>
      <c r="U495" t="s">
        <v>36</v>
      </c>
      <c r="V495" s="2">
        <v>0.16216216216216217</v>
      </c>
      <c r="W495" s="2">
        <v>0.58108108108108103</v>
      </c>
      <c r="X495">
        <v>21</v>
      </c>
    </row>
    <row r="496" spans="1:24" x14ac:dyDescent="0.3">
      <c r="A496">
        <v>603</v>
      </c>
      <c r="B496">
        <v>20</v>
      </c>
      <c r="C496">
        <v>-24</v>
      </c>
      <c r="D496" s="1">
        <v>41412</v>
      </c>
      <c r="E496">
        <v>218</v>
      </c>
      <c r="F496">
        <v>25</v>
      </c>
      <c r="G496" t="s">
        <v>40</v>
      </c>
      <c r="H496" t="s">
        <v>32</v>
      </c>
      <c r="I496">
        <v>7</v>
      </c>
      <c r="J496" t="s">
        <v>41</v>
      </c>
      <c r="K496" t="s">
        <v>42</v>
      </c>
      <c r="L496" t="s">
        <v>67</v>
      </c>
      <c r="M496">
        <v>-24</v>
      </c>
      <c r="N496">
        <v>48</v>
      </c>
      <c r="O496" t="s">
        <v>52</v>
      </c>
      <c r="P496">
        <v>10</v>
      </c>
      <c r="Q496">
        <v>30</v>
      </c>
      <c r="R496">
        <v>0</v>
      </c>
      <c r="S496">
        <v>40</v>
      </c>
      <c r="T496">
        <v>41</v>
      </c>
      <c r="U496" t="s">
        <v>36</v>
      </c>
      <c r="V496" s="2">
        <v>-0.5</v>
      </c>
      <c r="W496" s="2">
        <v>0.58333333333333337</v>
      </c>
      <c r="X496">
        <v>34</v>
      </c>
    </row>
    <row r="497" spans="1:24" x14ac:dyDescent="0.3">
      <c r="A497">
        <v>580</v>
      </c>
      <c r="B497">
        <v>29</v>
      </c>
      <c r="C497">
        <v>16</v>
      </c>
      <c r="D497" s="1">
        <v>41413</v>
      </c>
      <c r="E497">
        <v>490</v>
      </c>
      <c r="F497">
        <v>44</v>
      </c>
      <c r="G497" t="s">
        <v>40</v>
      </c>
      <c r="H497" t="s">
        <v>30</v>
      </c>
      <c r="I497">
        <v>8</v>
      </c>
      <c r="J497" t="s">
        <v>41</v>
      </c>
      <c r="K497" t="s">
        <v>42</v>
      </c>
      <c r="L497" t="s">
        <v>54</v>
      </c>
      <c r="M497">
        <v>36</v>
      </c>
      <c r="N497">
        <v>78</v>
      </c>
      <c r="O497" t="s">
        <v>48</v>
      </c>
      <c r="P497">
        <v>20</v>
      </c>
      <c r="Q497">
        <v>30</v>
      </c>
      <c r="R497">
        <v>20</v>
      </c>
      <c r="S497">
        <v>50</v>
      </c>
      <c r="T497">
        <v>20</v>
      </c>
      <c r="U497" t="s">
        <v>36</v>
      </c>
      <c r="V497" s="2">
        <v>0.46153846153846156</v>
      </c>
      <c r="W497" s="2">
        <v>0.62820512820512819</v>
      </c>
      <c r="X497">
        <v>12</v>
      </c>
    </row>
    <row r="498" spans="1:24" x14ac:dyDescent="0.3">
      <c r="A498">
        <v>206</v>
      </c>
      <c r="B498">
        <v>24</v>
      </c>
      <c r="C498">
        <v>-1</v>
      </c>
      <c r="D498" s="1">
        <v>41414</v>
      </c>
      <c r="E498">
        <v>567</v>
      </c>
      <c r="F498">
        <v>32</v>
      </c>
      <c r="G498" t="s">
        <v>40</v>
      </c>
      <c r="H498" t="s">
        <v>37</v>
      </c>
      <c r="I498">
        <v>7</v>
      </c>
      <c r="J498" t="s">
        <v>41</v>
      </c>
      <c r="K498" t="s">
        <v>42</v>
      </c>
      <c r="L498" t="s">
        <v>55</v>
      </c>
      <c r="M498">
        <v>19</v>
      </c>
      <c r="N498">
        <v>60</v>
      </c>
      <c r="O498" t="s">
        <v>61</v>
      </c>
      <c r="P498">
        <v>20</v>
      </c>
      <c r="Q498">
        <v>30</v>
      </c>
      <c r="R498">
        <v>20</v>
      </c>
      <c r="S498">
        <v>50</v>
      </c>
      <c r="T498">
        <v>19</v>
      </c>
      <c r="U498" t="s">
        <v>36</v>
      </c>
      <c r="V498" s="2">
        <v>0.31666666666666665</v>
      </c>
      <c r="W498" s="2">
        <v>0.6</v>
      </c>
      <c r="X498">
        <v>12</v>
      </c>
    </row>
    <row r="499" spans="1:24" x14ac:dyDescent="0.3">
      <c r="A499">
        <v>503</v>
      </c>
      <c r="B499">
        <v>24</v>
      </c>
      <c r="C499">
        <v>8</v>
      </c>
      <c r="D499" s="1">
        <v>41415</v>
      </c>
      <c r="E499">
        <v>829</v>
      </c>
      <c r="F499">
        <v>36</v>
      </c>
      <c r="G499" t="s">
        <v>40</v>
      </c>
      <c r="H499" t="s">
        <v>37</v>
      </c>
      <c r="I499">
        <v>6</v>
      </c>
      <c r="J499" t="s">
        <v>24</v>
      </c>
      <c r="K499" t="s">
        <v>25</v>
      </c>
      <c r="L499" t="s">
        <v>58</v>
      </c>
      <c r="M499">
        <v>28</v>
      </c>
      <c r="N499">
        <v>64</v>
      </c>
      <c r="O499" t="s">
        <v>57</v>
      </c>
      <c r="P499">
        <v>20</v>
      </c>
      <c r="Q499">
        <v>30</v>
      </c>
      <c r="R499">
        <v>20</v>
      </c>
      <c r="S499">
        <v>50</v>
      </c>
      <c r="T499">
        <v>17</v>
      </c>
      <c r="U499" t="s">
        <v>28</v>
      </c>
      <c r="V499" s="2">
        <v>0.4375</v>
      </c>
      <c r="W499" s="2">
        <v>0.625</v>
      </c>
      <c r="X499">
        <v>11</v>
      </c>
    </row>
    <row r="500" spans="1:24" x14ac:dyDescent="0.3">
      <c r="A500">
        <v>603</v>
      </c>
      <c r="B500">
        <v>16</v>
      </c>
      <c r="C500">
        <v>-5</v>
      </c>
      <c r="D500" s="1">
        <v>41416</v>
      </c>
      <c r="E500">
        <v>851</v>
      </c>
      <c r="F500">
        <v>25</v>
      </c>
      <c r="G500" t="s">
        <v>40</v>
      </c>
      <c r="H500" t="s">
        <v>32</v>
      </c>
      <c r="I500">
        <v>4</v>
      </c>
      <c r="J500" t="s">
        <v>24</v>
      </c>
      <c r="K500" t="s">
        <v>33</v>
      </c>
      <c r="L500" t="s">
        <v>34</v>
      </c>
      <c r="M500">
        <v>15</v>
      </c>
      <c r="N500">
        <v>44</v>
      </c>
      <c r="O500" t="s">
        <v>52</v>
      </c>
      <c r="P500">
        <v>10</v>
      </c>
      <c r="Q500">
        <v>30</v>
      </c>
      <c r="R500">
        <v>20</v>
      </c>
      <c r="S500">
        <v>40</v>
      </c>
      <c r="T500">
        <v>15</v>
      </c>
      <c r="U500" t="s">
        <v>36</v>
      </c>
      <c r="V500" s="2">
        <v>0.34090909090909088</v>
      </c>
      <c r="W500" s="2">
        <v>0.63636363636363635</v>
      </c>
      <c r="X500">
        <v>11</v>
      </c>
    </row>
    <row r="501" spans="1:24" x14ac:dyDescent="0.3">
      <c r="A501">
        <v>541</v>
      </c>
      <c r="B501">
        <v>29</v>
      </c>
      <c r="C501">
        <v>7</v>
      </c>
      <c r="D501" s="1">
        <v>41417</v>
      </c>
      <c r="E501">
        <v>490</v>
      </c>
      <c r="F501">
        <v>44</v>
      </c>
      <c r="G501" t="s">
        <v>40</v>
      </c>
      <c r="H501" t="s">
        <v>37</v>
      </c>
      <c r="I501">
        <v>8</v>
      </c>
      <c r="J501" t="s">
        <v>24</v>
      </c>
      <c r="K501" t="s">
        <v>33</v>
      </c>
      <c r="L501" t="s">
        <v>34</v>
      </c>
      <c r="M501">
        <v>37</v>
      </c>
      <c r="N501">
        <v>78</v>
      </c>
      <c r="O501" t="s">
        <v>57</v>
      </c>
      <c r="P501">
        <v>20</v>
      </c>
      <c r="Q501">
        <v>30</v>
      </c>
      <c r="R501">
        <v>30</v>
      </c>
      <c r="S501">
        <v>50</v>
      </c>
      <c r="T501">
        <v>19</v>
      </c>
      <c r="U501" t="s">
        <v>36</v>
      </c>
      <c r="V501" s="2">
        <v>0.47435897435897434</v>
      </c>
      <c r="W501" s="2">
        <v>0.62820512820512819</v>
      </c>
      <c r="X501">
        <v>11</v>
      </c>
    </row>
    <row r="502" spans="1:24" x14ac:dyDescent="0.3">
      <c r="A502">
        <v>915</v>
      </c>
      <c r="B502">
        <v>76</v>
      </c>
      <c r="C502">
        <v>-2</v>
      </c>
      <c r="D502" s="1">
        <v>41418</v>
      </c>
      <c r="E502">
        <v>580</v>
      </c>
      <c r="F502">
        <v>111</v>
      </c>
      <c r="G502" t="s">
        <v>22</v>
      </c>
      <c r="H502" t="s">
        <v>30</v>
      </c>
      <c r="I502">
        <v>21</v>
      </c>
      <c r="J502" t="s">
        <v>41</v>
      </c>
      <c r="K502" t="s">
        <v>42</v>
      </c>
      <c r="L502" t="s">
        <v>43</v>
      </c>
      <c r="M502">
        <v>78</v>
      </c>
      <c r="N502">
        <v>187</v>
      </c>
      <c r="O502" t="s">
        <v>31</v>
      </c>
      <c r="P502">
        <v>40</v>
      </c>
      <c r="Q502">
        <v>80</v>
      </c>
      <c r="R502">
        <v>80</v>
      </c>
      <c r="S502">
        <v>120</v>
      </c>
      <c r="T502">
        <v>33</v>
      </c>
      <c r="U502" t="s">
        <v>28</v>
      </c>
      <c r="V502" s="2">
        <v>0.41711229946524064</v>
      </c>
      <c r="W502" s="2">
        <v>0.5935828877005348</v>
      </c>
      <c r="X502">
        <v>12</v>
      </c>
    </row>
    <row r="503" spans="1:24" x14ac:dyDescent="0.3">
      <c r="A503">
        <v>713</v>
      </c>
      <c r="B503">
        <v>52</v>
      </c>
      <c r="C503">
        <v>-44</v>
      </c>
      <c r="D503" s="1">
        <v>41419</v>
      </c>
      <c r="E503">
        <v>405</v>
      </c>
      <c r="F503">
        <v>71</v>
      </c>
      <c r="G503" t="s">
        <v>22</v>
      </c>
      <c r="H503" t="s">
        <v>30</v>
      </c>
      <c r="I503">
        <v>17</v>
      </c>
      <c r="J503" t="s">
        <v>24</v>
      </c>
      <c r="K503" t="s">
        <v>25</v>
      </c>
      <c r="L503" t="s">
        <v>58</v>
      </c>
      <c r="M503">
        <v>26</v>
      </c>
      <c r="N503">
        <v>123</v>
      </c>
      <c r="O503" t="s">
        <v>31</v>
      </c>
      <c r="P503">
        <v>30</v>
      </c>
      <c r="Q503">
        <v>80</v>
      </c>
      <c r="R503">
        <v>70</v>
      </c>
      <c r="S503">
        <v>110</v>
      </c>
      <c r="T503">
        <v>45</v>
      </c>
      <c r="U503" t="s">
        <v>28</v>
      </c>
      <c r="V503" s="2">
        <v>0.21138211382113822</v>
      </c>
      <c r="W503" s="2">
        <v>0.57723577235772361</v>
      </c>
      <c r="X503">
        <v>28</v>
      </c>
    </row>
    <row r="504" spans="1:24" x14ac:dyDescent="0.3">
      <c r="A504">
        <v>217</v>
      </c>
      <c r="B504">
        <v>76</v>
      </c>
      <c r="C504">
        <v>-2</v>
      </c>
      <c r="D504" s="1">
        <v>41420</v>
      </c>
      <c r="E504">
        <v>580</v>
      </c>
      <c r="F504">
        <v>111</v>
      </c>
      <c r="G504" t="s">
        <v>22</v>
      </c>
      <c r="H504" t="s">
        <v>23</v>
      </c>
      <c r="I504">
        <v>21</v>
      </c>
      <c r="J504" t="s">
        <v>24</v>
      </c>
      <c r="K504" t="s">
        <v>33</v>
      </c>
      <c r="L504" t="s">
        <v>34</v>
      </c>
      <c r="M504">
        <v>78</v>
      </c>
      <c r="N504">
        <v>187</v>
      </c>
      <c r="O504" t="s">
        <v>64</v>
      </c>
      <c r="P504">
        <v>50</v>
      </c>
      <c r="Q504">
        <v>80</v>
      </c>
      <c r="R504">
        <v>80</v>
      </c>
      <c r="S504">
        <v>130</v>
      </c>
      <c r="T504">
        <v>33</v>
      </c>
      <c r="U504" t="s">
        <v>36</v>
      </c>
      <c r="V504" s="2">
        <v>0.41711229946524064</v>
      </c>
      <c r="W504" s="2">
        <v>0.5935828877005348</v>
      </c>
      <c r="X504">
        <v>12</v>
      </c>
    </row>
    <row r="505" spans="1:24" x14ac:dyDescent="0.3">
      <c r="A505">
        <v>847</v>
      </c>
      <c r="B505">
        <v>72</v>
      </c>
      <c r="C505">
        <v>5</v>
      </c>
      <c r="D505" s="1">
        <v>41421</v>
      </c>
      <c r="E505">
        <v>650</v>
      </c>
      <c r="F505">
        <v>110</v>
      </c>
      <c r="G505" t="s">
        <v>22</v>
      </c>
      <c r="H505" t="s">
        <v>23</v>
      </c>
      <c r="I505">
        <v>23</v>
      </c>
      <c r="J505" t="s">
        <v>24</v>
      </c>
      <c r="K505" t="s">
        <v>33</v>
      </c>
      <c r="L505" t="s">
        <v>62</v>
      </c>
      <c r="M505">
        <v>55</v>
      </c>
      <c r="N505">
        <v>182</v>
      </c>
      <c r="O505" t="s">
        <v>64</v>
      </c>
      <c r="P505">
        <v>50</v>
      </c>
      <c r="Q505">
        <v>80</v>
      </c>
      <c r="R505">
        <v>50</v>
      </c>
      <c r="S505">
        <v>130</v>
      </c>
      <c r="T505">
        <v>55</v>
      </c>
      <c r="U505" t="s">
        <v>36</v>
      </c>
      <c r="V505" s="2">
        <v>0.30219780219780218</v>
      </c>
      <c r="W505" s="2">
        <v>0.60439560439560436</v>
      </c>
      <c r="X505">
        <v>32</v>
      </c>
    </row>
    <row r="506" spans="1:24" x14ac:dyDescent="0.3">
      <c r="A506">
        <v>660</v>
      </c>
      <c r="B506">
        <v>65</v>
      </c>
      <c r="C506">
        <v>-35</v>
      </c>
      <c r="D506" s="1">
        <v>41422</v>
      </c>
      <c r="E506">
        <v>1053</v>
      </c>
      <c r="F506">
        <v>77</v>
      </c>
      <c r="G506" t="s">
        <v>40</v>
      </c>
      <c r="H506" t="s">
        <v>23</v>
      </c>
      <c r="I506">
        <v>20</v>
      </c>
      <c r="J506" t="s">
        <v>41</v>
      </c>
      <c r="K506" t="s">
        <v>46</v>
      </c>
      <c r="L506" t="s">
        <v>47</v>
      </c>
      <c r="M506">
        <v>35</v>
      </c>
      <c r="N506">
        <v>142</v>
      </c>
      <c r="O506" t="s">
        <v>59</v>
      </c>
      <c r="P506">
        <v>50</v>
      </c>
      <c r="Q506">
        <v>80</v>
      </c>
      <c r="R506">
        <v>70</v>
      </c>
      <c r="S506">
        <v>130</v>
      </c>
      <c r="T506">
        <v>42</v>
      </c>
      <c r="U506" t="s">
        <v>28</v>
      </c>
      <c r="V506" s="2">
        <v>0.24647887323943662</v>
      </c>
      <c r="W506" s="2">
        <v>0.54225352112676062</v>
      </c>
      <c r="X506">
        <v>22</v>
      </c>
    </row>
    <row r="507" spans="1:24" x14ac:dyDescent="0.3">
      <c r="A507">
        <v>660</v>
      </c>
      <c r="B507">
        <v>32</v>
      </c>
      <c r="C507">
        <v>-52</v>
      </c>
      <c r="D507" s="1">
        <v>41423</v>
      </c>
      <c r="E507">
        <v>833</v>
      </c>
      <c r="F507">
        <v>47</v>
      </c>
      <c r="G507" t="s">
        <v>40</v>
      </c>
      <c r="H507" t="s">
        <v>23</v>
      </c>
      <c r="I507">
        <v>8</v>
      </c>
      <c r="J507" t="s">
        <v>41</v>
      </c>
      <c r="K507" t="s">
        <v>42</v>
      </c>
      <c r="L507" t="s">
        <v>43</v>
      </c>
      <c r="M507">
        <v>28</v>
      </c>
      <c r="N507">
        <v>79</v>
      </c>
      <c r="O507" t="s">
        <v>59</v>
      </c>
      <c r="P507">
        <v>30</v>
      </c>
      <c r="Q507">
        <v>80</v>
      </c>
      <c r="R507">
        <v>80</v>
      </c>
      <c r="S507">
        <v>110</v>
      </c>
      <c r="T507">
        <v>19</v>
      </c>
      <c r="U507" t="s">
        <v>28</v>
      </c>
      <c r="V507" s="2">
        <v>0.35443037974683544</v>
      </c>
      <c r="W507" s="2">
        <v>0.59493670886075944</v>
      </c>
      <c r="X507">
        <v>11</v>
      </c>
    </row>
    <row r="508" spans="1:24" x14ac:dyDescent="0.3">
      <c r="A508">
        <v>405</v>
      </c>
      <c r="B508">
        <v>82</v>
      </c>
      <c r="C508">
        <v>5</v>
      </c>
      <c r="D508" s="1">
        <v>41424</v>
      </c>
      <c r="E508">
        <v>788</v>
      </c>
      <c r="F508">
        <v>123</v>
      </c>
      <c r="G508" t="s">
        <v>40</v>
      </c>
      <c r="H508" t="s">
        <v>30</v>
      </c>
      <c r="I508">
        <v>27</v>
      </c>
      <c r="J508" t="s">
        <v>41</v>
      </c>
      <c r="K508" t="s">
        <v>42</v>
      </c>
      <c r="L508" t="s">
        <v>43</v>
      </c>
      <c r="M508">
        <v>65</v>
      </c>
      <c r="N508">
        <v>205</v>
      </c>
      <c r="O508" t="s">
        <v>48</v>
      </c>
      <c r="P508">
        <v>50</v>
      </c>
      <c r="Q508">
        <v>80</v>
      </c>
      <c r="R508">
        <v>60</v>
      </c>
      <c r="S508">
        <v>130</v>
      </c>
      <c r="T508">
        <v>58</v>
      </c>
      <c r="U508" t="s">
        <v>28</v>
      </c>
      <c r="V508" s="2">
        <v>0.31707317073170732</v>
      </c>
      <c r="W508" s="2">
        <v>0.6</v>
      </c>
      <c r="X508">
        <v>31</v>
      </c>
    </row>
    <row r="509" spans="1:24" x14ac:dyDescent="0.3">
      <c r="A509">
        <v>715</v>
      </c>
      <c r="B509">
        <v>56</v>
      </c>
      <c r="C509">
        <v>-35</v>
      </c>
      <c r="D509" s="1">
        <v>41425</v>
      </c>
      <c r="E509">
        <v>385</v>
      </c>
      <c r="F509">
        <v>70</v>
      </c>
      <c r="G509" t="s">
        <v>40</v>
      </c>
      <c r="H509" t="s">
        <v>23</v>
      </c>
      <c r="I509">
        <v>21</v>
      </c>
      <c r="J509" t="s">
        <v>41</v>
      </c>
      <c r="K509" t="s">
        <v>46</v>
      </c>
      <c r="L509" t="s">
        <v>51</v>
      </c>
      <c r="M509">
        <v>15</v>
      </c>
      <c r="N509">
        <v>126</v>
      </c>
      <c r="O509" t="s">
        <v>60</v>
      </c>
      <c r="P509">
        <v>40</v>
      </c>
      <c r="Q509">
        <v>80</v>
      </c>
      <c r="R509">
        <v>50</v>
      </c>
      <c r="S509">
        <v>120</v>
      </c>
      <c r="T509">
        <v>55</v>
      </c>
      <c r="U509" t="s">
        <v>36</v>
      </c>
      <c r="V509" s="2">
        <v>0.11904761904761904</v>
      </c>
      <c r="W509" s="2">
        <v>0.55555555555555558</v>
      </c>
      <c r="X509">
        <v>34</v>
      </c>
    </row>
    <row r="510" spans="1:24" x14ac:dyDescent="0.3">
      <c r="A510">
        <v>405</v>
      </c>
      <c r="B510">
        <v>91</v>
      </c>
      <c r="C510">
        <v>6</v>
      </c>
      <c r="D510" s="1">
        <v>41426</v>
      </c>
      <c r="E510">
        <v>-1785</v>
      </c>
      <c r="F510">
        <v>127</v>
      </c>
      <c r="G510" t="s">
        <v>40</v>
      </c>
      <c r="H510" t="s">
        <v>30</v>
      </c>
      <c r="I510">
        <v>28</v>
      </c>
      <c r="J510" t="s">
        <v>41</v>
      </c>
      <c r="K510" t="s">
        <v>42</v>
      </c>
      <c r="L510" t="s">
        <v>55</v>
      </c>
      <c r="M510">
        <v>76</v>
      </c>
      <c r="N510">
        <v>218</v>
      </c>
      <c r="O510" t="s">
        <v>48</v>
      </c>
      <c r="P510">
        <v>50</v>
      </c>
      <c r="Q510">
        <v>80</v>
      </c>
      <c r="R510">
        <v>70</v>
      </c>
      <c r="S510">
        <v>130</v>
      </c>
      <c r="T510">
        <v>51</v>
      </c>
      <c r="U510" t="s">
        <v>36</v>
      </c>
      <c r="V510" s="2">
        <v>0.34862385321100919</v>
      </c>
      <c r="W510" s="2">
        <v>0.58256880733944949</v>
      </c>
      <c r="X510">
        <v>23</v>
      </c>
    </row>
    <row r="511" spans="1:24" x14ac:dyDescent="0.3">
      <c r="A511">
        <v>414</v>
      </c>
      <c r="B511">
        <v>60</v>
      </c>
      <c r="C511">
        <v>-23</v>
      </c>
      <c r="D511" s="1">
        <v>41427</v>
      </c>
      <c r="E511">
        <v>329</v>
      </c>
      <c r="F511">
        <v>99</v>
      </c>
      <c r="G511" t="s">
        <v>40</v>
      </c>
      <c r="H511" t="s">
        <v>23</v>
      </c>
      <c r="I511">
        <v>18</v>
      </c>
      <c r="J511" t="s">
        <v>24</v>
      </c>
      <c r="K511" t="s">
        <v>25</v>
      </c>
      <c r="L511" t="s">
        <v>58</v>
      </c>
      <c r="M511">
        <v>57</v>
      </c>
      <c r="N511">
        <v>159</v>
      </c>
      <c r="O511" t="s">
        <v>60</v>
      </c>
      <c r="P511">
        <v>40</v>
      </c>
      <c r="Q511">
        <v>80</v>
      </c>
      <c r="R511">
        <v>80</v>
      </c>
      <c r="S511">
        <v>120</v>
      </c>
      <c r="T511">
        <v>42</v>
      </c>
      <c r="U511" t="s">
        <v>28</v>
      </c>
      <c r="V511" s="2">
        <v>0.35849056603773582</v>
      </c>
      <c r="W511" s="2">
        <v>0.62264150943396224</v>
      </c>
      <c r="X511">
        <v>24</v>
      </c>
    </row>
    <row r="512" spans="1:24" x14ac:dyDescent="0.3">
      <c r="A512">
        <v>419</v>
      </c>
      <c r="B512">
        <v>55</v>
      </c>
      <c r="C512">
        <v>-24</v>
      </c>
      <c r="D512" s="1">
        <v>41428</v>
      </c>
      <c r="E512">
        <v>410</v>
      </c>
      <c r="F512">
        <v>69</v>
      </c>
      <c r="G512" t="s">
        <v>22</v>
      </c>
      <c r="H512" t="s">
        <v>23</v>
      </c>
      <c r="I512">
        <v>20</v>
      </c>
      <c r="J512" t="s">
        <v>41</v>
      </c>
      <c r="K512" t="s">
        <v>42</v>
      </c>
      <c r="L512" t="s">
        <v>43</v>
      </c>
      <c r="M512">
        <v>16</v>
      </c>
      <c r="N512">
        <v>124</v>
      </c>
      <c r="O512" t="s">
        <v>66</v>
      </c>
      <c r="P512">
        <v>70</v>
      </c>
      <c r="Q512">
        <v>80</v>
      </c>
      <c r="R512">
        <v>40</v>
      </c>
      <c r="S512">
        <v>150</v>
      </c>
      <c r="T512">
        <v>53</v>
      </c>
      <c r="U512" t="s">
        <v>28</v>
      </c>
      <c r="V512" s="2">
        <v>0.12903225806451613</v>
      </c>
      <c r="W512" s="2">
        <v>0.55645161290322576</v>
      </c>
      <c r="X512">
        <v>33</v>
      </c>
    </row>
    <row r="513" spans="1:24" x14ac:dyDescent="0.3">
      <c r="A513">
        <v>330</v>
      </c>
      <c r="B513">
        <v>59</v>
      </c>
      <c r="C513">
        <v>-17</v>
      </c>
      <c r="D513" s="1">
        <v>41429</v>
      </c>
      <c r="E513">
        <v>411</v>
      </c>
      <c r="F513">
        <v>79</v>
      </c>
      <c r="G513" t="s">
        <v>22</v>
      </c>
      <c r="H513" t="s">
        <v>23</v>
      </c>
      <c r="I513">
        <v>19</v>
      </c>
      <c r="J513" t="s">
        <v>41</v>
      </c>
      <c r="K513" t="s">
        <v>46</v>
      </c>
      <c r="L513" t="s">
        <v>51</v>
      </c>
      <c r="M513">
        <v>33</v>
      </c>
      <c r="N513">
        <v>138</v>
      </c>
      <c r="O513" t="s">
        <v>66</v>
      </c>
      <c r="P513">
        <v>50</v>
      </c>
      <c r="Q513">
        <v>80</v>
      </c>
      <c r="R513">
        <v>50</v>
      </c>
      <c r="S513">
        <v>130</v>
      </c>
      <c r="T513">
        <v>46</v>
      </c>
      <c r="U513" t="s">
        <v>36</v>
      </c>
      <c r="V513" s="2">
        <v>0.2391304347826087</v>
      </c>
      <c r="W513" s="2">
        <v>0.57246376811594202</v>
      </c>
      <c r="X513">
        <v>27</v>
      </c>
    </row>
    <row r="514" spans="1:24" x14ac:dyDescent="0.3">
      <c r="A514">
        <v>650</v>
      </c>
      <c r="B514">
        <v>75</v>
      </c>
      <c r="C514">
        <v>19</v>
      </c>
      <c r="D514" s="1">
        <v>41430</v>
      </c>
      <c r="E514">
        <v>659</v>
      </c>
      <c r="F514">
        <v>114</v>
      </c>
      <c r="G514" t="s">
        <v>22</v>
      </c>
      <c r="H514" t="s">
        <v>37</v>
      </c>
      <c r="I514">
        <v>24</v>
      </c>
      <c r="J514" t="s">
        <v>24</v>
      </c>
      <c r="K514" t="s">
        <v>33</v>
      </c>
      <c r="L514" t="s">
        <v>38</v>
      </c>
      <c r="M514">
        <v>59</v>
      </c>
      <c r="N514">
        <v>189</v>
      </c>
      <c r="O514" t="s">
        <v>39</v>
      </c>
      <c r="P514">
        <v>50</v>
      </c>
      <c r="Q514">
        <v>80</v>
      </c>
      <c r="R514">
        <v>40</v>
      </c>
      <c r="S514">
        <v>130</v>
      </c>
      <c r="T514">
        <v>55</v>
      </c>
      <c r="U514" t="s">
        <v>36</v>
      </c>
      <c r="V514" s="2">
        <v>0.31216931216931215</v>
      </c>
      <c r="W514" s="2">
        <v>0.60317460317460314</v>
      </c>
      <c r="X514">
        <v>31</v>
      </c>
    </row>
    <row r="515" spans="1:24" x14ac:dyDescent="0.3">
      <c r="A515">
        <v>314</v>
      </c>
      <c r="B515">
        <v>69</v>
      </c>
      <c r="C515">
        <v>-2</v>
      </c>
      <c r="D515" s="1">
        <v>41431</v>
      </c>
      <c r="E515">
        <v>1060</v>
      </c>
      <c r="F515">
        <v>81</v>
      </c>
      <c r="G515" t="s">
        <v>40</v>
      </c>
      <c r="H515" t="s">
        <v>23</v>
      </c>
      <c r="I515">
        <v>21</v>
      </c>
      <c r="J515" t="s">
        <v>41</v>
      </c>
      <c r="K515" t="s">
        <v>46</v>
      </c>
      <c r="L515" t="s">
        <v>47</v>
      </c>
      <c r="M515">
        <v>38</v>
      </c>
      <c r="N515">
        <v>150</v>
      </c>
      <c r="O515" t="s">
        <v>59</v>
      </c>
      <c r="P515">
        <v>60</v>
      </c>
      <c r="Q515">
        <v>80</v>
      </c>
      <c r="R515">
        <v>40</v>
      </c>
      <c r="S515">
        <v>140</v>
      </c>
      <c r="T515">
        <v>43</v>
      </c>
      <c r="U515" t="s">
        <v>28</v>
      </c>
      <c r="V515" s="2">
        <v>0.25333333333333335</v>
      </c>
      <c r="W515" s="2">
        <v>0.54</v>
      </c>
      <c r="X515">
        <v>22</v>
      </c>
    </row>
    <row r="516" spans="1:24" x14ac:dyDescent="0.3">
      <c r="A516">
        <v>503</v>
      </c>
      <c r="B516">
        <v>46</v>
      </c>
      <c r="C516">
        <v>-18</v>
      </c>
      <c r="D516" s="1">
        <v>41432</v>
      </c>
      <c r="E516">
        <v>424</v>
      </c>
      <c r="F516">
        <v>68</v>
      </c>
      <c r="G516" t="s">
        <v>40</v>
      </c>
      <c r="H516" t="s">
        <v>37</v>
      </c>
      <c r="I516">
        <v>14</v>
      </c>
      <c r="J516" t="s">
        <v>41</v>
      </c>
      <c r="K516" t="s">
        <v>46</v>
      </c>
      <c r="L516" t="s">
        <v>47</v>
      </c>
      <c r="M516">
        <v>32</v>
      </c>
      <c r="N516">
        <v>114</v>
      </c>
      <c r="O516" t="s">
        <v>57</v>
      </c>
      <c r="P516">
        <v>50</v>
      </c>
      <c r="Q516">
        <v>80</v>
      </c>
      <c r="R516">
        <v>50</v>
      </c>
      <c r="S516">
        <v>130</v>
      </c>
      <c r="T516">
        <v>36</v>
      </c>
      <c r="U516" t="s">
        <v>28</v>
      </c>
      <c r="V516" s="2">
        <v>0.2807017543859649</v>
      </c>
      <c r="W516" s="2">
        <v>0.59649122807017541</v>
      </c>
      <c r="X516">
        <v>22</v>
      </c>
    </row>
    <row r="517" spans="1:24" x14ac:dyDescent="0.3">
      <c r="A517">
        <v>206</v>
      </c>
      <c r="B517">
        <v>75</v>
      </c>
      <c r="C517">
        <v>5</v>
      </c>
      <c r="D517" s="1">
        <v>41433</v>
      </c>
      <c r="E517">
        <v>1063</v>
      </c>
      <c r="F517">
        <v>89</v>
      </c>
      <c r="G517" t="s">
        <v>40</v>
      </c>
      <c r="H517" t="s">
        <v>37</v>
      </c>
      <c r="I517">
        <v>23</v>
      </c>
      <c r="J517" t="s">
        <v>41</v>
      </c>
      <c r="K517" t="s">
        <v>42</v>
      </c>
      <c r="L517" t="s">
        <v>43</v>
      </c>
      <c r="M517">
        <v>45</v>
      </c>
      <c r="N517">
        <v>164</v>
      </c>
      <c r="O517" t="s">
        <v>61</v>
      </c>
      <c r="P517">
        <v>70</v>
      </c>
      <c r="Q517">
        <v>80</v>
      </c>
      <c r="R517">
        <v>40</v>
      </c>
      <c r="S517">
        <v>150</v>
      </c>
      <c r="T517">
        <v>44</v>
      </c>
      <c r="U517" t="s">
        <v>28</v>
      </c>
      <c r="V517" s="2">
        <v>0.27439024390243905</v>
      </c>
      <c r="W517" s="2">
        <v>0.54268292682926833</v>
      </c>
      <c r="X517">
        <v>21</v>
      </c>
    </row>
    <row r="518" spans="1:24" x14ac:dyDescent="0.3">
      <c r="A518">
        <v>203</v>
      </c>
      <c r="B518">
        <v>61</v>
      </c>
      <c r="C518">
        <v>-8</v>
      </c>
      <c r="D518" s="1">
        <v>41434</v>
      </c>
      <c r="E518">
        <v>613</v>
      </c>
      <c r="F518">
        <v>86</v>
      </c>
      <c r="G518" t="s">
        <v>40</v>
      </c>
      <c r="H518" t="s">
        <v>32</v>
      </c>
      <c r="I518">
        <v>55</v>
      </c>
      <c r="J518" t="s">
        <v>41</v>
      </c>
      <c r="K518" t="s">
        <v>42</v>
      </c>
      <c r="L518" t="s">
        <v>54</v>
      </c>
      <c r="M518">
        <v>2</v>
      </c>
      <c r="N518">
        <v>147</v>
      </c>
      <c r="O518" t="s">
        <v>45</v>
      </c>
      <c r="P518">
        <v>60</v>
      </c>
      <c r="Q518">
        <v>80</v>
      </c>
      <c r="R518">
        <v>10</v>
      </c>
      <c r="S518">
        <v>140</v>
      </c>
      <c r="T518">
        <v>84</v>
      </c>
      <c r="U518" t="s">
        <v>36</v>
      </c>
      <c r="V518" s="2">
        <v>1.3605442176870748E-2</v>
      </c>
      <c r="W518" s="2">
        <v>0.58503401360544216</v>
      </c>
      <c r="X518">
        <v>29</v>
      </c>
    </row>
    <row r="519" spans="1:24" x14ac:dyDescent="0.3">
      <c r="A519">
        <v>225</v>
      </c>
      <c r="B519">
        <v>47</v>
      </c>
      <c r="C519">
        <v>-16</v>
      </c>
      <c r="D519" s="1">
        <v>41435</v>
      </c>
      <c r="E519">
        <v>834</v>
      </c>
      <c r="F519">
        <v>68</v>
      </c>
      <c r="G519" t="s">
        <v>40</v>
      </c>
      <c r="H519" t="s">
        <v>30</v>
      </c>
      <c r="I519">
        <v>13</v>
      </c>
      <c r="J519" t="s">
        <v>41</v>
      </c>
      <c r="K519" t="s">
        <v>46</v>
      </c>
      <c r="L519" t="s">
        <v>53</v>
      </c>
      <c r="M519">
        <v>44</v>
      </c>
      <c r="N519">
        <v>115</v>
      </c>
      <c r="O519" t="s">
        <v>56</v>
      </c>
      <c r="P519">
        <v>50</v>
      </c>
      <c r="Q519">
        <v>80</v>
      </c>
      <c r="R519">
        <v>60</v>
      </c>
      <c r="S519">
        <v>130</v>
      </c>
      <c r="T519">
        <v>24</v>
      </c>
      <c r="U519" t="s">
        <v>36</v>
      </c>
      <c r="V519" s="2">
        <v>0.38260869565217392</v>
      </c>
      <c r="W519" s="2">
        <v>0.59130434782608698</v>
      </c>
      <c r="X519">
        <v>11</v>
      </c>
    </row>
    <row r="520" spans="1:24" x14ac:dyDescent="0.3">
      <c r="A520">
        <v>541</v>
      </c>
      <c r="B520">
        <v>52</v>
      </c>
      <c r="C520">
        <v>-14</v>
      </c>
      <c r="D520" s="1">
        <v>41436</v>
      </c>
      <c r="E520">
        <v>509</v>
      </c>
      <c r="F520">
        <v>73</v>
      </c>
      <c r="G520" t="s">
        <v>40</v>
      </c>
      <c r="H520" t="s">
        <v>37</v>
      </c>
      <c r="I520">
        <v>47</v>
      </c>
      <c r="J520" t="s">
        <v>41</v>
      </c>
      <c r="K520" t="s">
        <v>46</v>
      </c>
      <c r="L520" t="s">
        <v>51</v>
      </c>
      <c r="M520">
        <v>-4</v>
      </c>
      <c r="N520">
        <v>125</v>
      </c>
      <c r="O520" t="s">
        <v>57</v>
      </c>
      <c r="P520">
        <v>60</v>
      </c>
      <c r="Q520">
        <v>80</v>
      </c>
      <c r="R520">
        <v>10</v>
      </c>
      <c r="S520">
        <v>140</v>
      </c>
      <c r="T520">
        <v>77</v>
      </c>
      <c r="U520" t="s">
        <v>36</v>
      </c>
      <c r="V520" s="2">
        <v>-3.2000000000000001E-2</v>
      </c>
      <c r="W520" s="2">
        <v>0.58399999999999996</v>
      </c>
      <c r="X520">
        <v>30</v>
      </c>
    </row>
    <row r="521" spans="1:24" x14ac:dyDescent="0.3">
      <c r="A521">
        <v>435</v>
      </c>
      <c r="B521">
        <v>53</v>
      </c>
      <c r="C521">
        <v>-23</v>
      </c>
      <c r="D521" s="1">
        <v>41437</v>
      </c>
      <c r="E521">
        <v>380</v>
      </c>
      <c r="F521">
        <v>71</v>
      </c>
      <c r="G521" t="s">
        <v>40</v>
      </c>
      <c r="H521" t="s">
        <v>37</v>
      </c>
      <c r="I521">
        <v>17</v>
      </c>
      <c r="J521" t="s">
        <v>41</v>
      </c>
      <c r="K521" t="s">
        <v>46</v>
      </c>
      <c r="L521" t="s">
        <v>53</v>
      </c>
      <c r="M521">
        <v>27</v>
      </c>
      <c r="N521">
        <v>124</v>
      </c>
      <c r="O521" t="s">
        <v>50</v>
      </c>
      <c r="P521">
        <v>60</v>
      </c>
      <c r="Q521">
        <v>80</v>
      </c>
      <c r="R521">
        <v>50</v>
      </c>
      <c r="S521">
        <v>140</v>
      </c>
      <c r="T521">
        <v>44</v>
      </c>
      <c r="U521" t="s">
        <v>36</v>
      </c>
      <c r="V521" s="2">
        <v>0.21774193548387097</v>
      </c>
      <c r="W521" s="2">
        <v>0.57258064516129037</v>
      </c>
      <c r="X521">
        <v>27</v>
      </c>
    </row>
    <row r="522" spans="1:24" x14ac:dyDescent="0.3">
      <c r="A522">
        <v>503</v>
      </c>
      <c r="B522">
        <v>59</v>
      </c>
      <c r="C522">
        <v>-17</v>
      </c>
      <c r="D522" s="1">
        <v>41438</v>
      </c>
      <c r="E522">
        <v>411</v>
      </c>
      <c r="F522">
        <v>79</v>
      </c>
      <c r="G522" t="s">
        <v>40</v>
      </c>
      <c r="H522" t="s">
        <v>37</v>
      </c>
      <c r="I522">
        <v>19</v>
      </c>
      <c r="J522" t="s">
        <v>41</v>
      </c>
      <c r="K522" t="s">
        <v>42</v>
      </c>
      <c r="L522" t="s">
        <v>54</v>
      </c>
      <c r="M522">
        <v>33</v>
      </c>
      <c r="N522">
        <v>138</v>
      </c>
      <c r="O522" t="s">
        <v>57</v>
      </c>
      <c r="P522">
        <v>50</v>
      </c>
      <c r="Q522">
        <v>80</v>
      </c>
      <c r="R522">
        <v>50</v>
      </c>
      <c r="S522">
        <v>130</v>
      </c>
      <c r="T522">
        <v>46</v>
      </c>
      <c r="U522" t="s">
        <v>36</v>
      </c>
      <c r="V522" s="2">
        <v>0.2391304347826087</v>
      </c>
      <c r="W522" s="2">
        <v>0.57246376811594202</v>
      </c>
      <c r="X522">
        <v>27</v>
      </c>
    </row>
    <row r="523" spans="1:24" x14ac:dyDescent="0.3">
      <c r="A523">
        <v>920</v>
      </c>
      <c r="B523">
        <v>53</v>
      </c>
      <c r="C523">
        <v>-2</v>
      </c>
      <c r="D523" s="1">
        <v>41439</v>
      </c>
      <c r="E523">
        <v>321</v>
      </c>
      <c r="F523">
        <v>88</v>
      </c>
      <c r="G523" t="s">
        <v>40</v>
      </c>
      <c r="H523" t="s">
        <v>23</v>
      </c>
      <c r="I523">
        <v>16</v>
      </c>
      <c r="J523" t="s">
        <v>24</v>
      </c>
      <c r="K523" t="s">
        <v>25</v>
      </c>
      <c r="L523" t="s">
        <v>58</v>
      </c>
      <c r="M523">
        <v>48</v>
      </c>
      <c r="N523">
        <v>141</v>
      </c>
      <c r="O523" t="s">
        <v>60</v>
      </c>
      <c r="P523">
        <v>50</v>
      </c>
      <c r="Q523">
        <v>80</v>
      </c>
      <c r="R523">
        <v>50</v>
      </c>
      <c r="S523">
        <v>130</v>
      </c>
      <c r="T523">
        <v>40</v>
      </c>
      <c r="U523" t="s">
        <v>28</v>
      </c>
      <c r="V523" s="2">
        <v>0.34042553191489361</v>
      </c>
      <c r="W523" s="2">
        <v>0.62411347517730498</v>
      </c>
      <c r="X523">
        <v>24</v>
      </c>
    </row>
    <row r="524" spans="1:24" x14ac:dyDescent="0.3">
      <c r="A524">
        <v>959</v>
      </c>
      <c r="B524">
        <v>54</v>
      </c>
      <c r="C524">
        <v>-9</v>
      </c>
      <c r="D524" s="1">
        <v>41440</v>
      </c>
      <c r="E524">
        <v>885</v>
      </c>
      <c r="F524">
        <v>78</v>
      </c>
      <c r="G524" t="s">
        <v>40</v>
      </c>
      <c r="H524" t="s">
        <v>32</v>
      </c>
      <c r="I524">
        <v>15</v>
      </c>
      <c r="J524" t="s">
        <v>24</v>
      </c>
      <c r="K524" t="s">
        <v>33</v>
      </c>
      <c r="L524" t="s">
        <v>34</v>
      </c>
      <c r="M524">
        <v>51</v>
      </c>
      <c r="N524">
        <v>132</v>
      </c>
      <c r="O524" t="s">
        <v>45</v>
      </c>
      <c r="P524">
        <v>50</v>
      </c>
      <c r="Q524">
        <v>80</v>
      </c>
      <c r="R524">
        <v>60</v>
      </c>
      <c r="S524">
        <v>130</v>
      </c>
      <c r="T524">
        <v>27</v>
      </c>
      <c r="U524" t="s">
        <v>36</v>
      </c>
      <c r="V524" s="2">
        <v>0.38636363636363635</v>
      </c>
      <c r="W524" s="2">
        <v>0.59090909090909094</v>
      </c>
      <c r="X524">
        <v>12</v>
      </c>
    </row>
    <row r="525" spans="1:24" x14ac:dyDescent="0.3">
      <c r="A525">
        <v>740</v>
      </c>
      <c r="B525">
        <v>46</v>
      </c>
      <c r="C525">
        <v>-34</v>
      </c>
      <c r="D525" s="1">
        <v>41441</v>
      </c>
      <c r="E525">
        <v>422</v>
      </c>
      <c r="F525">
        <v>57</v>
      </c>
      <c r="G525" t="s">
        <v>22</v>
      </c>
      <c r="H525" t="s">
        <v>23</v>
      </c>
      <c r="I525">
        <v>17</v>
      </c>
      <c r="J525" t="s">
        <v>41</v>
      </c>
      <c r="K525" t="s">
        <v>42</v>
      </c>
      <c r="L525" t="s">
        <v>43</v>
      </c>
      <c r="M525">
        <v>6</v>
      </c>
      <c r="N525">
        <v>103</v>
      </c>
      <c r="O525" t="s">
        <v>66</v>
      </c>
      <c r="P525">
        <v>50</v>
      </c>
      <c r="Q525">
        <v>80</v>
      </c>
      <c r="R525">
        <v>40</v>
      </c>
      <c r="S525">
        <v>130</v>
      </c>
      <c r="T525">
        <v>51</v>
      </c>
      <c r="U525" t="s">
        <v>28</v>
      </c>
      <c r="V525" s="2">
        <v>5.8252427184466021E-2</v>
      </c>
      <c r="W525" s="2">
        <v>0.55339805825242716</v>
      </c>
      <c r="X525">
        <v>34</v>
      </c>
    </row>
    <row r="526" spans="1:24" x14ac:dyDescent="0.3">
      <c r="A526">
        <v>630</v>
      </c>
      <c r="B526">
        <v>67</v>
      </c>
      <c r="C526">
        <v>7</v>
      </c>
      <c r="D526" s="1">
        <v>41442</v>
      </c>
      <c r="E526">
        <v>677</v>
      </c>
      <c r="F526">
        <v>101</v>
      </c>
      <c r="G526" t="s">
        <v>22</v>
      </c>
      <c r="H526" t="s">
        <v>23</v>
      </c>
      <c r="I526">
        <v>22</v>
      </c>
      <c r="J526" t="s">
        <v>24</v>
      </c>
      <c r="K526" t="s">
        <v>33</v>
      </c>
      <c r="L526" t="s">
        <v>62</v>
      </c>
      <c r="M526">
        <v>47</v>
      </c>
      <c r="N526">
        <v>168</v>
      </c>
      <c r="O526" t="s">
        <v>64</v>
      </c>
      <c r="P526">
        <v>50</v>
      </c>
      <c r="Q526">
        <v>80</v>
      </c>
      <c r="R526">
        <v>40</v>
      </c>
      <c r="S526">
        <v>130</v>
      </c>
      <c r="T526">
        <v>54</v>
      </c>
      <c r="U526" t="s">
        <v>36</v>
      </c>
      <c r="V526" s="2">
        <v>0.27976190476190477</v>
      </c>
      <c r="W526" s="2">
        <v>0.60119047619047616</v>
      </c>
      <c r="X526">
        <v>32</v>
      </c>
    </row>
    <row r="527" spans="1:24" x14ac:dyDescent="0.3">
      <c r="A527">
        <v>518</v>
      </c>
      <c r="B527">
        <v>54</v>
      </c>
      <c r="C527">
        <v>-8</v>
      </c>
      <c r="D527" s="1">
        <v>41443</v>
      </c>
      <c r="E527">
        <v>601</v>
      </c>
      <c r="F527">
        <v>79</v>
      </c>
      <c r="G527" t="s">
        <v>22</v>
      </c>
      <c r="H527" t="s">
        <v>32</v>
      </c>
      <c r="I527">
        <v>15</v>
      </c>
      <c r="J527" t="s">
        <v>24</v>
      </c>
      <c r="K527" t="s">
        <v>33</v>
      </c>
      <c r="L527" t="s">
        <v>38</v>
      </c>
      <c r="M527">
        <v>52</v>
      </c>
      <c r="N527">
        <v>133</v>
      </c>
      <c r="O527" t="s">
        <v>68</v>
      </c>
      <c r="P527">
        <v>50</v>
      </c>
      <c r="Q527">
        <v>80</v>
      </c>
      <c r="R527">
        <v>60</v>
      </c>
      <c r="S527">
        <v>130</v>
      </c>
      <c r="T527">
        <v>27</v>
      </c>
      <c r="U527" t="s">
        <v>36</v>
      </c>
      <c r="V527" s="2">
        <v>0.39097744360902253</v>
      </c>
      <c r="W527" s="2">
        <v>0.59398496240601506</v>
      </c>
      <c r="X527">
        <v>12</v>
      </c>
    </row>
    <row r="528" spans="1:24" x14ac:dyDescent="0.3">
      <c r="A528">
        <v>213</v>
      </c>
      <c r="B528">
        <v>67</v>
      </c>
      <c r="C528">
        <v>-3</v>
      </c>
      <c r="D528" s="1">
        <v>41444</v>
      </c>
      <c r="E528">
        <v>677</v>
      </c>
      <c r="F528">
        <v>101</v>
      </c>
      <c r="G528" t="s">
        <v>22</v>
      </c>
      <c r="H528" t="s">
        <v>37</v>
      </c>
      <c r="I528">
        <v>22</v>
      </c>
      <c r="J528" t="s">
        <v>24</v>
      </c>
      <c r="K528" t="s">
        <v>33</v>
      </c>
      <c r="L528" t="s">
        <v>38</v>
      </c>
      <c r="M528">
        <v>47</v>
      </c>
      <c r="N528">
        <v>168</v>
      </c>
      <c r="O528" t="s">
        <v>39</v>
      </c>
      <c r="P528">
        <v>40</v>
      </c>
      <c r="Q528">
        <v>80</v>
      </c>
      <c r="R528">
        <v>50</v>
      </c>
      <c r="S528">
        <v>120</v>
      </c>
      <c r="T528">
        <v>54</v>
      </c>
      <c r="U528" t="s">
        <v>36</v>
      </c>
      <c r="V528" s="2">
        <v>0.27976190476190477</v>
      </c>
      <c r="W528" s="2">
        <v>0.60119047619047616</v>
      </c>
      <c r="X528">
        <v>32</v>
      </c>
    </row>
    <row r="529" spans="1:24" x14ac:dyDescent="0.3">
      <c r="A529">
        <v>503</v>
      </c>
      <c r="B529">
        <v>41</v>
      </c>
      <c r="C529">
        <v>-25</v>
      </c>
      <c r="D529" s="1">
        <v>41445</v>
      </c>
      <c r="E529">
        <v>435</v>
      </c>
      <c r="F529">
        <v>60</v>
      </c>
      <c r="G529" t="s">
        <v>40</v>
      </c>
      <c r="H529" t="s">
        <v>37</v>
      </c>
      <c r="I529">
        <v>13</v>
      </c>
      <c r="J529" t="s">
        <v>41</v>
      </c>
      <c r="K529" t="s">
        <v>46</v>
      </c>
      <c r="L529" t="s">
        <v>47</v>
      </c>
      <c r="M529">
        <v>25</v>
      </c>
      <c r="N529">
        <v>101</v>
      </c>
      <c r="O529" t="s">
        <v>57</v>
      </c>
      <c r="P529">
        <v>40</v>
      </c>
      <c r="Q529">
        <v>80</v>
      </c>
      <c r="R529">
        <v>50</v>
      </c>
      <c r="S529">
        <v>120</v>
      </c>
      <c r="T529">
        <v>35</v>
      </c>
      <c r="U529" t="s">
        <v>28</v>
      </c>
      <c r="V529" s="2">
        <v>0.24752475247524752</v>
      </c>
      <c r="W529" s="2">
        <v>0.59405940594059403</v>
      </c>
      <c r="X529">
        <v>22</v>
      </c>
    </row>
    <row r="530" spans="1:24" x14ac:dyDescent="0.3">
      <c r="A530">
        <v>715</v>
      </c>
      <c r="B530">
        <v>65</v>
      </c>
      <c r="C530">
        <v>-8</v>
      </c>
      <c r="D530" s="1">
        <v>41446</v>
      </c>
      <c r="E530">
        <v>403</v>
      </c>
      <c r="F530">
        <v>80</v>
      </c>
      <c r="G530" t="s">
        <v>40</v>
      </c>
      <c r="H530" t="s">
        <v>23</v>
      </c>
      <c r="I530">
        <v>24</v>
      </c>
      <c r="J530" t="s">
        <v>41</v>
      </c>
      <c r="K530" t="s">
        <v>46</v>
      </c>
      <c r="L530" t="s">
        <v>51</v>
      </c>
      <c r="M530">
        <v>22</v>
      </c>
      <c r="N530">
        <v>145</v>
      </c>
      <c r="O530" t="s">
        <v>60</v>
      </c>
      <c r="P530">
        <v>60</v>
      </c>
      <c r="Q530">
        <v>80</v>
      </c>
      <c r="R530">
        <v>30</v>
      </c>
      <c r="S530">
        <v>140</v>
      </c>
      <c r="T530">
        <v>58</v>
      </c>
      <c r="U530" t="s">
        <v>36</v>
      </c>
      <c r="V530" s="2">
        <v>0.15172413793103448</v>
      </c>
      <c r="W530" s="2">
        <v>0.55172413793103448</v>
      </c>
      <c r="X530">
        <v>34</v>
      </c>
    </row>
    <row r="531" spans="1:24" x14ac:dyDescent="0.3">
      <c r="A531">
        <v>503</v>
      </c>
      <c r="B531">
        <v>47</v>
      </c>
      <c r="C531">
        <v>-27</v>
      </c>
      <c r="D531" s="1">
        <v>41447</v>
      </c>
      <c r="E531">
        <v>521</v>
      </c>
      <c r="F531">
        <v>65</v>
      </c>
      <c r="G531" t="s">
        <v>40</v>
      </c>
      <c r="H531" t="s">
        <v>37</v>
      </c>
      <c r="I531">
        <v>42</v>
      </c>
      <c r="J531" t="s">
        <v>41</v>
      </c>
      <c r="K531" t="s">
        <v>46</v>
      </c>
      <c r="L531" t="s">
        <v>51</v>
      </c>
      <c r="M531">
        <v>-7</v>
      </c>
      <c r="N531">
        <v>112</v>
      </c>
      <c r="O531" t="s">
        <v>57</v>
      </c>
      <c r="P531">
        <v>50</v>
      </c>
      <c r="Q531">
        <v>80</v>
      </c>
      <c r="R531">
        <v>20</v>
      </c>
      <c r="S531">
        <v>130</v>
      </c>
      <c r="T531">
        <v>72</v>
      </c>
      <c r="U531" t="s">
        <v>36</v>
      </c>
      <c r="V531" s="2">
        <v>-6.25E-2</v>
      </c>
      <c r="W531" s="2">
        <v>0.5803571428571429</v>
      </c>
      <c r="X531">
        <v>30</v>
      </c>
    </row>
    <row r="532" spans="1:24" x14ac:dyDescent="0.3">
      <c r="A532">
        <v>801</v>
      </c>
      <c r="B532">
        <v>49</v>
      </c>
      <c r="C532">
        <v>-29</v>
      </c>
      <c r="D532" s="1">
        <v>41448</v>
      </c>
      <c r="E532">
        <v>392</v>
      </c>
      <c r="F532">
        <v>65</v>
      </c>
      <c r="G532" t="s">
        <v>40</v>
      </c>
      <c r="H532" t="s">
        <v>37</v>
      </c>
      <c r="I532">
        <v>16</v>
      </c>
      <c r="J532" t="s">
        <v>41</v>
      </c>
      <c r="K532" t="s">
        <v>46</v>
      </c>
      <c r="L532" t="s">
        <v>53</v>
      </c>
      <c r="M532">
        <v>21</v>
      </c>
      <c r="N532">
        <v>114</v>
      </c>
      <c r="O532" t="s">
        <v>50</v>
      </c>
      <c r="P532">
        <v>50</v>
      </c>
      <c r="Q532">
        <v>80</v>
      </c>
      <c r="R532">
        <v>50</v>
      </c>
      <c r="S532">
        <v>130</v>
      </c>
      <c r="T532">
        <v>44</v>
      </c>
      <c r="U532" t="s">
        <v>36</v>
      </c>
      <c r="V532" s="2">
        <v>0.18421052631578946</v>
      </c>
      <c r="W532" s="2">
        <v>0.57017543859649122</v>
      </c>
      <c r="X532">
        <v>28</v>
      </c>
    </row>
    <row r="533" spans="1:24" x14ac:dyDescent="0.3">
      <c r="A533">
        <v>509</v>
      </c>
      <c r="B533">
        <v>65</v>
      </c>
      <c r="C533">
        <v>-7</v>
      </c>
      <c r="D533" s="1">
        <v>41449</v>
      </c>
      <c r="E533">
        <v>403</v>
      </c>
      <c r="F533">
        <v>80</v>
      </c>
      <c r="G533" t="s">
        <v>40</v>
      </c>
      <c r="H533" t="s">
        <v>37</v>
      </c>
      <c r="I533">
        <v>24</v>
      </c>
      <c r="J533" t="s">
        <v>41</v>
      </c>
      <c r="K533" t="s">
        <v>42</v>
      </c>
      <c r="L533" t="s">
        <v>54</v>
      </c>
      <c r="M533">
        <v>23</v>
      </c>
      <c r="N533">
        <v>145</v>
      </c>
      <c r="O533" t="s">
        <v>61</v>
      </c>
      <c r="P533">
        <v>60</v>
      </c>
      <c r="Q533">
        <v>80</v>
      </c>
      <c r="R533">
        <v>30</v>
      </c>
      <c r="S533">
        <v>140</v>
      </c>
      <c r="T533">
        <v>57</v>
      </c>
      <c r="U533" t="s">
        <v>36</v>
      </c>
      <c r="V533" s="2">
        <v>0.15862068965517243</v>
      </c>
      <c r="W533" s="2">
        <v>0.55172413793103448</v>
      </c>
      <c r="X533">
        <v>33</v>
      </c>
    </row>
    <row r="534" spans="1:24" x14ac:dyDescent="0.3">
      <c r="A534">
        <v>985</v>
      </c>
      <c r="B534">
        <v>68</v>
      </c>
      <c r="C534">
        <v>-4</v>
      </c>
      <c r="D534" s="1">
        <v>41450</v>
      </c>
      <c r="E534">
        <v>619</v>
      </c>
      <c r="F534">
        <v>85</v>
      </c>
      <c r="G534" t="s">
        <v>40</v>
      </c>
      <c r="H534" t="s">
        <v>30</v>
      </c>
      <c r="I534">
        <v>25</v>
      </c>
      <c r="J534" t="s">
        <v>24</v>
      </c>
      <c r="K534" t="s">
        <v>25</v>
      </c>
      <c r="L534" t="s">
        <v>26</v>
      </c>
      <c r="M534">
        <v>26</v>
      </c>
      <c r="N534">
        <v>153</v>
      </c>
      <c r="O534" t="s">
        <v>56</v>
      </c>
      <c r="P534">
        <v>60</v>
      </c>
      <c r="Q534">
        <v>80</v>
      </c>
      <c r="R534">
        <v>30</v>
      </c>
      <c r="S534">
        <v>140</v>
      </c>
      <c r="T534">
        <v>59</v>
      </c>
      <c r="U534" t="s">
        <v>28</v>
      </c>
      <c r="V534" s="2">
        <v>0.16993464052287582</v>
      </c>
      <c r="W534" s="2">
        <v>0.55555555555555558</v>
      </c>
      <c r="X534">
        <v>34</v>
      </c>
    </row>
    <row r="535" spans="1:24" x14ac:dyDescent="0.3">
      <c r="A535">
        <v>432</v>
      </c>
      <c r="B535">
        <v>76</v>
      </c>
      <c r="C535">
        <v>36</v>
      </c>
      <c r="D535" s="1">
        <v>41451</v>
      </c>
      <c r="E535">
        <v>580</v>
      </c>
      <c r="F535">
        <v>111</v>
      </c>
      <c r="G535" t="s">
        <v>22</v>
      </c>
      <c r="H535" t="s">
        <v>30</v>
      </c>
      <c r="I535">
        <v>21</v>
      </c>
      <c r="J535" t="s">
        <v>41</v>
      </c>
      <c r="K535" t="s">
        <v>42</v>
      </c>
      <c r="L535" t="s">
        <v>43</v>
      </c>
      <c r="M535">
        <v>116</v>
      </c>
      <c r="N535">
        <v>199</v>
      </c>
      <c r="O535" t="s">
        <v>31</v>
      </c>
      <c r="P535">
        <v>40</v>
      </c>
      <c r="Q535">
        <v>80</v>
      </c>
      <c r="R535">
        <v>80</v>
      </c>
      <c r="S535">
        <v>120</v>
      </c>
      <c r="T535">
        <v>33</v>
      </c>
      <c r="U535" t="s">
        <v>28</v>
      </c>
      <c r="V535" s="2">
        <v>0.58291457286432158</v>
      </c>
      <c r="W535" s="2">
        <v>0.61809045226130654</v>
      </c>
      <c r="X535">
        <v>12</v>
      </c>
    </row>
    <row r="536" spans="1:24" x14ac:dyDescent="0.3">
      <c r="A536">
        <v>325</v>
      </c>
      <c r="B536">
        <v>52</v>
      </c>
      <c r="C536">
        <v>-31</v>
      </c>
      <c r="D536" s="1">
        <v>41452</v>
      </c>
      <c r="E536">
        <v>405</v>
      </c>
      <c r="F536">
        <v>71</v>
      </c>
      <c r="G536" t="s">
        <v>22</v>
      </c>
      <c r="H536" t="s">
        <v>30</v>
      </c>
      <c r="I536">
        <v>17</v>
      </c>
      <c r="J536" t="s">
        <v>24</v>
      </c>
      <c r="K536" t="s">
        <v>25</v>
      </c>
      <c r="L536" t="s">
        <v>58</v>
      </c>
      <c r="M536">
        <v>39</v>
      </c>
      <c r="N536">
        <v>131</v>
      </c>
      <c r="O536" t="s">
        <v>31</v>
      </c>
      <c r="P536">
        <v>30</v>
      </c>
      <c r="Q536">
        <v>80</v>
      </c>
      <c r="R536">
        <v>70</v>
      </c>
      <c r="S536">
        <v>110</v>
      </c>
      <c r="T536">
        <v>45</v>
      </c>
      <c r="U536" t="s">
        <v>28</v>
      </c>
      <c r="V536" s="2">
        <v>0.29770992366412213</v>
      </c>
      <c r="W536" s="2">
        <v>0.60305343511450382</v>
      </c>
      <c r="X536">
        <v>28</v>
      </c>
    </row>
    <row r="537" spans="1:24" x14ac:dyDescent="0.3">
      <c r="A537">
        <v>815</v>
      </c>
      <c r="B537">
        <v>76</v>
      </c>
      <c r="C537">
        <v>36</v>
      </c>
      <c r="D537" s="1">
        <v>41453</v>
      </c>
      <c r="E537">
        <v>580</v>
      </c>
      <c r="F537">
        <v>111</v>
      </c>
      <c r="G537" t="s">
        <v>22</v>
      </c>
      <c r="H537" t="s">
        <v>23</v>
      </c>
      <c r="I537">
        <v>21</v>
      </c>
      <c r="J537" t="s">
        <v>24</v>
      </c>
      <c r="K537" t="s">
        <v>33</v>
      </c>
      <c r="L537" t="s">
        <v>34</v>
      </c>
      <c r="M537">
        <v>116</v>
      </c>
      <c r="N537">
        <v>199</v>
      </c>
      <c r="O537" t="s">
        <v>64</v>
      </c>
      <c r="P537">
        <v>50</v>
      </c>
      <c r="Q537">
        <v>80</v>
      </c>
      <c r="R537">
        <v>80</v>
      </c>
      <c r="S537">
        <v>130</v>
      </c>
      <c r="T537">
        <v>33</v>
      </c>
      <c r="U537" t="s">
        <v>36</v>
      </c>
      <c r="V537" s="2">
        <v>0.58291457286432158</v>
      </c>
      <c r="W537" s="2">
        <v>0.61809045226130654</v>
      </c>
      <c r="X537">
        <v>12</v>
      </c>
    </row>
    <row r="538" spans="1:24" x14ac:dyDescent="0.3">
      <c r="A538">
        <v>815</v>
      </c>
      <c r="B538">
        <v>72</v>
      </c>
      <c r="C538">
        <v>32</v>
      </c>
      <c r="D538" s="1">
        <v>41454</v>
      </c>
      <c r="E538">
        <v>650</v>
      </c>
      <c r="F538">
        <v>110</v>
      </c>
      <c r="G538" t="s">
        <v>22</v>
      </c>
      <c r="H538" t="s">
        <v>23</v>
      </c>
      <c r="I538">
        <v>23</v>
      </c>
      <c r="J538" t="s">
        <v>24</v>
      </c>
      <c r="K538" t="s">
        <v>33</v>
      </c>
      <c r="L538" t="s">
        <v>62</v>
      </c>
      <c r="M538">
        <v>82</v>
      </c>
      <c r="N538">
        <v>194</v>
      </c>
      <c r="O538" t="s">
        <v>64</v>
      </c>
      <c r="P538">
        <v>50</v>
      </c>
      <c r="Q538">
        <v>80</v>
      </c>
      <c r="R538">
        <v>50</v>
      </c>
      <c r="S538">
        <v>130</v>
      </c>
      <c r="T538">
        <v>55</v>
      </c>
      <c r="U538" t="s">
        <v>36</v>
      </c>
      <c r="V538" s="2">
        <v>0.42268041237113402</v>
      </c>
      <c r="W538" s="2">
        <v>0.62886597938144329</v>
      </c>
      <c r="X538">
        <v>32</v>
      </c>
    </row>
    <row r="539" spans="1:24" x14ac:dyDescent="0.3">
      <c r="A539">
        <v>636</v>
      </c>
      <c r="B539">
        <v>65</v>
      </c>
      <c r="C539">
        <v>-18</v>
      </c>
      <c r="D539" s="1">
        <v>41455</v>
      </c>
      <c r="E539">
        <v>1053</v>
      </c>
      <c r="F539">
        <v>77</v>
      </c>
      <c r="G539" t="s">
        <v>40</v>
      </c>
      <c r="H539" t="s">
        <v>23</v>
      </c>
      <c r="I539">
        <v>20</v>
      </c>
      <c r="J539" t="s">
        <v>41</v>
      </c>
      <c r="K539" t="s">
        <v>46</v>
      </c>
      <c r="L539" t="s">
        <v>47</v>
      </c>
      <c r="M539">
        <v>52</v>
      </c>
      <c r="N539">
        <v>151</v>
      </c>
      <c r="O539" t="s">
        <v>59</v>
      </c>
      <c r="P539">
        <v>50</v>
      </c>
      <c r="Q539">
        <v>80</v>
      </c>
      <c r="R539">
        <v>70</v>
      </c>
      <c r="S539">
        <v>130</v>
      </c>
      <c r="T539">
        <v>42</v>
      </c>
      <c r="U539" t="s">
        <v>28</v>
      </c>
      <c r="V539" s="2">
        <v>0.3443708609271523</v>
      </c>
      <c r="W539" s="2">
        <v>0.56953642384105962</v>
      </c>
      <c r="X539">
        <v>22</v>
      </c>
    </row>
    <row r="540" spans="1:24" x14ac:dyDescent="0.3">
      <c r="A540">
        <v>417</v>
      </c>
      <c r="B540">
        <v>32</v>
      </c>
      <c r="C540">
        <v>-38</v>
      </c>
      <c r="D540" s="1">
        <v>41456</v>
      </c>
      <c r="E540">
        <v>833</v>
      </c>
      <c r="F540">
        <v>47</v>
      </c>
      <c r="G540" t="s">
        <v>40</v>
      </c>
      <c r="H540" t="s">
        <v>23</v>
      </c>
      <c r="I540">
        <v>8</v>
      </c>
      <c r="J540" t="s">
        <v>41</v>
      </c>
      <c r="K540" t="s">
        <v>42</v>
      </c>
      <c r="L540" t="s">
        <v>43</v>
      </c>
      <c r="M540">
        <v>42</v>
      </c>
      <c r="N540">
        <v>84</v>
      </c>
      <c r="O540" t="s">
        <v>59</v>
      </c>
      <c r="P540">
        <v>30</v>
      </c>
      <c r="Q540">
        <v>80</v>
      </c>
      <c r="R540">
        <v>80</v>
      </c>
      <c r="S540">
        <v>110</v>
      </c>
      <c r="T540">
        <v>19</v>
      </c>
      <c r="U540" t="s">
        <v>28</v>
      </c>
      <c r="V540" s="2">
        <v>0.5</v>
      </c>
      <c r="W540" s="2">
        <v>0.61904761904761907</v>
      </c>
      <c r="X540">
        <v>11</v>
      </c>
    </row>
    <row r="541" spans="1:24" x14ac:dyDescent="0.3">
      <c r="A541">
        <v>405</v>
      </c>
      <c r="B541">
        <v>82</v>
      </c>
      <c r="C541">
        <v>36</v>
      </c>
      <c r="D541" s="1">
        <v>41457</v>
      </c>
      <c r="E541">
        <v>788</v>
      </c>
      <c r="F541">
        <v>123</v>
      </c>
      <c r="G541" t="s">
        <v>40</v>
      </c>
      <c r="H541" t="s">
        <v>30</v>
      </c>
      <c r="I541">
        <v>27</v>
      </c>
      <c r="J541" t="s">
        <v>41</v>
      </c>
      <c r="K541" t="s">
        <v>42</v>
      </c>
      <c r="L541" t="s">
        <v>43</v>
      </c>
      <c r="M541">
        <v>96</v>
      </c>
      <c r="N541">
        <v>218</v>
      </c>
      <c r="O541" t="s">
        <v>48</v>
      </c>
      <c r="P541">
        <v>50</v>
      </c>
      <c r="Q541">
        <v>80</v>
      </c>
      <c r="R541">
        <v>60</v>
      </c>
      <c r="S541">
        <v>130</v>
      </c>
      <c r="T541">
        <v>58</v>
      </c>
      <c r="U541" t="s">
        <v>28</v>
      </c>
      <c r="V541" s="2">
        <v>0.44036697247706424</v>
      </c>
      <c r="W541" s="2">
        <v>0.62385321100917435</v>
      </c>
      <c r="X541">
        <v>31</v>
      </c>
    </row>
    <row r="542" spans="1:24" x14ac:dyDescent="0.3">
      <c r="A542">
        <v>414</v>
      </c>
      <c r="B542">
        <v>56</v>
      </c>
      <c r="C542">
        <v>-28</v>
      </c>
      <c r="D542" s="1">
        <v>41458</v>
      </c>
      <c r="E542">
        <v>385</v>
      </c>
      <c r="F542">
        <v>70</v>
      </c>
      <c r="G542" t="s">
        <v>40</v>
      </c>
      <c r="H542" t="s">
        <v>23</v>
      </c>
      <c r="I542">
        <v>21</v>
      </c>
      <c r="J542" t="s">
        <v>41</v>
      </c>
      <c r="K542" t="s">
        <v>46</v>
      </c>
      <c r="L542" t="s">
        <v>51</v>
      </c>
      <c r="M542">
        <v>22</v>
      </c>
      <c r="N542">
        <v>134</v>
      </c>
      <c r="O542" t="s">
        <v>60</v>
      </c>
      <c r="P542">
        <v>40</v>
      </c>
      <c r="Q542">
        <v>80</v>
      </c>
      <c r="R542">
        <v>50</v>
      </c>
      <c r="S542">
        <v>120</v>
      </c>
      <c r="T542">
        <v>55</v>
      </c>
      <c r="U542" t="s">
        <v>36</v>
      </c>
      <c r="V542" s="2">
        <v>0.16417910447761194</v>
      </c>
      <c r="W542" s="2">
        <v>0.58208955223880599</v>
      </c>
      <c r="X542">
        <v>34</v>
      </c>
    </row>
    <row r="543" spans="1:24" x14ac:dyDescent="0.3">
      <c r="A543">
        <v>405</v>
      </c>
      <c r="B543">
        <v>91</v>
      </c>
      <c r="C543">
        <v>43</v>
      </c>
      <c r="D543" s="1">
        <v>41459</v>
      </c>
      <c r="E543">
        <v>-1785</v>
      </c>
      <c r="F543">
        <v>127</v>
      </c>
      <c r="G543" t="s">
        <v>40</v>
      </c>
      <c r="H543" t="s">
        <v>30</v>
      </c>
      <c r="I543">
        <v>28</v>
      </c>
      <c r="J543" t="s">
        <v>41</v>
      </c>
      <c r="K543" t="s">
        <v>42</v>
      </c>
      <c r="L543" t="s">
        <v>55</v>
      </c>
      <c r="M543">
        <v>113</v>
      </c>
      <c r="N543">
        <v>232</v>
      </c>
      <c r="O543" t="s">
        <v>48</v>
      </c>
      <c r="P543">
        <v>50</v>
      </c>
      <c r="Q543">
        <v>80</v>
      </c>
      <c r="R543">
        <v>70</v>
      </c>
      <c r="S543">
        <v>130</v>
      </c>
      <c r="T543">
        <v>51</v>
      </c>
      <c r="U543" t="s">
        <v>36</v>
      </c>
      <c r="V543" s="2">
        <v>0.48706896551724138</v>
      </c>
      <c r="W543" s="2">
        <v>0.60775862068965514</v>
      </c>
      <c r="X543">
        <v>23</v>
      </c>
    </row>
    <row r="544" spans="1:24" x14ac:dyDescent="0.3">
      <c r="A544">
        <v>715</v>
      </c>
      <c r="B544">
        <v>60</v>
      </c>
      <c r="C544">
        <v>5</v>
      </c>
      <c r="D544" s="1">
        <v>41460</v>
      </c>
      <c r="E544">
        <v>329</v>
      </c>
      <c r="F544">
        <v>99</v>
      </c>
      <c r="G544" t="s">
        <v>40</v>
      </c>
      <c r="H544" t="s">
        <v>23</v>
      </c>
      <c r="I544">
        <v>18</v>
      </c>
      <c r="J544" t="s">
        <v>24</v>
      </c>
      <c r="K544" t="s">
        <v>25</v>
      </c>
      <c r="L544" t="s">
        <v>58</v>
      </c>
      <c r="M544">
        <v>85</v>
      </c>
      <c r="N544">
        <v>169</v>
      </c>
      <c r="O544" t="s">
        <v>60</v>
      </c>
      <c r="P544">
        <v>40</v>
      </c>
      <c r="Q544">
        <v>80</v>
      </c>
      <c r="R544">
        <v>80</v>
      </c>
      <c r="S544">
        <v>120</v>
      </c>
      <c r="T544">
        <v>42</v>
      </c>
      <c r="U544" t="s">
        <v>28</v>
      </c>
      <c r="V544" s="2">
        <v>0.50295857988165682</v>
      </c>
      <c r="W544" s="2">
        <v>0.6449704142011834</v>
      </c>
      <c r="X544">
        <v>24</v>
      </c>
    </row>
    <row r="545" spans="1:24" x14ac:dyDescent="0.3">
      <c r="A545">
        <v>937</v>
      </c>
      <c r="B545">
        <v>55</v>
      </c>
      <c r="C545">
        <v>-16</v>
      </c>
      <c r="D545" s="1">
        <v>41461</v>
      </c>
      <c r="E545">
        <v>410</v>
      </c>
      <c r="F545">
        <v>69</v>
      </c>
      <c r="G545" t="s">
        <v>22</v>
      </c>
      <c r="H545" t="s">
        <v>23</v>
      </c>
      <c r="I545">
        <v>20</v>
      </c>
      <c r="J545" t="s">
        <v>41</v>
      </c>
      <c r="K545" t="s">
        <v>42</v>
      </c>
      <c r="L545" t="s">
        <v>43</v>
      </c>
      <c r="M545">
        <v>24</v>
      </c>
      <c r="N545">
        <v>132</v>
      </c>
      <c r="O545" t="s">
        <v>66</v>
      </c>
      <c r="P545">
        <v>70</v>
      </c>
      <c r="Q545">
        <v>80</v>
      </c>
      <c r="R545">
        <v>40</v>
      </c>
      <c r="S545">
        <v>150</v>
      </c>
      <c r="T545">
        <v>53</v>
      </c>
      <c r="U545" t="s">
        <v>28</v>
      </c>
      <c r="V545" s="2">
        <v>0.18181818181818182</v>
      </c>
      <c r="W545" s="2">
        <v>0.58333333333333337</v>
      </c>
      <c r="X545">
        <v>33</v>
      </c>
    </row>
    <row r="546" spans="1:24" x14ac:dyDescent="0.3">
      <c r="A546">
        <v>234</v>
      </c>
      <c r="B546">
        <v>59</v>
      </c>
      <c r="C546">
        <v>-1</v>
      </c>
      <c r="D546" s="1">
        <v>41462</v>
      </c>
      <c r="E546">
        <v>411</v>
      </c>
      <c r="F546">
        <v>79</v>
      </c>
      <c r="G546" t="s">
        <v>22</v>
      </c>
      <c r="H546" t="s">
        <v>23</v>
      </c>
      <c r="I546">
        <v>19</v>
      </c>
      <c r="J546" t="s">
        <v>41</v>
      </c>
      <c r="K546" t="s">
        <v>46</v>
      </c>
      <c r="L546" t="s">
        <v>51</v>
      </c>
      <c r="M546">
        <v>49</v>
      </c>
      <c r="N546">
        <v>147</v>
      </c>
      <c r="O546" t="s">
        <v>66</v>
      </c>
      <c r="P546">
        <v>50</v>
      </c>
      <c r="Q546">
        <v>80</v>
      </c>
      <c r="R546">
        <v>50</v>
      </c>
      <c r="S546">
        <v>130</v>
      </c>
      <c r="T546">
        <v>46</v>
      </c>
      <c r="U546" t="s">
        <v>36</v>
      </c>
      <c r="V546" s="2">
        <v>0.33333333333333331</v>
      </c>
      <c r="W546" s="2">
        <v>0.59863945578231292</v>
      </c>
      <c r="X546">
        <v>27</v>
      </c>
    </row>
    <row r="547" spans="1:24" x14ac:dyDescent="0.3">
      <c r="A547">
        <v>209</v>
      </c>
      <c r="B547">
        <v>75</v>
      </c>
      <c r="C547">
        <v>48</v>
      </c>
      <c r="D547" s="1">
        <v>41463</v>
      </c>
      <c r="E547">
        <v>659</v>
      </c>
      <c r="F547">
        <v>114</v>
      </c>
      <c r="G547" t="s">
        <v>22</v>
      </c>
      <c r="H547" t="s">
        <v>37</v>
      </c>
      <c r="I547">
        <v>24</v>
      </c>
      <c r="J547" t="s">
        <v>24</v>
      </c>
      <c r="K547" t="s">
        <v>33</v>
      </c>
      <c r="L547" t="s">
        <v>38</v>
      </c>
      <c r="M547">
        <v>88</v>
      </c>
      <c r="N547">
        <v>201</v>
      </c>
      <c r="O547" t="s">
        <v>39</v>
      </c>
      <c r="P547">
        <v>50</v>
      </c>
      <c r="Q547">
        <v>80</v>
      </c>
      <c r="R547">
        <v>40</v>
      </c>
      <c r="S547">
        <v>130</v>
      </c>
      <c r="T547">
        <v>55</v>
      </c>
      <c r="U547" t="s">
        <v>36</v>
      </c>
      <c r="V547" s="2">
        <v>0.43781094527363185</v>
      </c>
      <c r="W547" s="2">
        <v>0.62686567164179108</v>
      </c>
      <c r="X547">
        <v>31</v>
      </c>
    </row>
    <row r="548" spans="1:24" x14ac:dyDescent="0.3">
      <c r="A548">
        <v>417</v>
      </c>
      <c r="B548">
        <v>69</v>
      </c>
      <c r="C548">
        <v>16</v>
      </c>
      <c r="D548" s="1">
        <v>41464</v>
      </c>
      <c r="E548">
        <v>1060</v>
      </c>
      <c r="F548">
        <v>81</v>
      </c>
      <c r="G548" t="s">
        <v>40</v>
      </c>
      <c r="H548" t="s">
        <v>23</v>
      </c>
      <c r="I548">
        <v>21</v>
      </c>
      <c r="J548" t="s">
        <v>41</v>
      </c>
      <c r="K548" t="s">
        <v>46</v>
      </c>
      <c r="L548" t="s">
        <v>47</v>
      </c>
      <c r="M548">
        <v>56</v>
      </c>
      <c r="N548">
        <v>160</v>
      </c>
      <c r="O548" t="s">
        <v>59</v>
      </c>
      <c r="P548">
        <v>60</v>
      </c>
      <c r="Q548">
        <v>80</v>
      </c>
      <c r="R548">
        <v>40</v>
      </c>
      <c r="S548">
        <v>140</v>
      </c>
      <c r="T548">
        <v>43</v>
      </c>
      <c r="U548" t="s">
        <v>28</v>
      </c>
      <c r="V548" s="2">
        <v>0.35</v>
      </c>
      <c r="W548" s="2">
        <v>0.56874999999999998</v>
      </c>
      <c r="X548">
        <v>22</v>
      </c>
    </row>
    <row r="549" spans="1:24" x14ac:dyDescent="0.3">
      <c r="A549">
        <v>503</v>
      </c>
      <c r="B549">
        <v>46</v>
      </c>
      <c r="C549">
        <v>-3</v>
      </c>
      <c r="D549" s="1">
        <v>41465</v>
      </c>
      <c r="E549">
        <v>424</v>
      </c>
      <c r="F549">
        <v>68</v>
      </c>
      <c r="G549" t="s">
        <v>40</v>
      </c>
      <c r="H549" t="s">
        <v>37</v>
      </c>
      <c r="I549">
        <v>14</v>
      </c>
      <c r="J549" t="s">
        <v>41</v>
      </c>
      <c r="K549" t="s">
        <v>46</v>
      </c>
      <c r="L549" t="s">
        <v>47</v>
      </c>
      <c r="M549">
        <v>47</v>
      </c>
      <c r="N549">
        <v>121</v>
      </c>
      <c r="O549" t="s">
        <v>57</v>
      </c>
      <c r="P549">
        <v>50</v>
      </c>
      <c r="Q549">
        <v>80</v>
      </c>
      <c r="R549">
        <v>50</v>
      </c>
      <c r="S549">
        <v>130</v>
      </c>
      <c r="T549">
        <v>36</v>
      </c>
      <c r="U549" t="s">
        <v>28</v>
      </c>
      <c r="V549" s="2">
        <v>0.38842975206611569</v>
      </c>
      <c r="W549" s="2">
        <v>0.6198347107438017</v>
      </c>
      <c r="X549">
        <v>22</v>
      </c>
    </row>
    <row r="550" spans="1:24" x14ac:dyDescent="0.3">
      <c r="A550">
        <v>425</v>
      </c>
      <c r="B550">
        <v>75</v>
      </c>
      <c r="C550">
        <v>27</v>
      </c>
      <c r="D550" s="1">
        <v>41466</v>
      </c>
      <c r="E550">
        <v>1063</v>
      </c>
      <c r="F550">
        <v>89</v>
      </c>
      <c r="G550" t="s">
        <v>40</v>
      </c>
      <c r="H550" t="s">
        <v>37</v>
      </c>
      <c r="I550">
        <v>23</v>
      </c>
      <c r="J550" t="s">
        <v>41</v>
      </c>
      <c r="K550" t="s">
        <v>42</v>
      </c>
      <c r="L550" t="s">
        <v>43</v>
      </c>
      <c r="M550">
        <v>67</v>
      </c>
      <c r="N550">
        <v>175</v>
      </c>
      <c r="O550" t="s">
        <v>61</v>
      </c>
      <c r="P550">
        <v>70</v>
      </c>
      <c r="Q550">
        <v>80</v>
      </c>
      <c r="R550">
        <v>40</v>
      </c>
      <c r="S550">
        <v>150</v>
      </c>
      <c r="T550">
        <v>44</v>
      </c>
      <c r="U550" t="s">
        <v>28</v>
      </c>
      <c r="V550" s="2">
        <v>0.38285714285714284</v>
      </c>
      <c r="W550" s="2">
        <v>0.5714285714285714</v>
      </c>
      <c r="X550">
        <v>21</v>
      </c>
    </row>
    <row r="551" spans="1:24" x14ac:dyDescent="0.3">
      <c r="A551">
        <v>475</v>
      </c>
      <c r="B551">
        <v>61</v>
      </c>
      <c r="C551">
        <v>-7</v>
      </c>
      <c r="D551" s="1">
        <v>41467</v>
      </c>
      <c r="E551">
        <v>613</v>
      </c>
      <c r="F551">
        <v>86</v>
      </c>
      <c r="G551" t="s">
        <v>40</v>
      </c>
      <c r="H551" t="s">
        <v>32</v>
      </c>
      <c r="I551">
        <v>55</v>
      </c>
      <c r="J551" t="s">
        <v>41</v>
      </c>
      <c r="K551" t="s">
        <v>42</v>
      </c>
      <c r="L551" t="s">
        <v>54</v>
      </c>
      <c r="M551">
        <v>3</v>
      </c>
      <c r="N551">
        <v>157</v>
      </c>
      <c r="O551" t="s">
        <v>45</v>
      </c>
      <c r="P551">
        <v>60</v>
      </c>
      <c r="Q551">
        <v>80</v>
      </c>
      <c r="R551">
        <v>10</v>
      </c>
      <c r="S551">
        <v>140</v>
      </c>
      <c r="T551">
        <v>84</v>
      </c>
      <c r="U551" t="s">
        <v>36</v>
      </c>
      <c r="V551" s="2">
        <v>1.9108280254777069E-2</v>
      </c>
      <c r="W551" s="2">
        <v>0.61146496815286622</v>
      </c>
      <c r="X551">
        <v>29</v>
      </c>
    </row>
    <row r="552" spans="1:24" x14ac:dyDescent="0.3">
      <c r="A552">
        <v>318</v>
      </c>
      <c r="B552">
        <v>47</v>
      </c>
      <c r="C552">
        <v>5</v>
      </c>
      <c r="D552" s="1">
        <v>41468</v>
      </c>
      <c r="E552">
        <v>834</v>
      </c>
      <c r="F552">
        <v>68</v>
      </c>
      <c r="G552" t="s">
        <v>40</v>
      </c>
      <c r="H552" t="s">
        <v>30</v>
      </c>
      <c r="I552">
        <v>13</v>
      </c>
      <c r="J552" t="s">
        <v>41</v>
      </c>
      <c r="K552" t="s">
        <v>46</v>
      </c>
      <c r="L552" t="s">
        <v>53</v>
      </c>
      <c r="M552">
        <v>65</v>
      </c>
      <c r="N552">
        <v>123</v>
      </c>
      <c r="O552" t="s">
        <v>56</v>
      </c>
      <c r="P552">
        <v>50</v>
      </c>
      <c r="Q552">
        <v>80</v>
      </c>
      <c r="R552">
        <v>60</v>
      </c>
      <c r="S552">
        <v>130</v>
      </c>
      <c r="T552">
        <v>24</v>
      </c>
      <c r="U552" t="s">
        <v>36</v>
      </c>
      <c r="V552" s="2">
        <v>0.52845528455284552</v>
      </c>
      <c r="W552" s="2">
        <v>0.61788617886178865</v>
      </c>
      <c r="X552">
        <v>11</v>
      </c>
    </row>
    <row r="553" spans="1:24" x14ac:dyDescent="0.3">
      <c r="A553">
        <v>971</v>
      </c>
      <c r="B553">
        <v>52</v>
      </c>
      <c r="C553">
        <v>-16</v>
      </c>
      <c r="D553" s="1">
        <v>41469</v>
      </c>
      <c r="E553">
        <v>509</v>
      </c>
      <c r="F553">
        <v>73</v>
      </c>
      <c r="G553" t="s">
        <v>40</v>
      </c>
      <c r="H553" t="s">
        <v>37</v>
      </c>
      <c r="I553">
        <v>47</v>
      </c>
      <c r="J553" t="s">
        <v>41</v>
      </c>
      <c r="K553" t="s">
        <v>46</v>
      </c>
      <c r="L553" t="s">
        <v>51</v>
      </c>
      <c r="M553">
        <v>-6</v>
      </c>
      <c r="N553">
        <v>133</v>
      </c>
      <c r="O553" t="s">
        <v>57</v>
      </c>
      <c r="P553">
        <v>60</v>
      </c>
      <c r="Q553">
        <v>80</v>
      </c>
      <c r="R553">
        <v>10</v>
      </c>
      <c r="S553">
        <v>140</v>
      </c>
      <c r="T553">
        <v>77</v>
      </c>
      <c r="U553" t="s">
        <v>36</v>
      </c>
      <c r="V553" s="2">
        <v>-4.5112781954887216E-2</v>
      </c>
      <c r="W553" s="2">
        <v>0.60902255639097747</v>
      </c>
      <c r="X553">
        <v>30</v>
      </c>
    </row>
    <row r="554" spans="1:24" x14ac:dyDescent="0.3">
      <c r="A554">
        <v>435</v>
      </c>
      <c r="B554">
        <v>53</v>
      </c>
      <c r="C554">
        <v>-10</v>
      </c>
      <c r="D554" s="1">
        <v>41470</v>
      </c>
      <c r="E554">
        <v>380</v>
      </c>
      <c r="F554">
        <v>71</v>
      </c>
      <c r="G554" t="s">
        <v>40</v>
      </c>
      <c r="H554" t="s">
        <v>37</v>
      </c>
      <c r="I554">
        <v>17</v>
      </c>
      <c r="J554" t="s">
        <v>41</v>
      </c>
      <c r="K554" t="s">
        <v>46</v>
      </c>
      <c r="L554" t="s">
        <v>53</v>
      </c>
      <c r="M554">
        <v>40</v>
      </c>
      <c r="N554">
        <v>132</v>
      </c>
      <c r="O554" t="s">
        <v>50</v>
      </c>
      <c r="P554">
        <v>60</v>
      </c>
      <c r="Q554">
        <v>80</v>
      </c>
      <c r="R554">
        <v>50</v>
      </c>
      <c r="S554">
        <v>140</v>
      </c>
      <c r="T554">
        <v>44</v>
      </c>
      <c r="U554" t="s">
        <v>36</v>
      </c>
      <c r="V554" s="2">
        <v>0.30303030303030304</v>
      </c>
      <c r="W554" s="2">
        <v>0.59848484848484851</v>
      </c>
      <c r="X554">
        <v>27</v>
      </c>
    </row>
    <row r="555" spans="1:24" x14ac:dyDescent="0.3">
      <c r="A555">
        <v>541</v>
      </c>
      <c r="B555">
        <v>59</v>
      </c>
      <c r="C555">
        <v>-1</v>
      </c>
      <c r="D555" s="1">
        <v>41471</v>
      </c>
      <c r="E555">
        <v>411</v>
      </c>
      <c r="F555">
        <v>79</v>
      </c>
      <c r="G555" t="s">
        <v>40</v>
      </c>
      <c r="H555" t="s">
        <v>37</v>
      </c>
      <c r="I555">
        <v>19</v>
      </c>
      <c r="J555" t="s">
        <v>41</v>
      </c>
      <c r="K555" t="s">
        <v>42</v>
      </c>
      <c r="L555" t="s">
        <v>54</v>
      </c>
      <c r="M555">
        <v>49</v>
      </c>
      <c r="N555">
        <v>147</v>
      </c>
      <c r="O555" t="s">
        <v>57</v>
      </c>
      <c r="P555">
        <v>50</v>
      </c>
      <c r="Q555">
        <v>80</v>
      </c>
      <c r="R555">
        <v>50</v>
      </c>
      <c r="S555">
        <v>130</v>
      </c>
      <c r="T555">
        <v>46</v>
      </c>
      <c r="U555" t="s">
        <v>36</v>
      </c>
      <c r="V555" s="2">
        <v>0.33333333333333331</v>
      </c>
      <c r="W555" s="2">
        <v>0.59863945578231292</v>
      </c>
      <c r="X555">
        <v>27</v>
      </c>
    </row>
    <row r="556" spans="1:24" x14ac:dyDescent="0.3">
      <c r="A556">
        <v>262</v>
      </c>
      <c r="B556">
        <v>53</v>
      </c>
      <c r="C556">
        <v>21</v>
      </c>
      <c r="D556" s="1">
        <v>41472</v>
      </c>
      <c r="E556">
        <v>321</v>
      </c>
      <c r="F556">
        <v>88</v>
      </c>
      <c r="G556" t="s">
        <v>40</v>
      </c>
      <c r="H556" t="s">
        <v>23</v>
      </c>
      <c r="I556">
        <v>16</v>
      </c>
      <c r="J556" t="s">
        <v>24</v>
      </c>
      <c r="K556" t="s">
        <v>25</v>
      </c>
      <c r="L556" t="s">
        <v>58</v>
      </c>
      <c r="M556">
        <v>71</v>
      </c>
      <c r="N556">
        <v>150</v>
      </c>
      <c r="O556" t="s">
        <v>60</v>
      </c>
      <c r="P556">
        <v>50</v>
      </c>
      <c r="Q556">
        <v>80</v>
      </c>
      <c r="R556">
        <v>50</v>
      </c>
      <c r="S556">
        <v>130</v>
      </c>
      <c r="T556">
        <v>40</v>
      </c>
      <c r="U556" t="s">
        <v>28</v>
      </c>
      <c r="V556" s="2">
        <v>0.47333333333333333</v>
      </c>
      <c r="W556" s="2">
        <v>0.64666666666666661</v>
      </c>
      <c r="X556">
        <v>24</v>
      </c>
    </row>
    <row r="557" spans="1:24" x14ac:dyDescent="0.3">
      <c r="A557">
        <v>860</v>
      </c>
      <c r="B557">
        <v>54</v>
      </c>
      <c r="C557">
        <v>16</v>
      </c>
      <c r="D557" s="1">
        <v>41473</v>
      </c>
      <c r="E557">
        <v>885</v>
      </c>
      <c r="F557">
        <v>78</v>
      </c>
      <c r="G557" t="s">
        <v>40</v>
      </c>
      <c r="H557" t="s">
        <v>32</v>
      </c>
      <c r="I557">
        <v>15</v>
      </c>
      <c r="J557" t="s">
        <v>24</v>
      </c>
      <c r="K557" t="s">
        <v>33</v>
      </c>
      <c r="L557" t="s">
        <v>34</v>
      </c>
      <c r="M557">
        <v>76</v>
      </c>
      <c r="N557">
        <v>141</v>
      </c>
      <c r="O557" t="s">
        <v>45</v>
      </c>
      <c r="P557">
        <v>50</v>
      </c>
      <c r="Q557">
        <v>80</v>
      </c>
      <c r="R557">
        <v>60</v>
      </c>
      <c r="S557">
        <v>130</v>
      </c>
      <c r="T557">
        <v>27</v>
      </c>
      <c r="U557" t="s">
        <v>36</v>
      </c>
      <c r="V557" s="2">
        <v>0.53900709219858156</v>
      </c>
      <c r="W557" s="2">
        <v>0.61702127659574468</v>
      </c>
      <c r="X557">
        <v>12</v>
      </c>
    </row>
    <row r="558" spans="1:24" x14ac:dyDescent="0.3">
      <c r="A558">
        <v>419</v>
      </c>
      <c r="B558">
        <v>46</v>
      </c>
      <c r="C558">
        <v>-31</v>
      </c>
      <c r="D558" s="1">
        <v>41474</v>
      </c>
      <c r="E558">
        <v>422</v>
      </c>
      <c r="F558">
        <v>57</v>
      </c>
      <c r="G558" t="s">
        <v>22</v>
      </c>
      <c r="H558" t="s">
        <v>23</v>
      </c>
      <c r="I558">
        <v>17</v>
      </c>
      <c r="J558" t="s">
        <v>41</v>
      </c>
      <c r="K558" t="s">
        <v>42</v>
      </c>
      <c r="L558" t="s">
        <v>43</v>
      </c>
      <c r="M558">
        <v>9</v>
      </c>
      <c r="N558">
        <v>110</v>
      </c>
      <c r="O558" t="s">
        <v>66</v>
      </c>
      <c r="P558">
        <v>50</v>
      </c>
      <c r="Q558">
        <v>80</v>
      </c>
      <c r="R558">
        <v>40</v>
      </c>
      <c r="S558">
        <v>130</v>
      </c>
      <c r="T558">
        <v>51</v>
      </c>
      <c r="U558" t="s">
        <v>28</v>
      </c>
      <c r="V558" s="2">
        <v>8.1818181818181818E-2</v>
      </c>
      <c r="W558" s="2">
        <v>0.58181818181818179</v>
      </c>
      <c r="X558">
        <v>34</v>
      </c>
    </row>
    <row r="559" spans="1:24" x14ac:dyDescent="0.3">
      <c r="A559">
        <v>708</v>
      </c>
      <c r="B559">
        <v>67</v>
      </c>
      <c r="C559">
        <v>30</v>
      </c>
      <c r="D559" s="1">
        <v>41475</v>
      </c>
      <c r="E559">
        <v>677</v>
      </c>
      <c r="F559">
        <v>101</v>
      </c>
      <c r="G559" t="s">
        <v>22</v>
      </c>
      <c r="H559" t="s">
        <v>23</v>
      </c>
      <c r="I559">
        <v>22</v>
      </c>
      <c r="J559" t="s">
        <v>24</v>
      </c>
      <c r="K559" t="s">
        <v>33</v>
      </c>
      <c r="L559" t="s">
        <v>62</v>
      </c>
      <c r="M559">
        <v>70</v>
      </c>
      <c r="N559">
        <v>179</v>
      </c>
      <c r="O559" t="s">
        <v>64</v>
      </c>
      <c r="P559">
        <v>50</v>
      </c>
      <c r="Q559">
        <v>80</v>
      </c>
      <c r="R559">
        <v>40</v>
      </c>
      <c r="S559">
        <v>130</v>
      </c>
      <c r="T559">
        <v>54</v>
      </c>
      <c r="U559" t="s">
        <v>36</v>
      </c>
      <c r="V559" s="2">
        <v>0.39106145251396646</v>
      </c>
      <c r="W559" s="2">
        <v>0.62569832402234637</v>
      </c>
      <c r="X559">
        <v>32</v>
      </c>
    </row>
    <row r="560" spans="1:24" x14ac:dyDescent="0.3">
      <c r="A560">
        <v>585</v>
      </c>
      <c r="B560">
        <v>54</v>
      </c>
      <c r="C560">
        <v>17</v>
      </c>
      <c r="D560" s="1">
        <v>41476</v>
      </c>
      <c r="E560">
        <v>601</v>
      </c>
      <c r="F560">
        <v>79</v>
      </c>
      <c r="G560" t="s">
        <v>22</v>
      </c>
      <c r="H560" t="s">
        <v>32</v>
      </c>
      <c r="I560">
        <v>15</v>
      </c>
      <c r="J560" t="s">
        <v>24</v>
      </c>
      <c r="K560" t="s">
        <v>33</v>
      </c>
      <c r="L560" t="s">
        <v>38</v>
      </c>
      <c r="M560">
        <v>77</v>
      </c>
      <c r="N560">
        <v>142</v>
      </c>
      <c r="O560" t="s">
        <v>68</v>
      </c>
      <c r="P560">
        <v>50</v>
      </c>
      <c r="Q560">
        <v>80</v>
      </c>
      <c r="R560">
        <v>60</v>
      </c>
      <c r="S560">
        <v>130</v>
      </c>
      <c r="T560">
        <v>27</v>
      </c>
      <c r="U560" t="s">
        <v>36</v>
      </c>
      <c r="V560" s="2">
        <v>0.54225352112676062</v>
      </c>
      <c r="W560" s="2">
        <v>0.61971830985915488</v>
      </c>
      <c r="X560">
        <v>12</v>
      </c>
    </row>
    <row r="561" spans="1:24" x14ac:dyDescent="0.3">
      <c r="A561">
        <v>510</v>
      </c>
      <c r="B561">
        <v>67</v>
      </c>
      <c r="C561">
        <v>20</v>
      </c>
      <c r="D561" s="1">
        <v>41477</v>
      </c>
      <c r="E561">
        <v>677</v>
      </c>
      <c r="F561">
        <v>101</v>
      </c>
      <c r="G561" t="s">
        <v>22</v>
      </c>
      <c r="H561" t="s">
        <v>37</v>
      </c>
      <c r="I561">
        <v>22</v>
      </c>
      <c r="J561" t="s">
        <v>24</v>
      </c>
      <c r="K561" t="s">
        <v>33</v>
      </c>
      <c r="L561" t="s">
        <v>38</v>
      </c>
      <c r="M561">
        <v>70</v>
      </c>
      <c r="N561">
        <v>179</v>
      </c>
      <c r="O561" t="s">
        <v>39</v>
      </c>
      <c r="P561">
        <v>40</v>
      </c>
      <c r="Q561">
        <v>80</v>
      </c>
      <c r="R561">
        <v>50</v>
      </c>
      <c r="S561">
        <v>120</v>
      </c>
      <c r="T561">
        <v>54</v>
      </c>
      <c r="U561" t="s">
        <v>36</v>
      </c>
      <c r="V561" s="2">
        <v>0.39106145251396646</v>
      </c>
      <c r="W561" s="2">
        <v>0.62569832402234637</v>
      </c>
      <c r="X561">
        <v>32</v>
      </c>
    </row>
    <row r="562" spans="1:24" x14ac:dyDescent="0.3">
      <c r="A562">
        <v>541</v>
      </c>
      <c r="B562">
        <v>41</v>
      </c>
      <c r="C562">
        <v>-13</v>
      </c>
      <c r="D562" s="1">
        <v>41478</v>
      </c>
      <c r="E562">
        <v>435</v>
      </c>
      <c r="F562">
        <v>60</v>
      </c>
      <c r="G562" t="s">
        <v>40</v>
      </c>
      <c r="H562" t="s">
        <v>37</v>
      </c>
      <c r="I562">
        <v>13</v>
      </c>
      <c r="J562" t="s">
        <v>41</v>
      </c>
      <c r="K562" t="s">
        <v>46</v>
      </c>
      <c r="L562" t="s">
        <v>47</v>
      </c>
      <c r="M562">
        <v>37</v>
      </c>
      <c r="N562">
        <v>108</v>
      </c>
      <c r="O562" t="s">
        <v>57</v>
      </c>
      <c r="P562">
        <v>40</v>
      </c>
      <c r="Q562">
        <v>80</v>
      </c>
      <c r="R562">
        <v>50</v>
      </c>
      <c r="S562">
        <v>120</v>
      </c>
      <c r="T562">
        <v>35</v>
      </c>
      <c r="U562" t="s">
        <v>28</v>
      </c>
      <c r="V562" s="2">
        <v>0.34259259259259262</v>
      </c>
      <c r="W562" s="2">
        <v>0.62037037037037035</v>
      </c>
      <c r="X562">
        <v>22</v>
      </c>
    </row>
    <row r="563" spans="1:24" x14ac:dyDescent="0.3">
      <c r="A563">
        <v>920</v>
      </c>
      <c r="B563">
        <v>65</v>
      </c>
      <c r="C563">
        <v>3</v>
      </c>
      <c r="D563" s="1">
        <v>41479</v>
      </c>
      <c r="E563">
        <v>403</v>
      </c>
      <c r="F563">
        <v>80</v>
      </c>
      <c r="G563" t="s">
        <v>40</v>
      </c>
      <c r="H563" t="s">
        <v>23</v>
      </c>
      <c r="I563">
        <v>24</v>
      </c>
      <c r="J563" t="s">
        <v>41</v>
      </c>
      <c r="K563" t="s">
        <v>46</v>
      </c>
      <c r="L563" t="s">
        <v>51</v>
      </c>
      <c r="M563">
        <v>33</v>
      </c>
      <c r="N563">
        <v>155</v>
      </c>
      <c r="O563" t="s">
        <v>60</v>
      </c>
      <c r="P563">
        <v>60</v>
      </c>
      <c r="Q563">
        <v>80</v>
      </c>
      <c r="R563">
        <v>30</v>
      </c>
      <c r="S563">
        <v>140</v>
      </c>
      <c r="T563">
        <v>58</v>
      </c>
      <c r="U563" t="s">
        <v>36</v>
      </c>
      <c r="V563" s="2">
        <v>0.2129032258064516</v>
      </c>
      <c r="W563" s="2">
        <v>0.58064516129032262</v>
      </c>
      <c r="X563">
        <v>34</v>
      </c>
    </row>
    <row r="564" spans="1:24" x14ac:dyDescent="0.3">
      <c r="A564">
        <v>541</v>
      </c>
      <c r="B564">
        <v>47</v>
      </c>
      <c r="C564">
        <v>-30</v>
      </c>
      <c r="D564" s="1">
        <v>41480</v>
      </c>
      <c r="E564">
        <v>521</v>
      </c>
      <c r="F564">
        <v>65</v>
      </c>
      <c r="G564" t="s">
        <v>40</v>
      </c>
      <c r="H564" t="s">
        <v>37</v>
      </c>
      <c r="I564">
        <v>42</v>
      </c>
      <c r="J564" t="s">
        <v>41</v>
      </c>
      <c r="K564" t="s">
        <v>46</v>
      </c>
      <c r="L564" t="s">
        <v>51</v>
      </c>
      <c r="M564">
        <v>-10</v>
      </c>
      <c r="N564">
        <v>119</v>
      </c>
      <c r="O564" t="s">
        <v>57</v>
      </c>
      <c r="P564">
        <v>50</v>
      </c>
      <c r="Q564">
        <v>80</v>
      </c>
      <c r="R564">
        <v>20</v>
      </c>
      <c r="S564">
        <v>130</v>
      </c>
      <c r="T564">
        <v>72</v>
      </c>
      <c r="U564" t="s">
        <v>36</v>
      </c>
      <c r="V564" s="2">
        <v>-8.4033613445378158E-2</v>
      </c>
      <c r="W564" s="2">
        <v>0.60504201680672265</v>
      </c>
      <c r="X564">
        <v>30</v>
      </c>
    </row>
    <row r="565" spans="1:24" x14ac:dyDescent="0.3">
      <c r="A565">
        <v>435</v>
      </c>
      <c r="B565">
        <v>49</v>
      </c>
      <c r="C565">
        <v>-19</v>
      </c>
      <c r="D565" s="1">
        <v>41481</v>
      </c>
      <c r="E565">
        <v>392</v>
      </c>
      <c r="F565">
        <v>65</v>
      </c>
      <c r="G565" t="s">
        <v>40</v>
      </c>
      <c r="H565" t="s">
        <v>37</v>
      </c>
      <c r="I565">
        <v>16</v>
      </c>
      <c r="J565" t="s">
        <v>41</v>
      </c>
      <c r="K565" t="s">
        <v>46</v>
      </c>
      <c r="L565" t="s">
        <v>53</v>
      </c>
      <c r="M565">
        <v>31</v>
      </c>
      <c r="N565">
        <v>121</v>
      </c>
      <c r="O565" t="s">
        <v>50</v>
      </c>
      <c r="P565">
        <v>50</v>
      </c>
      <c r="Q565">
        <v>80</v>
      </c>
      <c r="R565">
        <v>50</v>
      </c>
      <c r="S565">
        <v>130</v>
      </c>
      <c r="T565">
        <v>44</v>
      </c>
      <c r="U565" t="s">
        <v>36</v>
      </c>
      <c r="V565" s="2">
        <v>0.256198347107438</v>
      </c>
      <c r="W565" s="2">
        <v>0.5950413223140496</v>
      </c>
      <c r="X565">
        <v>28</v>
      </c>
    </row>
    <row r="566" spans="1:24" x14ac:dyDescent="0.3">
      <c r="A566">
        <v>509</v>
      </c>
      <c r="B566">
        <v>65</v>
      </c>
      <c r="C566">
        <v>4</v>
      </c>
      <c r="D566" s="1">
        <v>41482</v>
      </c>
      <c r="E566">
        <v>403</v>
      </c>
      <c r="F566">
        <v>80</v>
      </c>
      <c r="G566" t="s">
        <v>40</v>
      </c>
      <c r="H566" t="s">
        <v>37</v>
      </c>
      <c r="I566">
        <v>24</v>
      </c>
      <c r="J566" t="s">
        <v>41</v>
      </c>
      <c r="K566" t="s">
        <v>42</v>
      </c>
      <c r="L566" t="s">
        <v>54</v>
      </c>
      <c r="M566">
        <v>34</v>
      </c>
      <c r="N566">
        <v>155</v>
      </c>
      <c r="O566" t="s">
        <v>61</v>
      </c>
      <c r="P566">
        <v>60</v>
      </c>
      <c r="Q566">
        <v>80</v>
      </c>
      <c r="R566">
        <v>30</v>
      </c>
      <c r="S566">
        <v>140</v>
      </c>
      <c r="T566">
        <v>57</v>
      </c>
      <c r="U566" t="s">
        <v>36</v>
      </c>
      <c r="V566" s="2">
        <v>0.21935483870967742</v>
      </c>
      <c r="W566" s="2">
        <v>0.58064516129032262</v>
      </c>
      <c r="X566">
        <v>33</v>
      </c>
    </row>
    <row r="567" spans="1:24" x14ac:dyDescent="0.3">
      <c r="A567">
        <v>318</v>
      </c>
      <c r="B567">
        <v>68</v>
      </c>
      <c r="C567">
        <v>9</v>
      </c>
      <c r="D567" s="1">
        <v>41483</v>
      </c>
      <c r="E567">
        <v>619</v>
      </c>
      <c r="F567">
        <v>85</v>
      </c>
      <c r="G567" t="s">
        <v>40</v>
      </c>
      <c r="H567" t="s">
        <v>30</v>
      </c>
      <c r="I567">
        <v>25</v>
      </c>
      <c r="J567" t="s">
        <v>24</v>
      </c>
      <c r="K567" t="s">
        <v>25</v>
      </c>
      <c r="L567" t="s">
        <v>26</v>
      </c>
      <c r="M567">
        <v>39</v>
      </c>
      <c r="N567">
        <v>163</v>
      </c>
      <c r="O567" t="s">
        <v>56</v>
      </c>
      <c r="P567">
        <v>60</v>
      </c>
      <c r="Q567">
        <v>80</v>
      </c>
      <c r="R567">
        <v>30</v>
      </c>
      <c r="S567">
        <v>140</v>
      </c>
      <c r="T567">
        <v>59</v>
      </c>
      <c r="U567" t="s">
        <v>28</v>
      </c>
      <c r="V567" s="2">
        <v>0.2392638036809816</v>
      </c>
      <c r="W567" s="2">
        <v>0.58282208588957052</v>
      </c>
      <c r="X567">
        <v>34</v>
      </c>
    </row>
    <row r="568" spans="1:24" x14ac:dyDescent="0.3">
      <c r="A568">
        <v>214</v>
      </c>
      <c r="B568">
        <v>39</v>
      </c>
      <c r="C568">
        <v>-54</v>
      </c>
      <c r="D568" s="1">
        <v>41484</v>
      </c>
      <c r="E568">
        <v>541</v>
      </c>
      <c r="F568">
        <v>51</v>
      </c>
      <c r="G568" t="s">
        <v>22</v>
      </c>
      <c r="H568" t="s">
        <v>30</v>
      </c>
      <c r="I568">
        <v>12</v>
      </c>
      <c r="J568" t="s">
        <v>41</v>
      </c>
      <c r="K568" t="s">
        <v>46</v>
      </c>
      <c r="L568" t="s">
        <v>47</v>
      </c>
      <c r="M568">
        <v>26</v>
      </c>
      <c r="N568">
        <v>90</v>
      </c>
      <c r="O568" t="s">
        <v>31</v>
      </c>
      <c r="P568">
        <v>40</v>
      </c>
      <c r="Q568">
        <v>90</v>
      </c>
      <c r="R568">
        <v>80</v>
      </c>
      <c r="S568">
        <v>130</v>
      </c>
      <c r="T568">
        <v>25</v>
      </c>
      <c r="U568" t="s">
        <v>28</v>
      </c>
      <c r="V568" s="2">
        <v>0.28888888888888886</v>
      </c>
      <c r="W568" s="2">
        <v>0.56666666666666665</v>
      </c>
      <c r="X568">
        <v>13</v>
      </c>
    </row>
    <row r="569" spans="1:24" x14ac:dyDescent="0.3">
      <c r="A569">
        <v>936</v>
      </c>
      <c r="B569">
        <v>239</v>
      </c>
      <c r="C569">
        <v>-155</v>
      </c>
      <c r="D569" s="1">
        <v>41485</v>
      </c>
      <c r="E569">
        <v>1246</v>
      </c>
      <c r="F569">
        <v>281</v>
      </c>
      <c r="G569" t="s">
        <v>22</v>
      </c>
      <c r="H569" t="s">
        <v>30</v>
      </c>
      <c r="I569">
        <v>74</v>
      </c>
      <c r="J569" t="s">
        <v>41</v>
      </c>
      <c r="K569" t="s">
        <v>46</v>
      </c>
      <c r="L569" t="s">
        <v>53</v>
      </c>
      <c r="M569">
        <v>185</v>
      </c>
      <c r="N569">
        <v>520</v>
      </c>
      <c r="O569" t="s">
        <v>31</v>
      </c>
      <c r="P569">
        <v>350</v>
      </c>
      <c r="Q569">
        <v>420</v>
      </c>
      <c r="R569">
        <v>340</v>
      </c>
      <c r="S569">
        <v>770</v>
      </c>
      <c r="T569">
        <v>96</v>
      </c>
      <c r="U569" t="s">
        <v>36</v>
      </c>
      <c r="V569" s="2">
        <v>0.35576923076923078</v>
      </c>
      <c r="W569" s="2">
        <v>0.54038461538461535</v>
      </c>
      <c r="X569">
        <v>22</v>
      </c>
    </row>
    <row r="570" spans="1:24" x14ac:dyDescent="0.3">
      <c r="A570">
        <v>210</v>
      </c>
      <c r="B570">
        <v>123</v>
      </c>
      <c r="C570">
        <v>33</v>
      </c>
      <c r="D570" s="1">
        <v>41486</v>
      </c>
      <c r="E570">
        <v>915</v>
      </c>
      <c r="F570">
        <v>179</v>
      </c>
      <c r="G570" t="s">
        <v>22</v>
      </c>
      <c r="H570" t="s">
        <v>30</v>
      </c>
      <c r="I570">
        <v>34</v>
      </c>
      <c r="J570" t="s">
        <v>41</v>
      </c>
      <c r="K570" t="s">
        <v>42</v>
      </c>
      <c r="L570" t="s">
        <v>54</v>
      </c>
      <c r="M570">
        <v>133</v>
      </c>
      <c r="N570">
        <v>302</v>
      </c>
      <c r="O570" t="s">
        <v>31</v>
      </c>
      <c r="P570">
        <v>70</v>
      </c>
      <c r="Q570">
        <v>120</v>
      </c>
      <c r="R570">
        <v>100</v>
      </c>
      <c r="S570">
        <v>190</v>
      </c>
      <c r="T570">
        <v>46</v>
      </c>
      <c r="U570" t="s">
        <v>36</v>
      </c>
      <c r="V570" s="2">
        <v>0.44039735099337746</v>
      </c>
      <c r="W570" s="2">
        <v>0.5927152317880795</v>
      </c>
      <c r="X570">
        <v>12</v>
      </c>
    </row>
    <row r="571" spans="1:24" x14ac:dyDescent="0.3">
      <c r="A571">
        <v>225</v>
      </c>
      <c r="B571">
        <v>48</v>
      </c>
      <c r="C571">
        <v>-35</v>
      </c>
      <c r="D571" s="1">
        <v>41487</v>
      </c>
      <c r="E571">
        <v>851</v>
      </c>
      <c r="F571">
        <v>70</v>
      </c>
      <c r="G571" t="s">
        <v>40</v>
      </c>
      <c r="H571" t="s">
        <v>30</v>
      </c>
      <c r="I571">
        <v>13</v>
      </c>
      <c r="J571" t="s">
        <v>41</v>
      </c>
      <c r="K571" t="s">
        <v>46</v>
      </c>
      <c r="L571" t="s">
        <v>47</v>
      </c>
      <c r="M571">
        <v>45</v>
      </c>
      <c r="N571">
        <v>118</v>
      </c>
      <c r="O571" t="s">
        <v>56</v>
      </c>
      <c r="P571">
        <v>70</v>
      </c>
      <c r="Q571">
        <v>90</v>
      </c>
      <c r="R571">
        <v>80</v>
      </c>
      <c r="S571">
        <v>160</v>
      </c>
      <c r="T571">
        <v>25</v>
      </c>
      <c r="U571" t="s">
        <v>28</v>
      </c>
      <c r="V571" s="2">
        <v>0.38135593220338981</v>
      </c>
      <c r="W571" s="2">
        <v>0.59322033898305082</v>
      </c>
      <c r="X571">
        <v>12</v>
      </c>
    </row>
    <row r="572" spans="1:24" x14ac:dyDescent="0.3">
      <c r="A572">
        <v>225</v>
      </c>
      <c r="B572">
        <v>48</v>
      </c>
      <c r="C572">
        <v>-33</v>
      </c>
      <c r="D572" s="1">
        <v>41488</v>
      </c>
      <c r="E572">
        <v>829</v>
      </c>
      <c r="F572">
        <v>71</v>
      </c>
      <c r="G572" t="s">
        <v>40</v>
      </c>
      <c r="H572" t="s">
        <v>30</v>
      </c>
      <c r="I572">
        <v>13</v>
      </c>
      <c r="J572" t="s">
        <v>41</v>
      </c>
      <c r="K572" t="s">
        <v>46</v>
      </c>
      <c r="L572" t="s">
        <v>53</v>
      </c>
      <c r="M572">
        <v>47</v>
      </c>
      <c r="N572">
        <v>119</v>
      </c>
      <c r="O572" t="s">
        <v>56</v>
      </c>
      <c r="P572">
        <v>70</v>
      </c>
      <c r="Q572">
        <v>90</v>
      </c>
      <c r="R572">
        <v>80</v>
      </c>
      <c r="S572">
        <v>160</v>
      </c>
      <c r="T572">
        <v>24</v>
      </c>
      <c r="U572" t="s">
        <v>36</v>
      </c>
      <c r="V572" s="2">
        <v>0.3949579831932773</v>
      </c>
      <c r="W572" s="2">
        <v>0.59663865546218486</v>
      </c>
      <c r="X572">
        <v>11</v>
      </c>
    </row>
    <row r="573" spans="1:24" x14ac:dyDescent="0.3">
      <c r="A573">
        <v>505</v>
      </c>
      <c r="B573">
        <v>45</v>
      </c>
      <c r="C573">
        <v>-57</v>
      </c>
      <c r="D573" s="1">
        <v>41489</v>
      </c>
      <c r="E573">
        <v>447</v>
      </c>
      <c r="F573">
        <v>69</v>
      </c>
      <c r="G573" t="s">
        <v>40</v>
      </c>
      <c r="H573" t="s">
        <v>30</v>
      </c>
      <c r="I573">
        <v>14</v>
      </c>
      <c r="J573" t="s">
        <v>41</v>
      </c>
      <c r="K573" t="s">
        <v>46</v>
      </c>
      <c r="L573" t="s">
        <v>53</v>
      </c>
      <c r="M573">
        <v>23</v>
      </c>
      <c r="N573">
        <v>114</v>
      </c>
      <c r="O573" t="s">
        <v>65</v>
      </c>
      <c r="P573">
        <v>50</v>
      </c>
      <c r="Q573">
        <v>110</v>
      </c>
      <c r="R573">
        <v>80</v>
      </c>
      <c r="S573">
        <v>160</v>
      </c>
      <c r="T573">
        <v>46</v>
      </c>
      <c r="U573" t="s">
        <v>36</v>
      </c>
      <c r="V573" s="2">
        <v>0.20175438596491227</v>
      </c>
      <c r="W573" s="2">
        <v>0.60526315789473684</v>
      </c>
      <c r="X573">
        <v>32</v>
      </c>
    </row>
    <row r="574" spans="1:24" x14ac:dyDescent="0.3">
      <c r="A574">
        <v>918</v>
      </c>
      <c r="B574">
        <v>90</v>
      </c>
      <c r="C574">
        <v>-66</v>
      </c>
      <c r="D574" s="1">
        <v>41490</v>
      </c>
      <c r="E574">
        <v>572</v>
      </c>
      <c r="F574">
        <v>115</v>
      </c>
      <c r="G574" t="s">
        <v>40</v>
      </c>
      <c r="H574" t="s">
        <v>30</v>
      </c>
      <c r="I574">
        <v>29</v>
      </c>
      <c r="J574" t="s">
        <v>41</v>
      </c>
      <c r="K574" t="s">
        <v>46</v>
      </c>
      <c r="L574" t="s">
        <v>53</v>
      </c>
      <c r="M574">
        <v>74</v>
      </c>
      <c r="N574">
        <v>205</v>
      </c>
      <c r="O574" t="s">
        <v>48</v>
      </c>
      <c r="P574">
        <v>130</v>
      </c>
      <c r="Q574">
        <v>160</v>
      </c>
      <c r="R574">
        <v>140</v>
      </c>
      <c r="S574">
        <v>290</v>
      </c>
      <c r="T574">
        <v>41</v>
      </c>
      <c r="U574" t="s">
        <v>36</v>
      </c>
      <c r="V574" s="2">
        <v>0.36097560975609755</v>
      </c>
      <c r="W574" s="2">
        <v>0.56097560975609762</v>
      </c>
      <c r="X574">
        <v>12</v>
      </c>
    </row>
    <row r="575" spans="1:24" x14ac:dyDescent="0.3">
      <c r="A575">
        <v>505</v>
      </c>
      <c r="B575">
        <v>25</v>
      </c>
      <c r="C575">
        <v>-22</v>
      </c>
      <c r="D575" s="1">
        <v>41491</v>
      </c>
      <c r="E575">
        <v>-466</v>
      </c>
      <c r="F575">
        <v>31</v>
      </c>
      <c r="G575" t="s">
        <v>40</v>
      </c>
      <c r="H575" t="s">
        <v>30</v>
      </c>
      <c r="I575">
        <v>9</v>
      </c>
      <c r="J575" t="s">
        <v>41</v>
      </c>
      <c r="K575" t="s">
        <v>42</v>
      </c>
      <c r="L575" t="s">
        <v>55</v>
      </c>
      <c r="M575">
        <v>-12</v>
      </c>
      <c r="N575">
        <v>56</v>
      </c>
      <c r="O575" t="s">
        <v>65</v>
      </c>
      <c r="P575">
        <v>10</v>
      </c>
      <c r="Q575">
        <v>20</v>
      </c>
      <c r="R575">
        <v>10</v>
      </c>
      <c r="S575">
        <v>30</v>
      </c>
      <c r="T575">
        <v>43</v>
      </c>
      <c r="U575" t="s">
        <v>36</v>
      </c>
      <c r="V575" s="2">
        <v>-0.21428571428571427</v>
      </c>
      <c r="W575" s="2">
        <v>0.5535714285714286</v>
      </c>
      <c r="X575">
        <v>34</v>
      </c>
    </row>
    <row r="576" spans="1:24" x14ac:dyDescent="0.3">
      <c r="A576">
        <v>225</v>
      </c>
      <c r="B576">
        <v>103</v>
      </c>
      <c r="C576">
        <v>-23</v>
      </c>
      <c r="D576" s="1">
        <v>41492</v>
      </c>
      <c r="E576">
        <v>564</v>
      </c>
      <c r="F576">
        <v>133</v>
      </c>
      <c r="G576" t="s">
        <v>40</v>
      </c>
      <c r="H576" t="s">
        <v>30</v>
      </c>
      <c r="I576">
        <v>33</v>
      </c>
      <c r="J576" t="s">
        <v>24</v>
      </c>
      <c r="K576" t="s">
        <v>25</v>
      </c>
      <c r="L576" t="s">
        <v>58</v>
      </c>
      <c r="M576">
        <v>87</v>
      </c>
      <c r="N576">
        <v>236</v>
      </c>
      <c r="O576" t="s">
        <v>56</v>
      </c>
      <c r="P576">
        <v>80</v>
      </c>
      <c r="Q576">
        <v>130</v>
      </c>
      <c r="R576">
        <v>110</v>
      </c>
      <c r="S576">
        <v>210</v>
      </c>
      <c r="T576">
        <v>46</v>
      </c>
      <c r="U576" t="s">
        <v>28</v>
      </c>
      <c r="V576" s="2">
        <v>0.36864406779661019</v>
      </c>
      <c r="W576" s="2">
        <v>0.56355932203389836</v>
      </c>
      <c r="X576">
        <v>13</v>
      </c>
    </row>
    <row r="577" spans="1:24" x14ac:dyDescent="0.3">
      <c r="A577">
        <v>504</v>
      </c>
      <c r="B577">
        <v>79</v>
      </c>
      <c r="C577">
        <v>-26</v>
      </c>
      <c r="D577" s="1">
        <v>41493</v>
      </c>
      <c r="E577">
        <v>593</v>
      </c>
      <c r="F577">
        <v>98</v>
      </c>
      <c r="G577" t="s">
        <v>40</v>
      </c>
      <c r="H577" t="s">
        <v>30</v>
      </c>
      <c r="I577">
        <v>30</v>
      </c>
      <c r="J577" t="s">
        <v>24</v>
      </c>
      <c r="K577" t="s">
        <v>25</v>
      </c>
      <c r="L577" t="s">
        <v>26</v>
      </c>
      <c r="M577">
        <v>34</v>
      </c>
      <c r="N577">
        <v>177</v>
      </c>
      <c r="O577" t="s">
        <v>56</v>
      </c>
      <c r="P577">
        <v>60</v>
      </c>
      <c r="Q577">
        <v>90</v>
      </c>
      <c r="R577">
        <v>60</v>
      </c>
      <c r="S577">
        <v>150</v>
      </c>
      <c r="T577">
        <v>64</v>
      </c>
      <c r="U577" t="s">
        <v>28</v>
      </c>
      <c r="V577" s="2">
        <v>0.19209039548022599</v>
      </c>
      <c r="W577" s="2">
        <v>0.5536723163841808</v>
      </c>
      <c r="X577">
        <v>34</v>
      </c>
    </row>
    <row r="578" spans="1:24" x14ac:dyDescent="0.3">
      <c r="A578">
        <v>405</v>
      </c>
      <c r="B578">
        <v>96</v>
      </c>
      <c r="C578">
        <v>-23</v>
      </c>
      <c r="D578" s="1">
        <v>41494</v>
      </c>
      <c r="E578">
        <v>683</v>
      </c>
      <c r="F578">
        <v>134</v>
      </c>
      <c r="G578" t="s">
        <v>40</v>
      </c>
      <c r="H578" t="s">
        <v>30</v>
      </c>
      <c r="I578">
        <v>87</v>
      </c>
      <c r="J578" t="s">
        <v>24</v>
      </c>
      <c r="K578" t="s">
        <v>25</v>
      </c>
      <c r="L578" t="s">
        <v>26</v>
      </c>
      <c r="M578">
        <v>17</v>
      </c>
      <c r="N578">
        <v>230</v>
      </c>
      <c r="O578" t="s">
        <v>48</v>
      </c>
      <c r="P578">
        <v>80</v>
      </c>
      <c r="Q578">
        <v>120</v>
      </c>
      <c r="R578">
        <v>40</v>
      </c>
      <c r="S578">
        <v>200</v>
      </c>
      <c r="T578">
        <v>117</v>
      </c>
      <c r="U578" t="s">
        <v>28</v>
      </c>
      <c r="V578" s="2">
        <v>7.3913043478260873E-2</v>
      </c>
      <c r="W578" s="2">
        <v>0.58260869565217388</v>
      </c>
      <c r="X578">
        <v>30</v>
      </c>
    </row>
    <row r="579" spans="1:24" x14ac:dyDescent="0.3">
      <c r="A579">
        <v>956</v>
      </c>
      <c r="B579">
        <v>225</v>
      </c>
      <c r="C579">
        <v>-56</v>
      </c>
      <c r="D579" s="1">
        <v>41495</v>
      </c>
      <c r="E579">
        <v>1272</v>
      </c>
      <c r="F579">
        <v>265</v>
      </c>
      <c r="G579" t="s">
        <v>22</v>
      </c>
      <c r="H579" t="s">
        <v>30</v>
      </c>
      <c r="I579">
        <v>69</v>
      </c>
      <c r="J579" t="s">
        <v>41</v>
      </c>
      <c r="K579" t="s">
        <v>46</v>
      </c>
      <c r="L579" t="s">
        <v>53</v>
      </c>
      <c r="M579">
        <v>174</v>
      </c>
      <c r="N579">
        <v>490</v>
      </c>
      <c r="O579" t="s">
        <v>31</v>
      </c>
      <c r="P579">
        <v>260</v>
      </c>
      <c r="Q579">
        <v>320</v>
      </c>
      <c r="R579">
        <v>230</v>
      </c>
      <c r="S579">
        <v>580</v>
      </c>
      <c r="T579">
        <v>91</v>
      </c>
      <c r="U579" t="s">
        <v>36</v>
      </c>
      <c r="V579" s="2">
        <v>0.35510204081632651</v>
      </c>
      <c r="W579" s="2">
        <v>0.54081632653061229</v>
      </c>
      <c r="X579">
        <v>22</v>
      </c>
    </row>
    <row r="580" spans="1:24" x14ac:dyDescent="0.3">
      <c r="A580">
        <v>817</v>
      </c>
      <c r="B580">
        <v>75</v>
      </c>
      <c r="C580">
        <v>19</v>
      </c>
      <c r="D580" s="1">
        <v>41496</v>
      </c>
      <c r="E580">
        <v>-1050</v>
      </c>
      <c r="F580">
        <v>114</v>
      </c>
      <c r="G580" t="s">
        <v>22</v>
      </c>
      <c r="H580" t="s">
        <v>30</v>
      </c>
      <c r="I580">
        <v>24</v>
      </c>
      <c r="J580" t="s">
        <v>41</v>
      </c>
      <c r="K580" t="s">
        <v>42</v>
      </c>
      <c r="L580" t="s">
        <v>55</v>
      </c>
      <c r="M580">
        <v>59</v>
      </c>
      <c r="N580">
        <v>189</v>
      </c>
      <c r="O580" t="s">
        <v>31</v>
      </c>
      <c r="P580">
        <v>50</v>
      </c>
      <c r="Q580">
        <v>90</v>
      </c>
      <c r="R580">
        <v>40</v>
      </c>
      <c r="S580">
        <v>140</v>
      </c>
      <c r="T580">
        <v>55</v>
      </c>
      <c r="U580" t="s">
        <v>36</v>
      </c>
      <c r="V580" s="2">
        <v>0.31216931216931215</v>
      </c>
      <c r="W580" s="2">
        <v>0.60317460317460314</v>
      </c>
      <c r="X580">
        <v>31</v>
      </c>
    </row>
    <row r="581" spans="1:24" x14ac:dyDescent="0.3">
      <c r="A581">
        <v>409</v>
      </c>
      <c r="B581">
        <v>118</v>
      </c>
      <c r="C581">
        <v>27</v>
      </c>
      <c r="D581" s="1">
        <v>41497</v>
      </c>
      <c r="E581">
        <v>930</v>
      </c>
      <c r="F581">
        <v>172</v>
      </c>
      <c r="G581" t="s">
        <v>22</v>
      </c>
      <c r="H581" t="s">
        <v>30</v>
      </c>
      <c r="I581">
        <v>33</v>
      </c>
      <c r="J581" t="s">
        <v>41</v>
      </c>
      <c r="K581" t="s">
        <v>42</v>
      </c>
      <c r="L581" t="s">
        <v>54</v>
      </c>
      <c r="M581">
        <v>127</v>
      </c>
      <c r="N581">
        <v>290</v>
      </c>
      <c r="O581" t="s">
        <v>31</v>
      </c>
      <c r="P581">
        <v>90</v>
      </c>
      <c r="Q581">
        <v>130</v>
      </c>
      <c r="R581">
        <v>100</v>
      </c>
      <c r="S581">
        <v>220</v>
      </c>
      <c r="T581">
        <v>45</v>
      </c>
      <c r="U581" t="s">
        <v>36</v>
      </c>
      <c r="V581" s="2">
        <v>0.43793103448275861</v>
      </c>
      <c r="W581" s="2">
        <v>0.59310344827586203</v>
      </c>
      <c r="X581">
        <v>12</v>
      </c>
    </row>
    <row r="582" spans="1:24" x14ac:dyDescent="0.3">
      <c r="A582">
        <v>918</v>
      </c>
      <c r="B582">
        <v>78</v>
      </c>
      <c r="C582">
        <v>22</v>
      </c>
      <c r="D582" s="1">
        <v>41498</v>
      </c>
      <c r="E582">
        <v>798</v>
      </c>
      <c r="F582">
        <v>119</v>
      </c>
      <c r="G582" t="s">
        <v>40</v>
      </c>
      <c r="H582" t="s">
        <v>30</v>
      </c>
      <c r="I582">
        <v>25</v>
      </c>
      <c r="J582" t="s">
        <v>41</v>
      </c>
      <c r="K582" t="s">
        <v>42</v>
      </c>
      <c r="L582" t="s">
        <v>43</v>
      </c>
      <c r="M582">
        <v>62</v>
      </c>
      <c r="N582">
        <v>197</v>
      </c>
      <c r="O582" t="s">
        <v>48</v>
      </c>
      <c r="P582">
        <v>60</v>
      </c>
      <c r="Q582">
        <v>90</v>
      </c>
      <c r="R582">
        <v>40</v>
      </c>
      <c r="S582">
        <v>150</v>
      </c>
      <c r="T582">
        <v>57</v>
      </c>
      <c r="U582" t="s">
        <v>28</v>
      </c>
      <c r="V582" s="2">
        <v>0.31472081218274112</v>
      </c>
      <c r="W582" s="2">
        <v>0.60406091370558379</v>
      </c>
      <c r="X582">
        <v>32</v>
      </c>
    </row>
    <row r="583" spans="1:24" x14ac:dyDescent="0.3">
      <c r="A583">
        <v>918</v>
      </c>
      <c r="B583">
        <v>88</v>
      </c>
      <c r="C583">
        <v>-19</v>
      </c>
      <c r="D583" s="1">
        <v>41499</v>
      </c>
      <c r="E583">
        <v>561</v>
      </c>
      <c r="F583">
        <v>112</v>
      </c>
      <c r="G583" t="s">
        <v>40</v>
      </c>
      <c r="H583" t="s">
        <v>30</v>
      </c>
      <c r="I583">
        <v>29</v>
      </c>
      <c r="J583" t="s">
        <v>41</v>
      </c>
      <c r="K583" t="s">
        <v>46</v>
      </c>
      <c r="L583" t="s">
        <v>53</v>
      </c>
      <c r="M583">
        <v>71</v>
      </c>
      <c r="N583">
        <v>200</v>
      </c>
      <c r="O583" t="s">
        <v>48</v>
      </c>
      <c r="P583">
        <v>100</v>
      </c>
      <c r="Q583">
        <v>130</v>
      </c>
      <c r="R583">
        <v>90</v>
      </c>
      <c r="S583">
        <v>230</v>
      </c>
      <c r="T583">
        <v>41</v>
      </c>
      <c r="U583" t="s">
        <v>36</v>
      </c>
      <c r="V583" s="2">
        <v>0.35499999999999998</v>
      </c>
      <c r="W583" s="2">
        <v>0.56000000000000005</v>
      </c>
      <c r="X583">
        <v>12</v>
      </c>
    </row>
    <row r="584" spans="1:24" x14ac:dyDescent="0.3">
      <c r="A584">
        <v>918</v>
      </c>
      <c r="B584">
        <v>102</v>
      </c>
      <c r="C584">
        <v>29</v>
      </c>
      <c r="D584" s="1">
        <v>41500</v>
      </c>
      <c r="E584">
        <v>-2003</v>
      </c>
      <c r="F584">
        <v>143</v>
      </c>
      <c r="G584" t="s">
        <v>40</v>
      </c>
      <c r="H584" t="s">
        <v>30</v>
      </c>
      <c r="I584">
        <v>31</v>
      </c>
      <c r="J584" t="s">
        <v>41</v>
      </c>
      <c r="K584" t="s">
        <v>42</v>
      </c>
      <c r="L584" t="s">
        <v>55</v>
      </c>
      <c r="M584">
        <v>89</v>
      </c>
      <c r="N584">
        <v>245</v>
      </c>
      <c r="O584" t="s">
        <v>48</v>
      </c>
      <c r="P584">
        <v>80</v>
      </c>
      <c r="Q584">
        <v>100</v>
      </c>
      <c r="R584">
        <v>60</v>
      </c>
      <c r="S584">
        <v>180</v>
      </c>
      <c r="T584">
        <v>54</v>
      </c>
      <c r="U584" t="s">
        <v>36</v>
      </c>
      <c r="V584" s="2">
        <v>0.36326530612244901</v>
      </c>
      <c r="W584" s="2">
        <v>0.58367346938775511</v>
      </c>
      <c r="X584">
        <v>23</v>
      </c>
    </row>
    <row r="585" spans="1:24" x14ac:dyDescent="0.3">
      <c r="A585">
        <v>337</v>
      </c>
      <c r="B585">
        <v>101</v>
      </c>
      <c r="C585">
        <v>5</v>
      </c>
      <c r="D585" s="1">
        <v>41501</v>
      </c>
      <c r="E585">
        <v>552</v>
      </c>
      <c r="F585">
        <v>130</v>
      </c>
      <c r="G585" t="s">
        <v>40</v>
      </c>
      <c r="H585" t="s">
        <v>30</v>
      </c>
      <c r="I585">
        <v>33</v>
      </c>
      <c r="J585" t="s">
        <v>24</v>
      </c>
      <c r="K585" t="s">
        <v>25</v>
      </c>
      <c r="L585" t="s">
        <v>58</v>
      </c>
      <c r="M585">
        <v>85</v>
      </c>
      <c r="N585">
        <v>231</v>
      </c>
      <c r="O585" t="s">
        <v>56</v>
      </c>
      <c r="P585">
        <v>90</v>
      </c>
      <c r="Q585">
        <v>120</v>
      </c>
      <c r="R585">
        <v>80</v>
      </c>
      <c r="S585">
        <v>210</v>
      </c>
      <c r="T585">
        <v>45</v>
      </c>
      <c r="U585" t="s">
        <v>28</v>
      </c>
      <c r="V585" s="2">
        <v>0.36796536796536794</v>
      </c>
      <c r="W585" s="2">
        <v>0.56277056277056281</v>
      </c>
      <c r="X585">
        <v>12</v>
      </c>
    </row>
    <row r="586" spans="1:24" x14ac:dyDescent="0.3">
      <c r="A586">
        <v>505</v>
      </c>
      <c r="B586">
        <v>15</v>
      </c>
      <c r="C586">
        <v>-1</v>
      </c>
      <c r="D586" s="1">
        <v>41502</v>
      </c>
      <c r="E586">
        <v>848</v>
      </c>
      <c r="F586">
        <v>24</v>
      </c>
      <c r="G586" t="s">
        <v>40</v>
      </c>
      <c r="H586" t="s">
        <v>30</v>
      </c>
      <c r="I586">
        <v>4</v>
      </c>
      <c r="J586" t="s">
        <v>24</v>
      </c>
      <c r="K586" t="s">
        <v>25</v>
      </c>
      <c r="L586" t="s">
        <v>58</v>
      </c>
      <c r="M586">
        <v>9</v>
      </c>
      <c r="N586">
        <v>39</v>
      </c>
      <c r="O586" t="s">
        <v>65</v>
      </c>
      <c r="P586">
        <v>10</v>
      </c>
      <c r="Q586">
        <v>20</v>
      </c>
      <c r="R586">
        <v>10</v>
      </c>
      <c r="S586">
        <v>30</v>
      </c>
      <c r="T586">
        <v>15</v>
      </c>
      <c r="U586" t="s">
        <v>28</v>
      </c>
      <c r="V586" s="2">
        <v>0.23076923076923078</v>
      </c>
      <c r="W586" s="2">
        <v>0.61538461538461542</v>
      </c>
      <c r="X586">
        <v>11</v>
      </c>
    </row>
    <row r="587" spans="1:24" x14ac:dyDescent="0.3">
      <c r="A587">
        <v>337</v>
      </c>
      <c r="B587">
        <v>82</v>
      </c>
      <c r="C587">
        <v>-2</v>
      </c>
      <c r="D587" s="1">
        <v>41503</v>
      </c>
      <c r="E587">
        <v>601</v>
      </c>
      <c r="F587">
        <v>102</v>
      </c>
      <c r="G587" t="s">
        <v>40</v>
      </c>
      <c r="H587" t="s">
        <v>30</v>
      </c>
      <c r="I587">
        <v>31</v>
      </c>
      <c r="J587" t="s">
        <v>24</v>
      </c>
      <c r="K587" t="s">
        <v>25</v>
      </c>
      <c r="L587" t="s">
        <v>26</v>
      </c>
      <c r="M587">
        <v>38</v>
      </c>
      <c r="N587">
        <v>184</v>
      </c>
      <c r="O587" t="s">
        <v>56</v>
      </c>
      <c r="P587">
        <v>70</v>
      </c>
      <c r="Q587">
        <v>100</v>
      </c>
      <c r="R587">
        <v>40</v>
      </c>
      <c r="S587">
        <v>170</v>
      </c>
      <c r="T587">
        <v>64</v>
      </c>
      <c r="U587" t="s">
        <v>28</v>
      </c>
      <c r="V587" s="2">
        <v>0.20652173913043478</v>
      </c>
      <c r="W587" s="2">
        <v>0.55434782608695654</v>
      </c>
      <c r="X587">
        <v>33</v>
      </c>
    </row>
    <row r="588" spans="1:24" x14ac:dyDescent="0.3">
      <c r="A588">
        <v>580</v>
      </c>
      <c r="B588">
        <v>94</v>
      </c>
      <c r="C588">
        <v>-5</v>
      </c>
      <c r="D588" s="1">
        <v>41504</v>
      </c>
      <c r="E588">
        <v>694</v>
      </c>
      <c r="F588">
        <v>130</v>
      </c>
      <c r="G588" t="s">
        <v>40</v>
      </c>
      <c r="H588" t="s">
        <v>30</v>
      </c>
      <c r="I588">
        <v>85</v>
      </c>
      <c r="J588" t="s">
        <v>24</v>
      </c>
      <c r="K588" t="s">
        <v>25</v>
      </c>
      <c r="L588" t="s">
        <v>26</v>
      </c>
      <c r="M588">
        <v>15</v>
      </c>
      <c r="N588">
        <v>224</v>
      </c>
      <c r="O588" t="s">
        <v>48</v>
      </c>
      <c r="P588">
        <v>80</v>
      </c>
      <c r="Q588">
        <v>120</v>
      </c>
      <c r="R588">
        <v>20</v>
      </c>
      <c r="S588">
        <v>200</v>
      </c>
      <c r="T588">
        <v>115</v>
      </c>
      <c r="U588" t="s">
        <v>28</v>
      </c>
      <c r="V588" s="2">
        <v>6.6964285714285712E-2</v>
      </c>
      <c r="W588" s="2">
        <v>0.5803571428571429</v>
      </c>
      <c r="X588">
        <v>30</v>
      </c>
    </row>
    <row r="589" spans="1:24" x14ac:dyDescent="0.3">
      <c r="A589">
        <v>972</v>
      </c>
      <c r="B589">
        <v>241</v>
      </c>
      <c r="C589">
        <v>-52</v>
      </c>
      <c r="D589" s="1">
        <v>41505</v>
      </c>
      <c r="E589">
        <v>1321</v>
      </c>
      <c r="F589">
        <v>284</v>
      </c>
      <c r="G589" t="s">
        <v>22</v>
      </c>
      <c r="H589" t="s">
        <v>30</v>
      </c>
      <c r="I589">
        <v>74</v>
      </c>
      <c r="J589" t="s">
        <v>41</v>
      </c>
      <c r="K589" t="s">
        <v>46</v>
      </c>
      <c r="L589" t="s">
        <v>53</v>
      </c>
      <c r="M589">
        <v>188</v>
      </c>
      <c r="N589">
        <v>525</v>
      </c>
      <c r="O589" t="s">
        <v>31</v>
      </c>
      <c r="P589">
        <v>280</v>
      </c>
      <c r="Q589">
        <v>340</v>
      </c>
      <c r="R589">
        <v>240</v>
      </c>
      <c r="S589">
        <v>620</v>
      </c>
      <c r="T589">
        <v>96</v>
      </c>
      <c r="U589" t="s">
        <v>36</v>
      </c>
      <c r="V589" s="2">
        <v>0.35809523809523808</v>
      </c>
      <c r="W589" s="2">
        <v>0.54095238095238096</v>
      </c>
      <c r="X589">
        <v>22</v>
      </c>
    </row>
    <row r="590" spans="1:24" x14ac:dyDescent="0.3">
      <c r="A590">
        <v>972</v>
      </c>
      <c r="B590">
        <v>123</v>
      </c>
      <c r="C590">
        <v>23</v>
      </c>
      <c r="D590" s="1">
        <v>41506</v>
      </c>
      <c r="E590">
        <v>959</v>
      </c>
      <c r="F590">
        <v>179</v>
      </c>
      <c r="G590" t="s">
        <v>22</v>
      </c>
      <c r="H590" t="s">
        <v>30</v>
      </c>
      <c r="I590">
        <v>34</v>
      </c>
      <c r="J590" t="s">
        <v>41</v>
      </c>
      <c r="K590" t="s">
        <v>42</v>
      </c>
      <c r="L590" t="s">
        <v>54</v>
      </c>
      <c r="M590">
        <v>133</v>
      </c>
      <c r="N590">
        <v>302</v>
      </c>
      <c r="O590" t="s">
        <v>31</v>
      </c>
      <c r="P590">
        <v>90</v>
      </c>
      <c r="Q590">
        <v>140</v>
      </c>
      <c r="R590">
        <v>110</v>
      </c>
      <c r="S590">
        <v>230</v>
      </c>
      <c r="T590">
        <v>46</v>
      </c>
      <c r="U590" t="s">
        <v>36</v>
      </c>
      <c r="V590" s="2">
        <v>0.44039735099337746</v>
      </c>
      <c r="W590" s="2">
        <v>0.5927152317880795</v>
      </c>
      <c r="X590">
        <v>12</v>
      </c>
    </row>
    <row r="591" spans="1:24" x14ac:dyDescent="0.3">
      <c r="A591">
        <v>505</v>
      </c>
      <c r="B591">
        <v>92</v>
      </c>
      <c r="C591">
        <v>-24</v>
      </c>
      <c r="D591" s="1">
        <v>41507</v>
      </c>
      <c r="E591">
        <v>1898</v>
      </c>
      <c r="F591">
        <v>68</v>
      </c>
      <c r="G591" t="s">
        <v>40</v>
      </c>
      <c r="H591" t="s">
        <v>30</v>
      </c>
      <c r="I591">
        <v>28</v>
      </c>
      <c r="J591" t="s">
        <v>41</v>
      </c>
      <c r="K591" t="s">
        <v>46</v>
      </c>
      <c r="L591" t="s">
        <v>47</v>
      </c>
      <c r="M591">
        <v>16</v>
      </c>
      <c r="N591">
        <v>160</v>
      </c>
      <c r="O591" t="s">
        <v>65</v>
      </c>
      <c r="P591">
        <v>100</v>
      </c>
      <c r="Q591">
        <v>90</v>
      </c>
      <c r="R591">
        <v>40</v>
      </c>
      <c r="S591">
        <v>190</v>
      </c>
      <c r="T591">
        <v>52</v>
      </c>
      <c r="U591" t="s">
        <v>28</v>
      </c>
      <c r="V591" s="2">
        <v>0.1</v>
      </c>
      <c r="W591" s="2">
        <v>0.42499999999999999</v>
      </c>
      <c r="X591">
        <v>24</v>
      </c>
    </row>
    <row r="592" spans="1:24" x14ac:dyDescent="0.3">
      <c r="A592">
        <v>405</v>
      </c>
      <c r="B592">
        <v>88</v>
      </c>
      <c r="C592">
        <v>12</v>
      </c>
      <c r="D592" s="1">
        <v>41508</v>
      </c>
      <c r="E592">
        <v>817</v>
      </c>
      <c r="F592">
        <v>133</v>
      </c>
      <c r="G592" t="s">
        <v>40</v>
      </c>
      <c r="H592" t="s">
        <v>30</v>
      </c>
      <c r="I592">
        <v>29</v>
      </c>
      <c r="J592" t="s">
        <v>41</v>
      </c>
      <c r="K592" t="s">
        <v>42</v>
      </c>
      <c r="L592" t="s">
        <v>43</v>
      </c>
      <c r="M592">
        <v>72</v>
      </c>
      <c r="N592">
        <v>221</v>
      </c>
      <c r="O592" t="s">
        <v>48</v>
      </c>
      <c r="P592">
        <v>60</v>
      </c>
      <c r="Q592">
        <v>110</v>
      </c>
      <c r="R592">
        <v>60</v>
      </c>
      <c r="S592">
        <v>170</v>
      </c>
      <c r="T592">
        <v>61</v>
      </c>
      <c r="U592" t="s">
        <v>28</v>
      </c>
      <c r="V592" s="2">
        <v>0.32579185520361992</v>
      </c>
      <c r="W592" s="2">
        <v>0.60180995475113119</v>
      </c>
      <c r="X592">
        <v>32</v>
      </c>
    </row>
    <row r="593" spans="1:24" x14ac:dyDescent="0.3">
      <c r="A593">
        <v>318</v>
      </c>
      <c r="B593">
        <v>49</v>
      </c>
      <c r="C593">
        <v>-24</v>
      </c>
      <c r="D593" s="1">
        <v>41509</v>
      </c>
      <c r="E593">
        <v>845</v>
      </c>
      <c r="F593">
        <v>71</v>
      </c>
      <c r="G593" t="s">
        <v>40</v>
      </c>
      <c r="H593" t="s">
        <v>30</v>
      </c>
      <c r="I593">
        <v>13</v>
      </c>
      <c r="J593" t="s">
        <v>41</v>
      </c>
      <c r="K593" t="s">
        <v>46</v>
      </c>
      <c r="L593" t="s">
        <v>53</v>
      </c>
      <c r="M593">
        <v>46</v>
      </c>
      <c r="N593">
        <v>120</v>
      </c>
      <c r="O593" t="s">
        <v>56</v>
      </c>
      <c r="P593">
        <v>50</v>
      </c>
      <c r="Q593">
        <v>90</v>
      </c>
      <c r="R593">
        <v>70</v>
      </c>
      <c r="S593">
        <v>140</v>
      </c>
      <c r="T593">
        <v>25</v>
      </c>
      <c r="U593" t="s">
        <v>36</v>
      </c>
      <c r="V593" s="2">
        <v>0.38333333333333336</v>
      </c>
      <c r="W593" s="2">
        <v>0.59166666666666667</v>
      </c>
      <c r="X593">
        <v>12</v>
      </c>
    </row>
    <row r="594" spans="1:24" x14ac:dyDescent="0.3">
      <c r="A594">
        <v>505</v>
      </c>
      <c r="B594">
        <v>48</v>
      </c>
      <c r="C594">
        <v>-23</v>
      </c>
      <c r="D594" s="1">
        <v>41510</v>
      </c>
      <c r="E594">
        <v>462</v>
      </c>
      <c r="F594">
        <v>74</v>
      </c>
      <c r="G594" t="s">
        <v>40</v>
      </c>
      <c r="H594" t="s">
        <v>30</v>
      </c>
      <c r="I594">
        <v>15</v>
      </c>
      <c r="J594" t="s">
        <v>41</v>
      </c>
      <c r="K594" t="s">
        <v>46</v>
      </c>
      <c r="L594" t="s">
        <v>53</v>
      </c>
      <c r="M594">
        <v>27</v>
      </c>
      <c r="N594">
        <v>122</v>
      </c>
      <c r="O594" t="s">
        <v>65</v>
      </c>
      <c r="P594">
        <v>50</v>
      </c>
      <c r="Q594">
        <v>90</v>
      </c>
      <c r="R594">
        <v>50</v>
      </c>
      <c r="S594">
        <v>140</v>
      </c>
      <c r="T594">
        <v>47</v>
      </c>
      <c r="U594" t="s">
        <v>36</v>
      </c>
      <c r="V594" s="2">
        <v>0.22131147540983606</v>
      </c>
      <c r="W594" s="2">
        <v>0.60655737704918034</v>
      </c>
      <c r="X594">
        <v>32</v>
      </c>
    </row>
    <row r="595" spans="1:24" x14ac:dyDescent="0.3">
      <c r="A595">
        <v>405</v>
      </c>
      <c r="B595">
        <v>81</v>
      </c>
      <c r="C595">
        <v>-34</v>
      </c>
      <c r="D595" s="1">
        <v>41511</v>
      </c>
      <c r="E595">
        <v>551</v>
      </c>
      <c r="F595">
        <v>104</v>
      </c>
      <c r="G595" t="s">
        <v>40</v>
      </c>
      <c r="H595" t="s">
        <v>30</v>
      </c>
      <c r="I595">
        <v>26</v>
      </c>
      <c r="J595" t="s">
        <v>41</v>
      </c>
      <c r="K595" t="s">
        <v>46</v>
      </c>
      <c r="L595" t="s">
        <v>53</v>
      </c>
      <c r="M595">
        <v>66</v>
      </c>
      <c r="N595">
        <v>185</v>
      </c>
      <c r="O595" t="s">
        <v>48</v>
      </c>
      <c r="P595">
        <v>90</v>
      </c>
      <c r="Q595">
        <v>130</v>
      </c>
      <c r="R595">
        <v>100</v>
      </c>
      <c r="S595">
        <v>220</v>
      </c>
      <c r="T595">
        <v>38</v>
      </c>
      <c r="U595" t="s">
        <v>36</v>
      </c>
      <c r="V595" s="2">
        <v>0.35675675675675678</v>
      </c>
      <c r="W595" s="2">
        <v>0.56216216216216219</v>
      </c>
      <c r="X595">
        <v>12</v>
      </c>
    </row>
    <row r="596" spans="1:24" x14ac:dyDescent="0.3">
      <c r="A596">
        <v>505</v>
      </c>
      <c r="B596">
        <v>20</v>
      </c>
      <c r="C596">
        <v>-5</v>
      </c>
      <c r="D596" s="1">
        <v>41512</v>
      </c>
      <c r="E596">
        <v>-598</v>
      </c>
      <c r="F596">
        <v>25</v>
      </c>
      <c r="G596" t="s">
        <v>40</v>
      </c>
      <c r="H596" t="s">
        <v>30</v>
      </c>
      <c r="I596">
        <v>7</v>
      </c>
      <c r="J596" t="s">
        <v>41</v>
      </c>
      <c r="K596" t="s">
        <v>42</v>
      </c>
      <c r="L596" t="s">
        <v>55</v>
      </c>
      <c r="M596">
        <v>-15</v>
      </c>
      <c r="N596">
        <v>45</v>
      </c>
      <c r="O596" t="s">
        <v>65</v>
      </c>
      <c r="P596">
        <v>10</v>
      </c>
      <c r="Q596">
        <v>20</v>
      </c>
      <c r="R596">
        <v>-10</v>
      </c>
      <c r="S596">
        <v>30</v>
      </c>
      <c r="T596">
        <v>40</v>
      </c>
      <c r="U596" t="s">
        <v>36</v>
      </c>
      <c r="V596" s="2">
        <v>-0.33333333333333331</v>
      </c>
      <c r="W596" s="2">
        <v>0.55555555555555558</v>
      </c>
      <c r="X596">
        <v>33</v>
      </c>
    </row>
    <row r="597" spans="1:24" x14ac:dyDescent="0.3">
      <c r="A597">
        <v>918</v>
      </c>
      <c r="B597">
        <v>134</v>
      </c>
      <c r="C597">
        <v>31</v>
      </c>
      <c r="D597" s="1">
        <v>41513</v>
      </c>
      <c r="E597">
        <v>-2248</v>
      </c>
      <c r="F597">
        <v>186</v>
      </c>
      <c r="G597" t="s">
        <v>40</v>
      </c>
      <c r="H597" t="s">
        <v>30</v>
      </c>
      <c r="I597">
        <v>41</v>
      </c>
      <c r="J597" t="s">
        <v>41</v>
      </c>
      <c r="K597" t="s">
        <v>42</v>
      </c>
      <c r="L597" t="s">
        <v>55</v>
      </c>
      <c r="M597">
        <v>121</v>
      </c>
      <c r="N597">
        <v>320</v>
      </c>
      <c r="O597" t="s">
        <v>48</v>
      </c>
      <c r="P597">
        <v>100</v>
      </c>
      <c r="Q597">
        <v>140</v>
      </c>
      <c r="R597">
        <v>90</v>
      </c>
      <c r="S597">
        <v>240</v>
      </c>
      <c r="T597">
        <v>65</v>
      </c>
      <c r="U597" t="s">
        <v>36</v>
      </c>
      <c r="V597" s="2">
        <v>0.37812499999999999</v>
      </c>
      <c r="W597" s="2">
        <v>0.58125000000000004</v>
      </c>
      <c r="X597">
        <v>24</v>
      </c>
    </row>
    <row r="598" spans="1:24" x14ac:dyDescent="0.3">
      <c r="A598">
        <v>225</v>
      </c>
      <c r="B598">
        <v>94</v>
      </c>
      <c r="C598">
        <v>7</v>
      </c>
      <c r="D598" s="1">
        <v>41514</v>
      </c>
      <c r="E598">
        <v>540</v>
      </c>
      <c r="F598">
        <v>120</v>
      </c>
      <c r="G598" t="s">
        <v>40</v>
      </c>
      <c r="H598" t="s">
        <v>30</v>
      </c>
      <c r="I598">
        <v>31</v>
      </c>
      <c r="J598" t="s">
        <v>24</v>
      </c>
      <c r="K598" t="s">
        <v>25</v>
      </c>
      <c r="L598" t="s">
        <v>58</v>
      </c>
      <c r="M598">
        <v>77</v>
      </c>
      <c r="N598">
        <v>214</v>
      </c>
      <c r="O598" t="s">
        <v>56</v>
      </c>
      <c r="P598">
        <v>80</v>
      </c>
      <c r="Q598">
        <v>110</v>
      </c>
      <c r="R598">
        <v>70</v>
      </c>
      <c r="S598">
        <v>190</v>
      </c>
      <c r="T598">
        <v>43</v>
      </c>
      <c r="U598" t="s">
        <v>28</v>
      </c>
      <c r="V598" s="2">
        <v>0.35981308411214952</v>
      </c>
      <c r="W598" s="2">
        <v>0.56074766355140182</v>
      </c>
      <c r="X598">
        <v>12</v>
      </c>
    </row>
    <row r="599" spans="1:24" x14ac:dyDescent="0.3">
      <c r="A599">
        <v>505</v>
      </c>
      <c r="B599">
        <v>16</v>
      </c>
      <c r="C599">
        <v>-1</v>
      </c>
      <c r="D599" s="1">
        <v>41515</v>
      </c>
      <c r="E599">
        <v>851</v>
      </c>
      <c r="F599">
        <v>25</v>
      </c>
      <c r="G599" t="s">
        <v>40</v>
      </c>
      <c r="H599" t="s">
        <v>30</v>
      </c>
      <c r="I599">
        <v>4</v>
      </c>
      <c r="J599" t="s">
        <v>24</v>
      </c>
      <c r="K599" t="s">
        <v>25</v>
      </c>
      <c r="L599" t="s">
        <v>58</v>
      </c>
      <c r="M599">
        <v>9</v>
      </c>
      <c r="N599">
        <v>41</v>
      </c>
      <c r="O599" t="s">
        <v>65</v>
      </c>
      <c r="P599">
        <v>10</v>
      </c>
      <c r="Q599">
        <v>20</v>
      </c>
      <c r="R599">
        <v>10</v>
      </c>
      <c r="S599">
        <v>30</v>
      </c>
      <c r="T599">
        <v>16</v>
      </c>
      <c r="U599" t="s">
        <v>28</v>
      </c>
      <c r="V599" s="2">
        <v>0.21951219512195122</v>
      </c>
      <c r="W599" s="2">
        <v>0.6097560975609756</v>
      </c>
      <c r="X599">
        <v>12</v>
      </c>
    </row>
    <row r="600" spans="1:24" x14ac:dyDescent="0.3">
      <c r="A600">
        <v>580</v>
      </c>
      <c r="B600">
        <v>105</v>
      </c>
      <c r="C600">
        <v>-10</v>
      </c>
      <c r="D600" s="1">
        <v>41516</v>
      </c>
      <c r="E600">
        <v>716</v>
      </c>
      <c r="F600">
        <v>145</v>
      </c>
      <c r="G600" t="s">
        <v>40</v>
      </c>
      <c r="H600" t="s">
        <v>30</v>
      </c>
      <c r="I600">
        <v>95</v>
      </c>
      <c r="J600" t="s">
        <v>24</v>
      </c>
      <c r="K600" t="s">
        <v>25</v>
      </c>
      <c r="L600" t="s">
        <v>26</v>
      </c>
      <c r="M600">
        <v>20</v>
      </c>
      <c r="N600">
        <v>250</v>
      </c>
      <c r="O600" t="s">
        <v>48</v>
      </c>
      <c r="P600">
        <v>90</v>
      </c>
      <c r="Q600">
        <v>140</v>
      </c>
      <c r="R600">
        <v>30</v>
      </c>
      <c r="S600">
        <v>230</v>
      </c>
      <c r="T600">
        <v>125</v>
      </c>
      <c r="U600" t="s">
        <v>28</v>
      </c>
      <c r="V600" s="2">
        <v>0.08</v>
      </c>
      <c r="W600" s="2">
        <v>0.57999999999999996</v>
      </c>
      <c r="X600">
        <v>30</v>
      </c>
    </row>
    <row r="601" spans="1:24" x14ac:dyDescent="0.3">
      <c r="A601">
        <v>281</v>
      </c>
      <c r="B601">
        <v>39</v>
      </c>
      <c r="C601">
        <v>-41</v>
      </c>
      <c r="D601" s="1">
        <v>41517</v>
      </c>
      <c r="E601">
        <v>541</v>
      </c>
      <c r="F601">
        <v>51</v>
      </c>
      <c r="G601" t="s">
        <v>22</v>
      </c>
      <c r="H601" t="s">
        <v>30</v>
      </c>
      <c r="I601">
        <v>12</v>
      </c>
      <c r="J601" t="s">
        <v>41</v>
      </c>
      <c r="K601" t="s">
        <v>46</v>
      </c>
      <c r="L601" t="s">
        <v>47</v>
      </c>
      <c r="M601">
        <v>39</v>
      </c>
      <c r="N601">
        <v>96</v>
      </c>
      <c r="O601" t="s">
        <v>31</v>
      </c>
      <c r="P601">
        <v>40</v>
      </c>
      <c r="Q601">
        <v>90</v>
      </c>
      <c r="R601">
        <v>80</v>
      </c>
      <c r="S601">
        <v>130</v>
      </c>
      <c r="T601">
        <v>25</v>
      </c>
      <c r="U601" t="s">
        <v>28</v>
      </c>
      <c r="V601" s="2">
        <v>0.40625</v>
      </c>
      <c r="W601" s="2">
        <v>0.59375</v>
      </c>
      <c r="X601">
        <v>13</v>
      </c>
    </row>
    <row r="602" spans="1:24" x14ac:dyDescent="0.3">
      <c r="A602">
        <v>432</v>
      </c>
      <c r="B602">
        <v>239</v>
      </c>
      <c r="C602">
        <v>-65</v>
      </c>
      <c r="D602" s="1">
        <v>41518</v>
      </c>
      <c r="E602">
        <v>1246</v>
      </c>
      <c r="F602">
        <v>281</v>
      </c>
      <c r="G602" t="s">
        <v>22</v>
      </c>
      <c r="H602" t="s">
        <v>30</v>
      </c>
      <c r="I602">
        <v>74</v>
      </c>
      <c r="J602" t="s">
        <v>41</v>
      </c>
      <c r="K602" t="s">
        <v>46</v>
      </c>
      <c r="L602" t="s">
        <v>53</v>
      </c>
      <c r="M602">
        <v>275</v>
      </c>
      <c r="N602">
        <v>554</v>
      </c>
      <c r="O602" t="s">
        <v>31</v>
      </c>
      <c r="P602">
        <v>350</v>
      </c>
      <c r="Q602">
        <v>420</v>
      </c>
      <c r="R602">
        <v>340</v>
      </c>
      <c r="S602">
        <v>770</v>
      </c>
      <c r="T602">
        <v>96</v>
      </c>
      <c r="U602" t="s">
        <v>36</v>
      </c>
      <c r="V602" s="2">
        <v>0.49638989169675091</v>
      </c>
      <c r="W602" s="2">
        <v>0.56859205776173283</v>
      </c>
      <c r="X602">
        <v>22</v>
      </c>
    </row>
    <row r="603" spans="1:24" x14ac:dyDescent="0.3">
      <c r="A603">
        <v>817</v>
      </c>
      <c r="B603">
        <v>123</v>
      </c>
      <c r="C603">
        <v>97</v>
      </c>
      <c r="D603" s="1">
        <v>41519</v>
      </c>
      <c r="E603">
        <v>915</v>
      </c>
      <c r="F603">
        <v>179</v>
      </c>
      <c r="G603" t="s">
        <v>22</v>
      </c>
      <c r="H603" t="s">
        <v>30</v>
      </c>
      <c r="I603">
        <v>34</v>
      </c>
      <c r="J603" t="s">
        <v>41</v>
      </c>
      <c r="K603" t="s">
        <v>42</v>
      </c>
      <c r="L603" t="s">
        <v>54</v>
      </c>
      <c r="M603">
        <v>197</v>
      </c>
      <c r="N603">
        <v>322</v>
      </c>
      <c r="O603" t="s">
        <v>31</v>
      </c>
      <c r="P603">
        <v>70</v>
      </c>
      <c r="Q603">
        <v>120</v>
      </c>
      <c r="R603">
        <v>100</v>
      </c>
      <c r="S603">
        <v>190</v>
      </c>
      <c r="T603">
        <v>46</v>
      </c>
      <c r="U603" t="s">
        <v>36</v>
      </c>
      <c r="V603" s="2">
        <v>0.61180124223602483</v>
      </c>
      <c r="W603" s="2">
        <v>0.61801242236024845</v>
      </c>
      <c r="X603">
        <v>12</v>
      </c>
    </row>
    <row r="604" spans="1:24" x14ac:dyDescent="0.3">
      <c r="A604">
        <v>985</v>
      </c>
      <c r="B604">
        <v>48</v>
      </c>
      <c r="C604">
        <v>-13</v>
      </c>
      <c r="D604" s="1">
        <v>41520</v>
      </c>
      <c r="E604">
        <v>851</v>
      </c>
      <c r="F604">
        <v>70</v>
      </c>
      <c r="G604" t="s">
        <v>40</v>
      </c>
      <c r="H604" t="s">
        <v>30</v>
      </c>
      <c r="I604">
        <v>13</v>
      </c>
      <c r="J604" t="s">
        <v>41</v>
      </c>
      <c r="K604" t="s">
        <v>46</v>
      </c>
      <c r="L604" t="s">
        <v>47</v>
      </c>
      <c r="M604">
        <v>67</v>
      </c>
      <c r="N604">
        <v>126</v>
      </c>
      <c r="O604" t="s">
        <v>56</v>
      </c>
      <c r="P604">
        <v>70</v>
      </c>
      <c r="Q604">
        <v>90</v>
      </c>
      <c r="R604">
        <v>80</v>
      </c>
      <c r="S604">
        <v>160</v>
      </c>
      <c r="T604">
        <v>25</v>
      </c>
      <c r="U604" t="s">
        <v>28</v>
      </c>
      <c r="V604" s="2">
        <v>0.53174603174603174</v>
      </c>
      <c r="W604" s="2">
        <v>0.61904761904761907</v>
      </c>
      <c r="X604">
        <v>12</v>
      </c>
    </row>
    <row r="605" spans="1:24" x14ac:dyDescent="0.3">
      <c r="A605">
        <v>337</v>
      </c>
      <c r="B605">
        <v>48</v>
      </c>
      <c r="C605">
        <v>-10</v>
      </c>
      <c r="D605" s="1">
        <v>41521</v>
      </c>
      <c r="E605">
        <v>829</v>
      </c>
      <c r="F605">
        <v>71</v>
      </c>
      <c r="G605" t="s">
        <v>40</v>
      </c>
      <c r="H605" t="s">
        <v>30</v>
      </c>
      <c r="I605">
        <v>13</v>
      </c>
      <c r="J605" t="s">
        <v>41</v>
      </c>
      <c r="K605" t="s">
        <v>46</v>
      </c>
      <c r="L605" t="s">
        <v>53</v>
      </c>
      <c r="M605">
        <v>70</v>
      </c>
      <c r="N605">
        <v>127</v>
      </c>
      <c r="O605" t="s">
        <v>56</v>
      </c>
      <c r="P605">
        <v>70</v>
      </c>
      <c r="Q605">
        <v>90</v>
      </c>
      <c r="R605">
        <v>80</v>
      </c>
      <c r="S605">
        <v>160</v>
      </c>
      <c r="T605">
        <v>24</v>
      </c>
      <c r="U605" t="s">
        <v>36</v>
      </c>
      <c r="V605" s="2">
        <v>0.55118110236220474</v>
      </c>
      <c r="W605" s="2">
        <v>0.62204724409448819</v>
      </c>
      <c r="X605">
        <v>11</v>
      </c>
    </row>
    <row r="606" spans="1:24" x14ac:dyDescent="0.3">
      <c r="A606">
        <v>505</v>
      </c>
      <c r="B606">
        <v>45</v>
      </c>
      <c r="C606">
        <v>-46</v>
      </c>
      <c r="D606" s="1">
        <v>41522</v>
      </c>
      <c r="E606">
        <v>447</v>
      </c>
      <c r="F606">
        <v>69</v>
      </c>
      <c r="G606" t="s">
        <v>40</v>
      </c>
      <c r="H606" t="s">
        <v>30</v>
      </c>
      <c r="I606">
        <v>14</v>
      </c>
      <c r="J606" t="s">
        <v>41</v>
      </c>
      <c r="K606" t="s">
        <v>46</v>
      </c>
      <c r="L606" t="s">
        <v>53</v>
      </c>
      <c r="M606">
        <v>34</v>
      </c>
      <c r="N606">
        <v>121</v>
      </c>
      <c r="O606" t="s">
        <v>65</v>
      </c>
      <c r="P606">
        <v>50</v>
      </c>
      <c r="Q606">
        <v>110</v>
      </c>
      <c r="R606">
        <v>80</v>
      </c>
      <c r="S606">
        <v>160</v>
      </c>
      <c r="T606">
        <v>46</v>
      </c>
      <c r="U606" t="s">
        <v>36</v>
      </c>
      <c r="V606" s="2">
        <v>0.28099173553719009</v>
      </c>
      <c r="W606" s="2">
        <v>0.62809917355371903</v>
      </c>
      <c r="X606">
        <v>32</v>
      </c>
    </row>
    <row r="607" spans="1:24" x14ac:dyDescent="0.3">
      <c r="A607">
        <v>918</v>
      </c>
      <c r="B607">
        <v>90</v>
      </c>
      <c r="C607">
        <v>-30</v>
      </c>
      <c r="D607" s="1">
        <v>41523</v>
      </c>
      <c r="E607">
        <v>572</v>
      </c>
      <c r="F607">
        <v>115</v>
      </c>
      <c r="G607" t="s">
        <v>40</v>
      </c>
      <c r="H607" t="s">
        <v>30</v>
      </c>
      <c r="I607">
        <v>29</v>
      </c>
      <c r="J607" t="s">
        <v>41</v>
      </c>
      <c r="K607" t="s">
        <v>46</v>
      </c>
      <c r="L607" t="s">
        <v>53</v>
      </c>
      <c r="M607">
        <v>110</v>
      </c>
      <c r="N607">
        <v>218</v>
      </c>
      <c r="O607" t="s">
        <v>48</v>
      </c>
      <c r="P607">
        <v>130</v>
      </c>
      <c r="Q607">
        <v>160</v>
      </c>
      <c r="R607">
        <v>140</v>
      </c>
      <c r="S607">
        <v>290</v>
      </c>
      <c r="T607">
        <v>41</v>
      </c>
      <c r="U607" t="s">
        <v>36</v>
      </c>
      <c r="V607" s="2">
        <v>0.50458715596330272</v>
      </c>
      <c r="W607" s="2">
        <v>0.58715596330275233</v>
      </c>
      <c r="X607">
        <v>12</v>
      </c>
    </row>
    <row r="608" spans="1:24" x14ac:dyDescent="0.3">
      <c r="A608">
        <v>505</v>
      </c>
      <c r="B608">
        <v>25</v>
      </c>
      <c r="C608">
        <v>-28</v>
      </c>
      <c r="D608" s="1">
        <v>41524</v>
      </c>
      <c r="E608">
        <v>-466</v>
      </c>
      <c r="F608">
        <v>31</v>
      </c>
      <c r="G608" t="s">
        <v>40</v>
      </c>
      <c r="H608" t="s">
        <v>30</v>
      </c>
      <c r="I608">
        <v>9</v>
      </c>
      <c r="J608" t="s">
        <v>41</v>
      </c>
      <c r="K608" t="s">
        <v>42</v>
      </c>
      <c r="L608" t="s">
        <v>55</v>
      </c>
      <c r="M608">
        <v>-18</v>
      </c>
      <c r="N608">
        <v>60</v>
      </c>
      <c r="O608" t="s">
        <v>65</v>
      </c>
      <c r="P608">
        <v>10</v>
      </c>
      <c r="Q608">
        <v>20</v>
      </c>
      <c r="R608">
        <v>10</v>
      </c>
      <c r="S608">
        <v>30</v>
      </c>
      <c r="T608">
        <v>43</v>
      </c>
      <c r="U608" t="s">
        <v>36</v>
      </c>
      <c r="V608" s="2">
        <v>-0.3</v>
      </c>
      <c r="W608" s="2">
        <v>0.58333333333333337</v>
      </c>
      <c r="X608">
        <v>34</v>
      </c>
    </row>
    <row r="609" spans="1:24" x14ac:dyDescent="0.3">
      <c r="A609">
        <v>318</v>
      </c>
      <c r="B609">
        <v>103</v>
      </c>
      <c r="C609">
        <v>19</v>
      </c>
      <c r="D609" s="1">
        <v>41525</v>
      </c>
      <c r="E609">
        <v>564</v>
      </c>
      <c r="F609">
        <v>133</v>
      </c>
      <c r="G609" t="s">
        <v>40</v>
      </c>
      <c r="H609" t="s">
        <v>30</v>
      </c>
      <c r="I609">
        <v>33</v>
      </c>
      <c r="J609" t="s">
        <v>24</v>
      </c>
      <c r="K609" t="s">
        <v>25</v>
      </c>
      <c r="L609" t="s">
        <v>58</v>
      </c>
      <c r="M609">
        <v>129</v>
      </c>
      <c r="N609">
        <v>251</v>
      </c>
      <c r="O609" t="s">
        <v>56</v>
      </c>
      <c r="P609">
        <v>80</v>
      </c>
      <c r="Q609">
        <v>130</v>
      </c>
      <c r="R609">
        <v>110</v>
      </c>
      <c r="S609">
        <v>210</v>
      </c>
      <c r="T609">
        <v>46</v>
      </c>
      <c r="U609" t="s">
        <v>28</v>
      </c>
      <c r="V609" s="2">
        <v>0.51394422310756971</v>
      </c>
      <c r="W609" s="2">
        <v>0.58964143426294824</v>
      </c>
      <c r="X609">
        <v>13</v>
      </c>
    </row>
    <row r="610" spans="1:24" x14ac:dyDescent="0.3">
      <c r="A610">
        <v>225</v>
      </c>
      <c r="B610">
        <v>79</v>
      </c>
      <c r="C610">
        <v>-10</v>
      </c>
      <c r="D610" s="1">
        <v>41526</v>
      </c>
      <c r="E610">
        <v>593</v>
      </c>
      <c r="F610">
        <v>98</v>
      </c>
      <c r="G610" t="s">
        <v>40</v>
      </c>
      <c r="H610" t="s">
        <v>30</v>
      </c>
      <c r="I610">
        <v>30</v>
      </c>
      <c r="J610" t="s">
        <v>24</v>
      </c>
      <c r="K610" t="s">
        <v>25</v>
      </c>
      <c r="L610" t="s">
        <v>26</v>
      </c>
      <c r="M610">
        <v>50</v>
      </c>
      <c r="N610">
        <v>189</v>
      </c>
      <c r="O610" t="s">
        <v>56</v>
      </c>
      <c r="P610">
        <v>60</v>
      </c>
      <c r="Q610">
        <v>90</v>
      </c>
      <c r="R610">
        <v>60</v>
      </c>
      <c r="S610">
        <v>150</v>
      </c>
      <c r="T610">
        <v>64</v>
      </c>
      <c r="U610" t="s">
        <v>28</v>
      </c>
      <c r="V610" s="2">
        <v>0.26455026455026454</v>
      </c>
      <c r="W610" s="2">
        <v>0.58201058201058198</v>
      </c>
      <c r="X610">
        <v>34</v>
      </c>
    </row>
    <row r="611" spans="1:24" x14ac:dyDescent="0.3">
      <c r="A611">
        <v>918</v>
      </c>
      <c r="B611">
        <v>96</v>
      </c>
      <c r="C611">
        <v>-15</v>
      </c>
      <c r="D611" s="1">
        <v>41527</v>
      </c>
      <c r="E611">
        <v>683</v>
      </c>
      <c r="F611">
        <v>134</v>
      </c>
      <c r="G611" t="s">
        <v>40</v>
      </c>
      <c r="H611" t="s">
        <v>30</v>
      </c>
      <c r="I611">
        <v>87</v>
      </c>
      <c r="J611" t="s">
        <v>24</v>
      </c>
      <c r="K611" t="s">
        <v>25</v>
      </c>
      <c r="L611" t="s">
        <v>26</v>
      </c>
      <c r="M611">
        <v>25</v>
      </c>
      <c r="N611">
        <v>245</v>
      </c>
      <c r="O611" t="s">
        <v>48</v>
      </c>
      <c r="P611">
        <v>80</v>
      </c>
      <c r="Q611">
        <v>120</v>
      </c>
      <c r="R611">
        <v>40</v>
      </c>
      <c r="S611">
        <v>200</v>
      </c>
      <c r="T611">
        <v>117</v>
      </c>
      <c r="U611" t="s">
        <v>28</v>
      </c>
      <c r="V611" s="2">
        <v>0.10204081632653061</v>
      </c>
      <c r="W611" s="2">
        <v>0.60816326530612241</v>
      </c>
      <c r="X611">
        <v>30</v>
      </c>
    </row>
    <row r="612" spans="1:24" x14ac:dyDescent="0.3">
      <c r="A612">
        <v>432</v>
      </c>
      <c r="B612">
        <v>225</v>
      </c>
      <c r="C612">
        <v>28</v>
      </c>
      <c r="D612" s="1">
        <v>41528</v>
      </c>
      <c r="E612">
        <v>1272</v>
      </c>
      <c r="F612">
        <v>265</v>
      </c>
      <c r="G612" t="s">
        <v>22</v>
      </c>
      <c r="H612" t="s">
        <v>30</v>
      </c>
      <c r="I612">
        <v>69</v>
      </c>
      <c r="J612" t="s">
        <v>41</v>
      </c>
      <c r="K612" t="s">
        <v>46</v>
      </c>
      <c r="L612" t="s">
        <v>53</v>
      </c>
      <c r="M612">
        <v>258</v>
      </c>
      <c r="N612">
        <v>522</v>
      </c>
      <c r="O612" t="s">
        <v>31</v>
      </c>
      <c r="P612">
        <v>260</v>
      </c>
      <c r="Q612">
        <v>320</v>
      </c>
      <c r="R612">
        <v>230</v>
      </c>
      <c r="S612">
        <v>580</v>
      </c>
      <c r="T612">
        <v>91</v>
      </c>
      <c r="U612" t="s">
        <v>36</v>
      </c>
      <c r="V612" s="2">
        <v>0.4942528735632184</v>
      </c>
      <c r="W612" s="2">
        <v>0.56896551724137934</v>
      </c>
      <c r="X612">
        <v>22</v>
      </c>
    </row>
    <row r="613" spans="1:24" x14ac:dyDescent="0.3">
      <c r="A613">
        <v>806</v>
      </c>
      <c r="B613">
        <v>75</v>
      </c>
      <c r="C613">
        <v>48</v>
      </c>
      <c r="D613" s="1">
        <v>41529</v>
      </c>
      <c r="E613">
        <v>-1050</v>
      </c>
      <c r="F613">
        <v>114</v>
      </c>
      <c r="G613" t="s">
        <v>22</v>
      </c>
      <c r="H613" t="s">
        <v>30</v>
      </c>
      <c r="I613">
        <v>24</v>
      </c>
      <c r="J613" t="s">
        <v>41</v>
      </c>
      <c r="K613" t="s">
        <v>42</v>
      </c>
      <c r="L613" t="s">
        <v>55</v>
      </c>
      <c r="M613">
        <v>88</v>
      </c>
      <c r="N613">
        <v>201</v>
      </c>
      <c r="O613" t="s">
        <v>31</v>
      </c>
      <c r="P613">
        <v>50</v>
      </c>
      <c r="Q613">
        <v>90</v>
      </c>
      <c r="R613">
        <v>40</v>
      </c>
      <c r="S613">
        <v>140</v>
      </c>
      <c r="T613">
        <v>55</v>
      </c>
      <c r="U613" t="s">
        <v>36</v>
      </c>
      <c r="V613" s="2">
        <v>0.43781094527363185</v>
      </c>
      <c r="W613" s="2">
        <v>0.62686567164179108</v>
      </c>
      <c r="X613">
        <v>31</v>
      </c>
    </row>
    <row r="614" spans="1:24" x14ac:dyDescent="0.3">
      <c r="A614">
        <v>915</v>
      </c>
      <c r="B614">
        <v>118</v>
      </c>
      <c r="C614">
        <v>88</v>
      </c>
      <c r="D614" s="1">
        <v>41530</v>
      </c>
      <c r="E614">
        <v>930</v>
      </c>
      <c r="F614">
        <v>172</v>
      </c>
      <c r="G614" t="s">
        <v>22</v>
      </c>
      <c r="H614" t="s">
        <v>30</v>
      </c>
      <c r="I614">
        <v>33</v>
      </c>
      <c r="J614" t="s">
        <v>41</v>
      </c>
      <c r="K614" t="s">
        <v>42</v>
      </c>
      <c r="L614" t="s">
        <v>54</v>
      </c>
      <c r="M614">
        <v>188</v>
      </c>
      <c r="N614">
        <v>309</v>
      </c>
      <c r="O614" t="s">
        <v>31</v>
      </c>
      <c r="P614">
        <v>90</v>
      </c>
      <c r="Q614">
        <v>130</v>
      </c>
      <c r="R614">
        <v>100</v>
      </c>
      <c r="S614">
        <v>220</v>
      </c>
      <c r="T614">
        <v>45</v>
      </c>
      <c r="U614" t="s">
        <v>36</v>
      </c>
      <c r="V614" s="2">
        <v>0.60841423948220064</v>
      </c>
      <c r="W614" s="2">
        <v>0.6181229773462783</v>
      </c>
      <c r="X614">
        <v>12</v>
      </c>
    </row>
    <row r="615" spans="1:24" x14ac:dyDescent="0.3">
      <c r="A615">
        <v>580</v>
      </c>
      <c r="B615">
        <v>78</v>
      </c>
      <c r="C615">
        <v>52</v>
      </c>
      <c r="D615" s="1">
        <v>41531</v>
      </c>
      <c r="E615">
        <v>798</v>
      </c>
      <c r="F615">
        <v>119</v>
      </c>
      <c r="G615" t="s">
        <v>40</v>
      </c>
      <c r="H615" t="s">
        <v>30</v>
      </c>
      <c r="I615">
        <v>25</v>
      </c>
      <c r="J615" t="s">
        <v>41</v>
      </c>
      <c r="K615" t="s">
        <v>42</v>
      </c>
      <c r="L615" t="s">
        <v>43</v>
      </c>
      <c r="M615">
        <v>92</v>
      </c>
      <c r="N615">
        <v>210</v>
      </c>
      <c r="O615" t="s">
        <v>48</v>
      </c>
      <c r="P615">
        <v>60</v>
      </c>
      <c r="Q615">
        <v>90</v>
      </c>
      <c r="R615">
        <v>40</v>
      </c>
      <c r="S615">
        <v>150</v>
      </c>
      <c r="T615">
        <v>57</v>
      </c>
      <c r="U615" t="s">
        <v>28</v>
      </c>
      <c r="V615" s="2">
        <v>0.43809523809523809</v>
      </c>
      <c r="W615" s="2">
        <v>0.62857142857142856</v>
      </c>
      <c r="X615">
        <v>32</v>
      </c>
    </row>
    <row r="616" spans="1:24" x14ac:dyDescent="0.3">
      <c r="A616">
        <v>918</v>
      </c>
      <c r="B616">
        <v>88</v>
      </c>
      <c r="C616">
        <v>15</v>
      </c>
      <c r="D616" s="1">
        <v>41532</v>
      </c>
      <c r="E616">
        <v>561</v>
      </c>
      <c r="F616">
        <v>112</v>
      </c>
      <c r="G616" t="s">
        <v>40</v>
      </c>
      <c r="H616" t="s">
        <v>30</v>
      </c>
      <c r="I616">
        <v>29</v>
      </c>
      <c r="J616" t="s">
        <v>41</v>
      </c>
      <c r="K616" t="s">
        <v>46</v>
      </c>
      <c r="L616" t="s">
        <v>53</v>
      </c>
      <c r="M616">
        <v>105</v>
      </c>
      <c r="N616">
        <v>213</v>
      </c>
      <c r="O616" t="s">
        <v>48</v>
      </c>
      <c r="P616">
        <v>100</v>
      </c>
      <c r="Q616">
        <v>130</v>
      </c>
      <c r="R616">
        <v>90</v>
      </c>
      <c r="S616">
        <v>230</v>
      </c>
      <c r="T616">
        <v>41</v>
      </c>
      <c r="U616" t="s">
        <v>36</v>
      </c>
      <c r="V616" s="2">
        <v>0.49295774647887325</v>
      </c>
      <c r="W616" s="2">
        <v>0.58685446009389675</v>
      </c>
      <c r="X616">
        <v>12</v>
      </c>
    </row>
    <row r="617" spans="1:24" x14ac:dyDescent="0.3">
      <c r="A617">
        <v>405</v>
      </c>
      <c r="B617">
        <v>102</v>
      </c>
      <c r="C617">
        <v>72</v>
      </c>
      <c r="D617" s="1">
        <v>41533</v>
      </c>
      <c r="E617">
        <v>-2003</v>
      </c>
      <c r="F617">
        <v>143</v>
      </c>
      <c r="G617" t="s">
        <v>40</v>
      </c>
      <c r="H617" t="s">
        <v>30</v>
      </c>
      <c r="I617">
        <v>31</v>
      </c>
      <c r="J617" t="s">
        <v>41</v>
      </c>
      <c r="K617" t="s">
        <v>42</v>
      </c>
      <c r="L617" t="s">
        <v>55</v>
      </c>
      <c r="M617">
        <v>132</v>
      </c>
      <c r="N617">
        <v>261</v>
      </c>
      <c r="O617" t="s">
        <v>48</v>
      </c>
      <c r="P617">
        <v>80</v>
      </c>
      <c r="Q617">
        <v>100</v>
      </c>
      <c r="R617">
        <v>60</v>
      </c>
      <c r="S617">
        <v>180</v>
      </c>
      <c r="T617">
        <v>54</v>
      </c>
      <c r="U617" t="s">
        <v>36</v>
      </c>
      <c r="V617" s="2">
        <v>0.50574712643678166</v>
      </c>
      <c r="W617" s="2">
        <v>0.60919540229885061</v>
      </c>
      <c r="X617">
        <v>23</v>
      </c>
    </row>
    <row r="618" spans="1:24" x14ac:dyDescent="0.3">
      <c r="A618">
        <v>985</v>
      </c>
      <c r="B618">
        <v>101</v>
      </c>
      <c r="C618">
        <v>46</v>
      </c>
      <c r="D618" s="1">
        <v>41534</v>
      </c>
      <c r="E618">
        <v>552</v>
      </c>
      <c r="F618">
        <v>130</v>
      </c>
      <c r="G618" t="s">
        <v>40</v>
      </c>
      <c r="H618" t="s">
        <v>30</v>
      </c>
      <c r="I618">
        <v>33</v>
      </c>
      <c r="J618" t="s">
        <v>24</v>
      </c>
      <c r="K618" t="s">
        <v>25</v>
      </c>
      <c r="L618" t="s">
        <v>58</v>
      </c>
      <c r="M618">
        <v>126</v>
      </c>
      <c r="N618">
        <v>246</v>
      </c>
      <c r="O618" t="s">
        <v>56</v>
      </c>
      <c r="P618">
        <v>90</v>
      </c>
      <c r="Q618">
        <v>120</v>
      </c>
      <c r="R618">
        <v>80</v>
      </c>
      <c r="S618">
        <v>210</v>
      </c>
      <c r="T618">
        <v>45</v>
      </c>
      <c r="U618" t="s">
        <v>28</v>
      </c>
      <c r="V618" s="2">
        <v>0.51219512195121952</v>
      </c>
      <c r="W618" s="2">
        <v>0.58943089430894313</v>
      </c>
      <c r="X618">
        <v>12</v>
      </c>
    </row>
    <row r="619" spans="1:24" x14ac:dyDescent="0.3">
      <c r="A619">
        <v>505</v>
      </c>
      <c r="B619">
        <v>15</v>
      </c>
      <c r="C619">
        <v>3</v>
      </c>
      <c r="D619" s="1">
        <v>41535</v>
      </c>
      <c r="E619">
        <v>848</v>
      </c>
      <c r="F619">
        <v>24</v>
      </c>
      <c r="G619" t="s">
        <v>40</v>
      </c>
      <c r="H619" t="s">
        <v>30</v>
      </c>
      <c r="I619">
        <v>4</v>
      </c>
      <c r="J619" t="s">
        <v>24</v>
      </c>
      <c r="K619" t="s">
        <v>25</v>
      </c>
      <c r="L619" t="s">
        <v>58</v>
      </c>
      <c r="M619">
        <v>13</v>
      </c>
      <c r="N619">
        <v>42</v>
      </c>
      <c r="O619" t="s">
        <v>65</v>
      </c>
      <c r="P619">
        <v>10</v>
      </c>
      <c r="Q619">
        <v>20</v>
      </c>
      <c r="R619">
        <v>10</v>
      </c>
      <c r="S619">
        <v>30</v>
      </c>
      <c r="T619">
        <v>15</v>
      </c>
      <c r="U619" t="s">
        <v>28</v>
      </c>
      <c r="V619" s="2">
        <v>0.30952380952380953</v>
      </c>
      <c r="W619" s="2">
        <v>0.6428571428571429</v>
      </c>
      <c r="X619">
        <v>11</v>
      </c>
    </row>
    <row r="620" spans="1:24" x14ac:dyDescent="0.3">
      <c r="A620">
        <v>337</v>
      </c>
      <c r="B620">
        <v>82</v>
      </c>
      <c r="C620">
        <v>16</v>
      </c>
      <c r="D620" s="1">
        <v>41536</v>
      </c>
      <c r="E620">
        <v>601</v>
      </c>
      <c r="F620">
        <v>102</v>
      </c>
      <c r="G620" t="s">
        <v>40</v>
      </c>
      <c r="H620" t="s">
        <v>30</v>
      </c>
      <c r="I620">
        <v>31</v>
      </c>
      <c r="J620" t="s">
        <v>24</v>
      </c>
      <c r="K620" t="s">
        <v>25</v>
      </c>
      <c r="L620" t="s">
        <v>26</v>
      </c>
      <c r="M620">
        <v>56</v>
      </c>
      <c r="N620">
        <v>196</v>
      </c>
      <c r="O620" t="s">
        <v>56</v>
      </c>
      <c r="P620">
        <v>70</v>
      </c>
      <c r="Q620">
        <v>100</v>
      </c>
      <c r="R620">
        <v>40</v>
      </c>
      <c r="S620">
        <v>170</v>
      </c>
      <c r="T620">
        <v>64</v>
      </c>
      <c r="U620" t="s">
        <v>28</v>
      </c>
      <c r="V620" s="2">
        <v>0.2857142857142857</v>
      </c>
      <c r="W620" s="2">
        <v>0.58163265306122447</v>
      </c>
      <c r="X620">
        <v>33</v>
      </c>
    </row>
    <row r="621" spans="1:24" x14ac:dyDescent="0.3">
      <c r="A621">
        <v>405</v>
      </c>
      <c r="B621">
        <v>94</v>
      </c>
      <c r="C621">
        <v>2</v>
      </c>
      <c r="D621" s="1">
        <v>41537</v>
      </c>
      <c r="E621">
        <v>694</v>
      </c>
      <c r="F621">
        <v>130</v>
      </c>
      <c r="G621" t="s">
        <v>40</v>
      </c>
      <c r="H621" t="s">
        <v>30</v>
      </c>
      <c r="I621">
        <v>85</v>
      </c>
      <c r="J621" t="s">
        <v>24</v>
      </c>
      <c r="K621" t="s">
        <v>25</v>
      </c>
      <c r="L621" t="s">
        <v>26</v>
      </c>
      <c r="M621">
        <v>22</v>
      </c>
      <c r="N621">
        <v>239</v>
      </c>
      <c r="O621" t="s">
        <v>48</v>
      </c>
      <c r="P621">
        <v>80</v>
      </c>
      <c r="Q621">
        <v>120</v>
      </c>
      <c r="R621">
        <v>20</v>
      </c>
      <c r="S621">
        <v>200</v>
      </c>
      <c r="T621">
        <v>115</v>
      </c>
      <c r="U621" t="s">
        <v>28</v>
      </c>
      <c r="V621" s="2">
        <v>9.2050209205020925E-2</v>
      </c>
      <c r="W621" s="2">
        <v>0.60669456066945604</v>
      </c>
      <c r="X621">
        <v>30</v>
      </c>
    </row>
    <row r="622" spans="1:24" x14ac:dyDescent="0.3">
      <c r="A622">
        <v>409</v>
      </c>
      <c r="B622">
        <v>241</v>
      </c>
      <c r="C622">
        <v>39</v>
      </c>
      <c r="D622" s="1">
        <v>41538</v>
      </c>
      <c r="E622">
        <v>1321</v>
      </c>
      <c r="F622">
        <v>284</v>
      </c>
      <c r="G622" t="s">
        <v>22</v>
      </c>
      <c r="H622" t="s">
        <v>30</v>
      </c>
      <c r="I622">
        <v>74</v>
      </c>
      <c r="J622" t="s">
        <v>41</v>
      </c>
      <c r="K622" t="s">
        <v>46</v>
      </c>
      <c r="L622" t="s">
        <v>53</v>
      </c>
      <c r="M622">
        <v>279</v>
      </c>
      <c r="N622">
        <v>559</v>
      </c>
      <c r="O622" t="s">
        <v>31</v>
      </c>
      <c r="P622">
        <v>280</v>
      </c>
      <c r="Q622">
        <v>340</v>
      </c>
      <c r="R622">
        <v>240</v>
      </c>
      <c r="S622">
        <v>620</v>
      </c>
      <c r="T622">
        <v>96</v>
      </c>
      <c r="U622" t="s">
        <v>36</v>
      </c>
      <c r="V622" s="2">
        <v>0.49910554561717352</v>
      </c>
      <c r="W622" s="2">
        <v>0.56887298747763859</v>
      </c>
      <c r="X622">
        <v>22</v>
      </c>
    </row>
    <row r="623" spans="1:24" x14ac:dyDescent="0.3">
      <c r="A623">
        <v>254</v>
      </c>
      <c r="B623">
        <v>123</v>
      </c>
      <c r="C623">
        <v>87</v>
      </c>
      <c r="D623" s="1">
        <v>41539</v>
      </c>
      <c r="E623">
        <v>959</v>
      </c>
      <c r="F623">
        <v>179</v>
      </c>
      <c r="G623" t="s">
        <v>22</v>
      </c>
      <c r="H623" t="s">
        <v>30</v>
      </c>
      <c r="I623">
        <v>34</v>
      </c>
      <c r="J623" t="s">
        <v>41</v>
      </c>
      <c r="K623" t="s">
        <v>42</v>
      </c>
      <c r="L623" t="s">
        <v>54</v>
      </c>
      <c r="M623">
        <v>197</v>
      </c>
      <c r="N623">
        <v>322</v>
      </c>
      <c r="O623" t="s">
        <v>31</v>
      </c>
      <c r="P623">
        <v>90</v>
      </c>
      <c r="Q623">
        <v>140</v>
      </c>
      <c r="R623">
        <v>110</v>
      </c>
      <c r="S623">
        <v>230</v>
      </c>
      <c r="T623">
        <v>46</v>
      </c>
      <c r="U623" t="s">
        <v>36</v>
      </c>
      <c r="V623" s="2">
        <v>0.61180124223602483</v>
      </c>
      <c r="W623" s="2">
        <v>0.61801242236024845</v>
      </c>
      <c r="X623">
        <v>12</v>
      </c>
    </row>
    <row r="624" spans="1:24" x14ac:dyDescent="0.3">
      <c r="A624">
        <v>505</v>
      </c>
      <c r="B624">
        <v>92</v>
      </c>
      <c r="C624">
        <v>-16</v>
      </c>
      <c r="D624" s="1">
        <v>41540</v>
      </c>
      <c r="E624">
        <v>1898</v>
      </c>
      <c r="F624">
        <v>68</v>
      </c>
      <c r="G624" t="s">
        <v>40</v>
      </c>
      <c r="H624" t="s">
        <v>30</v>
      </c>
      <c r="I624">
        <v>28</v>
      </c>
      <c r="J624" t="s">
        <v>41</v>
      </c>
      <c r="K624" t="s">
        <v>46</v>
      </c>
      <c r="L624" t="s">
        <v>47</v>
      </c>
      <c r="M624">
        <v>24</v>
      </c>
      <c r="N624">
        <v>171</v>
      </c>
      <c r="O624" t="s">
        <v>65</v>
      </c>
      <c r="P624">
        <v>100</v>
      </c>
      <c r="Q624">
        <v>90</v>
      </c>
      <c r="R624">
        <v>40</v>
      </c>
      <c r="S624">
        <v>190</v>
      </c>
      <c r="T624">
        <v>52</v>
      </c>
      <c r="U624" t="s">
        <v>28</v>
      </c>
      <c r="V624" s="2">
        <v>0.14035087719298245</v>
      </c>
      <c r="W624" s="2">
        <v>0.46198830409356723</v>
      </c>
      <c r="X624">
        <v>24</v>
      </c>
    </row>
    <row r="625" spans="1:24" x14ac:dyDescent="0.3">
      <c r="A625">
        <v>918</v>
      </c>
      <c r="B625">
        <v>88</v>
      </c>
      <c r="C625">
        <v>47</v>
      </c>
      <c r="D625" s="1">
        <v>41541</v>
      </c>
      <c r="E625">
        <v>817</v>
      </c>
      <c r="F625">
        <v>133</v>
      </c>
      <c r="G625" t="s">
        <v>40</v>
      </c>
      <c r="H625" t="s">
        <v>30</v>
      </c>
      <c r="I625">
        <v>29</v>
      </c>
      <c r="J625" t="s">
        <v>41</v>
      </c>
      <c r="K625" t="s">
        <v>42</v>
      </c>
      <c r="L625" t="s">
        <v>43</v>
      </c>
      <c r="M625">
        <v>107</v>
      </c>
      <c r="N625">
        <v>236</v>
      </c>
      <c r="O625" t="s">
        <v>48</v>
      </c>
      <c r="P625">
        <v>60</v>
      </c>
      <c r="Q625">
        <v>110</v>
      </c>
      <c r="R625">
        <v>60</v>
      </c>
      <c r="S625">
        <v>170</v>
      </c>
      <c r="T625">
        <v>61</v>
      </c>
      <c r="U625" t="s">
        <v>28</v>
      </c>
      <c r="V625" s="2">
        <v>0.45338983050847459</v>
      </c>
      <c r="W625" s="2">
        <v>0.6271186440677966</v>
      </c>
      <c r="X625">
        <v>32</v>
      </c>
    </row>
    <row r="626" spans="1:24" x14ac:dyDescent="0.3">
      <c r="A626">
        <v>985</v>
      </c>
      <c r="B626">
        <v>49</v>
      </c>
      <c r="C626">
        <v>-2</v>
      </c>
      <c r="D626" s="1">
        <v>41542</v>
      </c>
      <c r="E626">
        <v>845</v>
      </c>
      <c r="F626">
        <v>71</v>
      </c>
      <c r="G626" t="s">
        <v>40</v>
      </c>
      <c r="H626" t="s">
        <v>30</v>
      </c>
      <c r="I626">
        <v>13</v>
      </c>
      <c r="J626" t="s">
        <v>41</v>
      </c>
      <c r="K626" t="s">
        <v>46</v>
      </c>
      <c r="L626" t="s">
        <v>53</v>
      </c>
      <c r="M626">
        <v>68</v>
      </c>
      <c r="N626">
        <v>128</v>
      </c>
      <c r="O626" t="s">
        <v>56</v>
      </c>
      <c r="P626">
        <v>50</v>
      </c>
      <c r="Q626">
        <v>90</v>
      </c>
      <c r="R626">
        <v>70</v>
      </c>
      <c r="S626">
        <v>140</v>
      </c>
      <c r="T626">
        <v>25</v>
      </c>
      <c r="U626" t="s">
        <v>36</v>
      </c>
      <c r="V626" s="2">
        <v>0.53125</v>
      </c>
      <c r="W626" s="2">
        <v>0.6171875</v>
      </c>
      <c r="X626">
        <v>12</v>
      </c>
    </row>
    <row r="627" spans="1:24" x14ac:dyDescent="0.3">
      <c r="A627">
        <v>505</v>
      </c>
      <c r="B627">
        <v>48</v>
      </c>
      <c r="C627">
        <v>-10</v>
      </c>
      <c r="D627" s="1">
        <v>41543</v>
      </c>
      <c r="E627">
        <v>462</v>
      </c>
      <c r="F627">
        <v>74</v>
      </c>
      <c r="G627" t="s">
        <v>40</v>
      </c>
      <c r="H627" t="s">
        <v>30</v>
      </c>
      <c r="I627">
        <v>15</v>
      </c>
      <c r="J627" t="s">
        <v>41</v>
      </c>
      <c r="K627" t="s">
        <v>46</v>
      </c>
      <c r="L627" t="s">
        <v>53</v>
      </c>
      <c r="M627">
        <v>40</v>
      </c>
      <c r="N627">
        <v>130</v>
      </c>
      <c r="O627" t="s">
        <v>65</v>
      </c>
      <c r="P627">
        <v>50</v>
      </c>
      <c r="Q627">
        <v>90</v>
      </c>
      <c r="R627">
        <v>50</v>
      </c>
      <c r="S627">
        <v>140</v>
      </c>
      <c r="T627">
        <v>47</v>
      </c>
      <c r="U627" t="s">
        <v>36</v>
      </c>
      <c r="V627" s="2">
        <v>0.30769230769230771</v>
      </c>
      <c r="W627" s="2">
        <v>0.63076923076923075</v>
      </c>
      <c r="X627">
        <v>32</v>
      </c>
    </row>
    <row r="628" spans="1:24" x14ac:dyDescent="0.3">
      <c r="A628">
        <v>580</v>
      </c>
      <c r="B628">
        <v>81</v>
      </c>
      <c r="C628">
        <v>-2</v>
      </c>
      <c r="D628" s="1">
        <v>41544</v>
      </c>
      <c r="E628">
        <v>551</v>
      </c>
      <c r="F628">
        <v>104</v>
      </c>
      <c r="G628" t="s">
        <v>40</v>
      </c>
      <c r="H628" t="s">
        <v>30</v>
      </c>
      <c r="I628">
        <v>26</v>
      </c>
      <c r="J628" t="s">
        <v>41</v>
      </c>
      <c r="K628" t="s">
        <v>46</v>
      </c>
      <c r="L628" t="s">
        <v>53</v>
      </c>
      <c r="M628">
        <v>98</v>
      </c>
      <c r="N628">
        <v>197</v>
      </c>
      <c r="O628" t="s">
        <v>48</v>
      </c>
      <c r="P628">
        <v>90</v>
      </c>
      <c r="Q628">
        <v>130</v>
      </c>
      <c r="R628">
        <v>100</v>
      </c>
      <c r="S628">
        <v>220</v>
      </c>
      <c r="T628">
        <v>38</v>
      </c>
      <c r="U628" t="s">
        <v>36</v>
      </c>
      <c r="V628" s="2">
        <v>0.49746192893401014</v>
      </c>
      <c r="W628" s="2">
        <v>0.58883248730964466</v>
      </c>
      <c r="X628">
        <v>12</v>
      </c>
    </row>
    <row r="629" spans="1:24" x14ac:dyDescent="0.3">
      <c r="A629">
        <v>505</v>
      </c>
      <c r="B629">
        <v>20</v>
      </c>
      <c r="C629">
        <v>-12</v>
      </c>
      <c r="D629" s="1">
        <v>41545</v>
      </c>
      <c r="E629">
        <v>-598</v>
      </c>
      <c r="F629">
        <v>25</v>
      </c>
      <c r="G629" t="s">
        <v>40</v>
      </c>
      <c r="H629" t="s">
        <v>30</v>
      </c>
      <c r="I629">
        <v>7</v>
      </c>
      <c r="J629" t="s">
        <v>41</v>
      </c>
      <c r="K629" t="s">
        <v>42</v>
      </c>
      <c r="L629" t="s">
        <v>55</v>
      </c>
      <c r="M629">
        <v>-22</v>
      </c>
      <c r="N629">
        <v>48</v>
      </c>
      <c r="O629" t="s">
        <v>65</v>
      </c>
      <c r="P629">
        <v>10</v>
      </c>
      <c r="Q629">
        <v>20</v>
      </c>
      <c r="R629">
        <v>-10</v>
      </c>
      <c r="S629">
        <v>30</v>
      </c>
      <c r="T629">
        <v>40</v>
      </c>
      <c r="U629" t="s">
        <v>36</v>
      </c>
      <c r="V629" s="2">
        <v>-0.45833333333333331</v>
      </c>
      <c r="W629" s="2">
        <v>0.58333333333333337</v>
      </c>
      <c r="X629">
        <v>33</v>
      </c>
    </row>
    <row r="630" spans="1:24" x14ac:dyDescent="0.3">
      <c r="A630">
        <v>918</v>
      </c>
      <c r="B630">
        <v>134</v>
      </c>
      <c r="C630">
        <v>90</v>
      </c>
      <c r="D630" s="1">
        <v>41546</v>
      </c>
      <c r="E630">
        <v>-2248</v>
      </c>
      <c r="F630">
        <v>186</v>
      </c>
      <c r="G630" t="s">
        <v>40</v>
      </c>
      <c r="H630" t="s">
        <v>30</v>
      </c>
      <c r="I630">
        <v>41</v>
      </c>
      <c r="J630" t="s">
        <v>41</v>
      </c>
      <c r="K630" t="s">
        <v>42</v>
      </c>
      <c r="L630" t="s">
        <v>55</v>
      </c>
      <c r="M630">
        <v>180</v>
      </c>
      <c r="N630">
        <v>341</v>
      </c>
      <c r="O630" t="s">
        <v>48</v>
      </c>
      <c r="P630">
        <v>100</v>
      </c>
      <c r="Q630">
        <v>140</v>
      </c>
      <c r="R630">
        <v>90</v>
      </c>
      <c r="S630">
        <v>240</v>
      </c>
      <c r="T630">
        <v>65</v>
      </c>
      <c r="U630" t="s">
        <v>36</v>
      </c>
      <c r="V630" s="2">
        <v>0.52785923753665687</v>
      </c>
      <c r="W630" s="2">
        <v>0.60703812316715544</v>
      </c>
      <c r="X630">
        <v>24</v>
      </c>
    </row>
    <row r="631" spans="1:24" x14ac:dyDescent="0.3">
      <c r="A631">
        <v>985</v>
      </c>
      <c r="B631">
        <v>94</v>
      </c>
      <c r="C631">
        <v>44</v>
      </c>
      <c r="D631" s="1">
        <v>41547</v>
      </c>
      <c r="E631">
        <v>540</v>
      </c>
      <c r="F631">
        <v>120</v>
      </c>
      <c r="G631" t="s">
        <v>40</v>
      </c>
      <c r="H631" t="s">
        <v>30</v>
      </c>
      <c r="I631">
        <v>31</v>
      </c>
      <c r="J631" t="s">
        <v>24</v>
      </c>
      <c r="K631" t="s">
        <v>25</v>
      </c>
      <c r="L631" t="s">
        <v>58</v>
      </c>
      <c r="M631">
        <v>114</v>
      </c>
      <c r="N631">
        <v>228</v>
      </c>
      <c r="O631" t="s">
        <v>56</v>
      </c>
      <c r="P631">
        <v>80</v>
      </c>
      <c r="Q631">
        <v>110</v>
      </c>
      <c r="R631">
        <v>70</v>
      </c>
      <c r="S631">
        <v>190</v>
      </c>
      <c r="T631">
        <v>43</v>
      </c>
      <c r="U631" t="s">
        <v>28</v>
      </c>
      <c r="V631" s="2">
        <v>0.5</v>
      </c>
      <c r="W631" s="2">
        <v>0.58771929824561409</v>
      </c>
      <c r="X631">
        <v>12</v>
      </c>
    </row>
    <row r="632" spans="1:24" x14ac:dyDescent="0.3">
      <c r="A632">
        <v>505</v>
      </c>
      <c r="B632">
        <v>16</v>
      </c>
      <c r="C632">
        <v>3</v>
      </c>
      <c r="D632" s="1">
        <v>41548</v>
      </c>
      <c r="E632">
        <v>851</v>
      </c>
      <c r="F632">
        <v>25</v>
      </c>
      <c r="G632" t="s">
        <v>40</v>
      </c>
      <c r="H632" t="s">
        <v>30</v>
      </c>
      <c r="I632">
        <v>4</v>
      </c>
      <c r="J632" t="s">
        <v>24</v>
      </c>
      <c r="K632" t="s">
        <v>25</v>
      </c>
      <c r="L632" t="s">
        <v>58</v>
      </c>
      <c r="M632">
        <v>13</v>
      </c>
      <c r="N632">
        <v>44</v>
      </c>
      <c r="O632" t="s">
        <v>65</v>
      </c>
      <c r="P632">
        <v>10</v>
      </c>
      <c r="Q632">
        <v>20</v>
      </c>
      <c r="R632">
        <v>10</v>
      </c>
      <c r="S632">
        <v>30</v>
      </c>
      <c r="T632">
        <v>16</v>
      </c>
      <c r="U632" t="s">
        <v>28</v>
      </c>
      <c r="V632" s="2">
        <v>0.29545454545454547</v>
      </c>
      <c r="W632" s="2">
        <v>0.63636363636363635</v>
      </c>
      <c r="X632">
        <v>12</v>
      </c>
    </row>
    <row r="633" spans="1:24" x14ac:dyDescent="0.3">
      <c r="A633">
        <v>580</v>
      </c>
      <c r="B633">
        <v>105</v>
      </c>
      <c r="C633">
        <v>0</v>
      </c>
      <c r="D633" s="1">
        <v>41549</v>
      </c>
      <c r="E633">
        <v>716</v>
      </c>
      <c r="F633">
        <v>145</v>
      </c>
      <c r="G633" t="s">
        <v>40</v>
      </c>
      <c r="H633" t="s">
        <v>30</v>
      </c>
      <c r="I633">
        <v>95</v>
      </c>
      <c r="J633" t="s">
        <v>24</v>
      </c>
      <c r="K633" t="s">
        <v>25</v>
      </c>
      <c r="L633" t="s">
        <v>26</v>
      </c>
      <c r="M633">
        <v>30</v>
      </c>
      <c r="N633">
        <v>266</v>
      </c>
      <c r="O633" t="s">
        <v>48</v>
      </c>
      <c r="P633">
        <v>90</v>
      </c>
      <c r="Q633">
        <v>140</v>
      </c>
      <c r="R633">
        <v>30</v>
      </c>
      <c r="S633">
        <v>230</v>
      </c>
      <c r="T633">
        <v>125</v>
      </c>
      <c r="U633" t="s">
        <v>28</v>
      </c>
      <c r="V633" s="2">
        <v>0.11278195488721804</v>
      </c>
      <c r="W633" s="2">
        <v>0.60526315789473684</v>
      </c>
      <c r="X633">
        <v>30</v>
      </c>
    </row>
    <row r="634" spans="1:24" x14ac:dyDescent="0.3">
      <c r="A634">
        <v>860</v>
      </c>
      <c r="B634">
        <v>125</v>
      </c>
      <c r="C634">
        <v>-15</v>
      </c>
      <c r="D634" s="1">
        <v>41550</v>
      </c>
      <c r="E634">
        <v>1119</v>
      </c>
      <c r="F634">
        <v>188</v>
      </c>
      <c r="G634" t="s">
        <v>40</v>
      </c>
      <c r="H634" t="s">
        <v>32</v>
      </c>
      <c r="I634">
        <v>41</v>
      </c>
      <c r="J634" t="s">
        <v>41</v>
      </c>
      <c r="K634" t="s">
        <v>46</v>
      </c>
      <c r="L634" t="s">
        <v>53</v>
      </c>
      <c r="M634">
        <v>115</v>
      </c>
      <c r="N634">
        <v>313</v>
      </c>
      <c r="O634" t="s">
        <v>45</v>
      </c>
      <c r="P634">
        <v>100</v>
      </c>
      <c r="Q634">
        <v>160</v>
      </c>
      <c r="R634">
        <v>130</v>
      </c>
      <c r="S634">
        <v>260</v>
      </c>
      <c r="T634">
        <v>73</v>
      </c>
      <c r="U634" t="s">
        <v>36</v>
      </c>
      <c r="V634" s="2">
        <v>0.36741214057507987</v>
      </c>
      <c r="W634" s="2">
        <v>0.60063897763578278</v>
      </c>
      <c r="X634">
        <v>32</v>
      </c>
    </row>
    <row r="635" spans="1:24" x14ac:dyDescent="0.3">
      <c r="A635">
        <v>203</v>
      </c>
      <c r="B635">
        <v>60</v>
      </c>
      <c r="C635">
        <v>-39</v>
      </c>
      <c r="D635" s="1">
        <v>41551</v>
      </c>
      <c r="E635">
        <v>606</v>
      </c>
      <c r="F635">
        <v>84</v>
      </c>
      <c r="G635" t="s">
        <v>40</v>
      </c>
      <c r="H635" t="s">
        <v>32</v>
      </c>
      <c r="I635">
        <v>54</v>
      </c>
      <c r="J635" t="s">
        <v>41</v>
      </c>
      <c r="K635" t="s">
        <v>42</v>
      </c>
      <c r="L635" t="s">
        <v>54</v>
      </c>
      <c r="M635">
        <v>1</v>
      </c>
      <c r="N635">
        <v>144</v>
      </c>
      <c r="O635" t="s">
        <v>45</v>
      </c>
      <c r="P635">
        <v>40</v>
      </c>
      <c r="Q635">
        <v>90</v>
      </c>
      <c r="R635">
        <v>40</v>
      </c>
      <c r="S635">
        <v>130</v>
      </c>
      <c r="T635">
        <v>83</v>
      </c>
      <c r="U635" t="s">
        <v>36</v>
      </c>
      <c r="V635" s="2">
        <v>6.9444444444444441E-3</v>
      </c>
      <c r="W635" s="2">
        <v>0.58333333333333337</v>
      </c>
      <c r="X635">
        <v>29</v>
      </c>
    </row>
    <row r="636" spans="1:24" x14ac:dyDescent="0.3">
      <c r="A636">
        <v>203</v>
      </c>
      <c r="B636">
        <v>130</v>
      </c>
      <c r="C636">
        <v>-8</v>
      </c>
      <c r="D636" s="1">
        <v>41552</v>
      </c>
      <c r="E636">
        <v>1134</v>
      </c>
      <c r="F636">
        <v>195</v>
      </c>
      <c r="G636" t="s">
        <v>40</v>
      </c>
      <c r="H636" t="s">
        <v>32</v>
      </c>
      <c r="I636">
        <v>42</v>
      </c>
      <c r="J636" t="s">
        <v>41</v>
      </c>
      <c r="K636" t="s">
        <v>46</v>
      </c>
      <c r="L636" t="s">
        <v>53</v>
      </c>
      <c r="M636">
        <v>122</v>
      </c>
      <c r="N636">
        <v>325</v>
      </c>
      <c r="O636" t="s">
        <v>45</v>
      </c>
      <c r="P636">
        <v>110</v>
      </c>
      <c r="Q636">
        <v>180</v>
      </c>
      <c r="R636">
        <v>130</v>
      </c>
      <c r="S636">
        <v>290</v>
      </c>
      <c r="T636">
        <v>73</v>
      </c>
      <c r="U636" t="s">
        <v>36</v>
      </c>
      <c r="V636" s="2">
        <v>0.37538461538461537</v>
      </c>
      <c r="W636" s="2">
        <v>0.6</v>
      </c>
      <c r="X636">
        <v>31</v>
      </c>
    </row>
    <row r="637" spans="1:24" x14ac:dyDescent="0.3">
      <c r="A637">
        <v>203</v>
      </c>
      <c r="B637">
        <v>115</v>
      </c>
      <c r="C637">
        <v>-5</v>
      </c>
      <c r="D637" s="1">
        <v>41553</v>
      </c>
      <c r="E637">
        <v>1166</v>
      </c>
      <c r="F637">
        <v>174</v>
      </c>
      <c r="G637" t="s">
        <v>40</v>
      </c>
      <c r="H637" t="s">
        <v>32</v>
      </c>
      <c r="I637">
        <v>37</v>
      </c>
      <c r="J637" t="s">
        <v>41</v>
      </c>
      <c r="K637" t="s">
        <v>46</v>
      </c>
      <c r="L637" t="s">
        <v>53</v>
      </c>
      <c r="M637">
        <v>105</v>
      </c>
      <c r="N637">
        <v>289</v>
      </c>
      <c r="O637" t="s">
        <v>45</v>
      </c>
      <c r="P637">
        <v>100</v>
      </c>
      <c r="Q637">
        <v>160</v>
      </c>
      <c r="R637">
        <v>110</v>
      </c>
      <c r="S637">
        <v>260</v>
      </c>
      <c r="T637">
        <v>69</v>
      </c>
      <c r="U637" t="s">
        <v>36</v>
      </c>
      <c r="V637" s="2">
        <v>0.36332179930795849</v>
      </c>
      <c r="W637" s="2">
        <v>0.60207612456747406</v>
      </c>
      <c r="X637">
        <v>32</v>
      </c>
    </row>
    <row r="638" spans="1:24" x14ac:dyDescent="0.3">
      <c r="A638">
        <v>203</v>
      </c>
      <c r="B638">
        <v>125</v>
      </c>
      <c r="C638">
        <v>41</v>
      </c>
      <c r="D638" s="1">
        <v>41554</v>
      </c>
      <c r="E638">
        <v>1119</v>
      </c>
      <c r="F638">
        <v>188</v>
      </c>
      <c r="G638" t="s">
        <v>40</v>
      </c>
      <c r="H638" t="s">
        <v>32</v>
      </c>
      <c r="I638">
        <v>41</v>
      </c>
      <c r="J638" t="s">
        <v>41</v>
      </c>
      <c r="K638" t="s">
        <v>46</v>
      </c>
      <c r="L638" t="s">
        <v>53</v>
      </c>
      <c r="M638">
        <v>171</v>
      </c>
      <c r="N638">
        <v>334</v>
      </c>
      <c r="O638" t="s">
        <v>45</v>
      </c>
      <c r="P638">
        <v>100</v>
      </c>
      <c r="Q638">
        <v>160</v>
      </c>
      <c r="R638">
        <v>130</v>
      </c>
      <c r="S638">
        <v>260</v>
      </c>
      <c r="T638">
        <v>73</v>
      </c>
      <c r="U638" t="s">
        <v>36</v>
      </c>
      <c r="V638" s="2">
        <v>0.5119760479041916</v>
      </c>
      <c r="W638" s="2">
        <v>0.62574850299401197</v>
      </c>
      <c r="X638">
        <v>32</v>
      </c>
    </row>
    <row r="639" spans="1:24" x14ac:dyDescent="0.3">
      <c r="A639">
        <v>959</v>
      </c>
      <c r="B639">
        <v>60</v>
      </c>
      <c r="C639">
        <v>-39</v>
      </c>
      <c r="D639" s="1">
        <v>41555</v>
      </c>
      <c r="E639">
        <v>606</v>
      </c>
      <c r="F639">
        <v>84</v>
      </c>
      <c r="G639" t="s">
        <v>40</v>
      </c>
      <c r="H639" t="s">
        <v>32</v>
      </c>
      <c r="I639">
        <v>54</v>
      </c>
      <c r="J639" t="s">
        <v>41</v>
      </c>
      <c r="K639" t="s">
        <v>42</v>
      </c>
      <c r="L639" t="s">
        <v>54</v>
      </c>
      <c r="M639">
        <v>1</v>
      </c>
      <c r="N639">
        <v>153</v>
      </c>
      <c r="O639" t="s">
        <v>45</v>
      </c>
      <c r="P639">
        <v>40</v>
      </c>
      <c r="Q639">
        <v>90</v>
      </c>
      <c r="R639">
        <v>40</v>
      </c>
      <c r="S639">
        <v>130</v>
      </c>
      <c r="T639">
        <v>83</v>
      </c>
      <c r="U639" t="s">
        <v>36</v>
      </c>
      <c r="V639" s="2">
        <v>6.5359477124183009E-3</v>
      </c>
      <c r="W639" s="2">
        <v>0.60784313725490191</v>
      </c>
      <c r="X639">
        <v>29</v>
      </c>
    </row>
    <row r="640" spans="1:24" x14ac:dyDescent="0.3">
      <c r="A640">
        <v>203</v>
      </c>
      <c r="B640">
        <v>130</v>
      </c>
      <c r="C640">
        <v>51</v>
      </c>
      <c r="D640" s="1">
        <v>41556</v>
      </c>
      <c r="E640">
        <v>1134</v>
      </c>
      <c r="F640">
        <v>195</v>
      </c>
      <c r="G640" t="s">
        <v>40</v>
      </c>
      <c r="H640" t="s">
        <v>32</v>
      </c>
      <c r="I640">
        <v>42</v>
      </c>
      <c r="J640" t="s">
        <v>41</v>
      </c>
      <c r="K640" t="s">
        <v>46</v>
      </c>
      <c r="L640" t="s">
        <v>53</v>
      </c>
      <c r="M640">
        <v>181</v>
      </c>
      <c r="N640">
        <v>346</v>
      </c>
      <c r="O640" t="s">
        <v>45</v>
      </c>
      <c r="P640">
        <v>110</v>
      </c>
      <c r="Q640">
        <v>180</v>
      </c>
      <c r="R640">
        <v>130</v>
      </c>
      <c r="S640">
        <v>290</v>
      </c>
      <c r="T640">
        <v>73</v>
      </c>
      <c r="U640" t="s">
        <v>36</v>
      </c>
      <c r="V640" s="2">
        <v>0.52312138728323698</v>
      </c>
      <c r="W640" s="2">
        <v>0.62427745664739887</v>
      </c>
      <c r="X640">
        <v>31</v>
      </c>
    </row>
    <row r="641" spans="1:24" x14ac:dyDescent="0.3">
      <c r="A641">
        <v>959</v>
      </c>
      <c r="B641">
        <v>115</v>
      </c>
      <c r="C641">
        <v>46</v>
      </c>
      <c r="D641" s="1">
        <v>41557</v>
      </c>
      <c r="E641">
        <v>1166</v>
      </c>
      <c r="F641">
        <v>174</v>
      </c>
      <c r="G641" t="s">
        <v>40</v>
      </c>
      <c r="H641" t="s">
        <v>32</v>
      </c>
      <c r="I641">
        <v>37</v>
      </c>
      <c r="J641" t="s">
        <v>41</v>
      </c>
      <c r="K641" t="s">
        <v>46</v>
      </c>
      <c r="L641" t="s">
        <v>53</v>
      </c>
      <c r="M641">
        <v>156</v>
      </c>
      <c r="N641">
        <v>308</v>
      </c>
      <c r="O641" t="s">
        <v>45</v>
      </c>
      <c r="P641">
        <v>100</v>
      </c>
      <c r="Q641">
        <v>160</v>
      </c>
      <c r="R641">
        <v>110</v>
      </c>
      <c r="S641">
        <v>260</v>
      </c>
      <c r="T641">
        <v>69</v>
      </c>
      <c r="U641" t="s">
        <v>36</v>
      </c>
      <c r="V641" s="2">
        <v>0.50649350649350644</v>
      </c>
      <c r="W641" s="2">
        <v>0.62662337662337664</v>
      </c>
      <c r="X641">
        <v>32</v>
      </c>
    </row>
    <row r="642" spans="1:24" x14ac:dyDescent="0.3">
      <c r="A642">
        <v>561</v>
      </c>
      <c r="B642">
        <v>91</v>
      </c>
      <c r="C642">
        <v>-14</v>
      </c>
      <c r="D642" s="1">
        <v>41558</v>
      </c>
      <c r="E642">
        <v>656</v>
      </c>
      <c r="F642">
        <v>127</v>
      </c>
      <c r="G642" t="s">
        <v>22</v>
      </c>
      <c r="H642" t="s">
        <v>32</v>
      </c>
      <c r="I642">
        <v>28</v>
      </c>
      <c r="J642" t="s">
        <v>41</v>
      </c>
      <c r="K642" t="s">
        <v>46</v>
      </c>
      <c r="L642" t="s">
        <v>47</v>
      </c>
      <c r="M642">
        <v>76</v>
      </c>
      <c r="N642">
        <v>218</v>
      </c>
      <c r="O642" t="s">
        <v>35</v>
      </c>
      <c r="P642">
        <v>70</v>
      </c>
      <c r="Q642">
        <v>110</v>
      </c>
      <c r="R642">
        <v>90</v>
      </c>
      <c r="S642">
        <v>180</v>
      </c>
      <c r="T642">
        <v>51</v>
      </c>
      <c r="U642" t="s">
        <v>28</v>
      </c>
      <c r="V642" s="2">
        <v>0.34862385321100919</v>
      </c>
      <c r="W642" s="2">
        <v>0.58256880733944949</v>
      </c>
      <c r="X642">
        <v>23</v>
      </c>
    </row>
    <row r="643" spans="1:24" x14ac:dyDescent="0.3">
      <c r="A643">
        <v>239</v>
      </c>
      <c r="B643">
        <v>86</v>
      </c>
      <c r="C643">
        <v>-30</v>
      </c>
      <c r="D643" s="1">
        <v>41559</v>
      </c>
      <c r="E643">
        <v>547</v>
      </c>
      <c r="F643">
        <v>116</v>
      </c>
      <c r="G643" t="s">
        <v>22</v>
      </c>
      <c r="H643" t="s">
        <v>32</v>
      </c>
      <c r="I643">
        <v>28</v>
      </c>
      <c r="J643" t="s">
        <v>41</v>
      </c>
      <c r="K643" t="s">
        <v>42</v>
      </c>
      <c r="L643" t="s">
        <v>43</v>
      </c>
      <c r="M643">
        <v>60</v>
      </c>
      <c r="N643">
        <v>202</v>
      </c>
      <c r="O643" t="s">
        <v>35</v>
      </c>
      <c r="P643">
        <v>70</v>
      </c>
      <c r="Q643">
        <v>110</v>
      </c>
      <c r="R643">
        <v>90</v>
      </c>
      <c r="S643">
        <v>180</v>
      </c>
      <c r="T643">
        <v>56</v>
      </c>
      <c r="U643" t="s">
        <v>28</v>
      </c>
      <c r="V643" s="2">
        <v>0.29702970297029702</v>
      </c>
      <c r="W643" s="2">
        <v>0.57425742574257421</v>
      </c>
      <c r="X643">
        <v>28</v>
      </c>
    </row>
    <row r="644" spans="1:24" x14ac:dyDescent="0.3">
      <c r="A644">
        <v>407</v>
      </c>
      <c r="B644">
        <v>82</v>
      </c>
      <c r="C644">
        <v>-26</v>
      </c>
      <c r="D644" s="1">
        <v>41560</v>
      </c>
      <c r="E644">
        <v>788</v>
      </c>
      <c r="F644">
        <v>123</v>
      </c>
      <c r="G644" t="s">
        <v>22</v>
      </c>
      <c r="H644" t="s">
        <v>32</v>
      </c>
      <c r="I644">
        <v>27</v>
      </c>
      <c r="J644" t="s">
        <v>41</v>
      </c>
      <c r="K644" t="s">
        <v>46</v>
      </c>
      <c r="L644" t="s">
        <v>53</v>
      </c>
      <c r="M644">
        <v>64</v>
      </c>
      <c r="N644">
        <v>205</v>
      </c>
      <c r="O644" t="s">
        <v>35</v>
      </c>
      <c r="P644">
        <v>60</v>
      </c>
      <c r="Q644">
        <v>110</v>
      </c>
      <c r="R644">
        <v>90</v>
      </c>
      <c r="S644">
        <v>170</v>
      </c>
      <c r="T644">
        <v>59</v>
      </c>
      <c r="U644" t="s">
        <v>36</v>
      </c>
      <c r="V644" s="2">
        <v>0.31219512195121951</v>
      </c>
      <c r="W644" s="2">
        <v>0.6</v>
      </c>
      <c r="X644">
        <v>32</v>
      </c>
    </row>
    <row r="645" spans="1:24" x14ac:dyDescent="0.3">
      <c r="A645">
        <v>857</v>
      </c>
      <c r="B645">
        <v>72</v>
      </c>
      <c r="C645">
        <v>18</v>
      </c>
      <c r="D645" s="1">
        <v>41561</v>
      </c>
      <c r="E645">
        <v>-3004</v>
      </c>
      <c r="F645">
        <v>402</v>
      </c>
      <c r="G645" t="s">
        <v>22</v>
      </c>
      <c r="H645" t="s">
        <v>32</v>
      </c>
      <c r="I645">
        <v>23</v>
      </c>
      <c r="J645" t="s">
        <v>41</v>
      </c>
      <c r="K645" t="s">
        <v>46</v>
      </c>
      <c r="L645" t="s">
        <v>53</v>
      </c>
      <c r="M645">
        <v>348</v>
      </c>
      <c r="N645">
        <v>474</v>
      </c>
      <c r="O645" t="s">
        <v>63</v>
      </c>
      <c r="P645">
        <v>50</v>
      </c>
      <c r="Q645">
        <v>350</v>
      </c>
      <c r="R645">
        <v>330</v>
      </c>
      <c r="S645">
        <v>400</v>
      </c>
      <c r="T645">
        <v>54</v>
      </c>
      <c r="U645" t="s">
        <v>36</v>
      </c>
      <c r="V645" s="2">
        <v>0.73417721518987344</v>
      </c>
      <c r="W645" s="2">
        <v>0.84810126582278478</v>
      </c>
      <c r="X645">
        <v>31</v>
      </c>
    </row>
    <row r="646" spans="1:24" x14ac:dyDescent="0.3">
      <c r="A646">
        <v>315</v>
      </c>
      <c r="B646">
        <v>260</v>
      </c>
      <c r="C646">
        <v>17</v>
      </c>
      <c r="D646" s="1">
        <v>41562</v>
      </c>
      <c r="E646">
        <v>2548</v>
      </c>
      <c r="F646">
        <v>390</v>
      </c>
      <c r="G646" t="s">
        <v>22</v>
      </c>
      <c r="H646" t="s">
        <v>32</v>
      </c>
      <c r="I646">
        <v>91</v>
      </c>
      <c r="J646" t="s">
        <v>41</v>
      </c>
      <c r="K646" t="s">
        <v>46</v>
      </c>
      <c r="L646" t="s">
        <v>53</v>
      </c>
      <c r="M646">
        <v>247</v>
      </c>
      <c r="N646">
        <v>650</v>
      </c>
      <c r="O646" t="s">
        <v>68</v>
      </c>
      <c r="P646">
        <v>210</v>
      </c>
      <c r="Q646">
        <v>330</v>
      </c>
      <c r="R646">
        <v>230</v>
      </c>
      <c r="S646">
        <v>540</v>
      </c>
      <c r="T646">
        <v>143</v>
      </c>
      <c r="U646" t="s">
        <v>36</v>
      </c>
      <c r="V646" s="2">
        <v>0.38</v>
      </c>
      <c r="W646" s="2">
        <v>0.6</v>
      </c>
      <c r="X646">
        <v>52</v>
      </c>
    </row>
    <row r="647" spans="1:24" x14ac:dyDescent="0.3">
      <c r="A647">
        <v>239</v>
      </c>
      <c r="B647">
        <v>96</v>
      </c>
      <c r="C647">
        <v>-32</v>
      </c>
      <c r="D647" s="1">
        <v>41563</v>
      </c>
      <c r="E647">
        <v>683</v>
      </c>
      <c r="F647">
        <v>134</v>
      </c>
      <c r="G647" t="s">
        <v>22</v>
      </c>
      <c r="H647" t="s">
        <v>32</v>
      </c>
      <c r="I647">
        <v>87</v>
      </c>
      <c r="J647" t="s">
        <v>41</v>
      </c>
      <c r="K647" t="s">
        <v>42</v>
      </c>
      <c r="L647" t="s">
        <v>54</v>
      </c>
      <c r="M647">
        <v>18</v>
      </c>
      <c r="N647">
        <v>230</v>
      </c>
      <c r="O647" t="s">
        <v>35</v>
      </c>
      <c r="P647">
        <v>80</v>
      </c>
      <c r="Q647">
        <v>130</v>
      </c>
      <c r="R647">
        <v>50</v>
      </c>
      <c r="S647">
        <v>210</v>
      </c>
      <c r="T647">
        <v>116</v>
      </c>
      <c r="U647" t="s">
        <v>36</v>
      </c>
      <c r="V647" s="2">
        <v>7.8260869565217397E-2</v>
      </c>
      <c r="W647" s="2">
        <v>0.58260869565217388</v>
      </c>
      <c r="X647">
        <v>29</v>
      </c>
    </row>
    <row r="648" spans="1:24" x14ac:dyDescent="0.3">
      <c r="A648">
        <v>845</v>
      </c>
      <c r="B648">
        <v>125</v>
      </c>
      <c r="C648">
        <v>-32</v>
      </c>
      <c r="D648" s="1">
        <v>41564</v>
      </c>
      <c r="E648">
        <v>3142</v>
      </c>
      <c r="F648">
        <v>-56</v>
      </c>
      <c r="G648" t="s">
        <v>22</v>
      </c>
      <c r="H648" t="s">
        <v>32</v>
      </c>
      <c r="I648">
        <v>113</v>
      </c>
      <c r="J648" t="s">
        <v>41</v>
      </c>
      <c r="K648" t="s">
        <v>42</v>
      </c>
      <c r="L648" t="s">
        <v>54</v>
      </c>
      <c r="M648">
        <v>-202</v>
      </c>
      <c r="N648">
        <v>69</v>
      </c>
      <c r="O648" t="s">
        <v>68</v>
      </c>
      <c r="P648">
        <v>110</v>
      </c>
      <c r="Q648">
        <v>-60</v>
      </c>
      <c r="R648">
        <v>-170</v>
      </c>
      <c r="S648">
        <v>50</v>
      </c>
      <c r="T648">
        <v>146</v>
      </c>
      <c r="U648" t="s">
        <v>36</v>
      </c>
      <c r="V648" s="2">
        <v>-2.9275362318840581</v>
      </c>
      <c r="W648" s="2">
        <v>-0.81159420289855078</v>
      </c>
      <c r="X648">
        <v>33</v>
      </c>
    </row>
    <row r="649" spans="1:24" x14ac:dyDescent="0.3">
      <c r="A649">
        <v>781</v>
      </c>
      <c r="B649">
        <v>161</v>
      </c>
      <c r="C649">
        <v>-28</v>
      </c>
      <c r="D649" s="1">
        <v>41565</v>
      </c>
      <c r="E649">
        <v>1267</v>
      </c>
      <c r="F649">
        <v>161</v>
      </c>
      <c r="G649" t="s">
        <v>22</v>
      </c>
      <c r="H649" t="s">
        <v>32</v>
      </c>
      <c r="I649">
        <v>45</v>
      </c>
      <c r="J649" t="s">
        <v>41</v>
      </c>
      <c r="K649" t="s">
        <v>42</v>
      </c>
      <c r="L649" t="s">
        <v>67</v>
      </c>
      <c r="M649">
        <v>92</v>
      </c>
      <c r="N649">
        <v>322</v>
      </c>
      <c r="O649" t="s">
        <v>63</v>
      </c>
      <c r="P649">
        <v>140</v>
      </c>
      <c r="Q649">
        <v>160</v>
      </c>
      <c r="R649">
        <v>120</v>
      </c>
      <c r="S649">
        <v>300</v>
      </c>
      <c r="T649">
        <v>69</v>
      </c>
      <c r="U649" t="s">
        <v>36</v>
      </c>
      <c r="V649" s="2">
        <v>0.2857142857142857</v>
      </c>
      <c r="W649" s="2">
        <v>0.5</v>
      </c>
      <c r="X649">
        <v>24</v>
      </c>
    </row>
    <row r="650" spans="1:24" x14ac:dyDescent="0.3">
      <c r="A650">
        <v>718</v>
      </c>
      <c r="B650">
        <v>239</v>
      </c>
      <c r="C650">
        <v>-15</v>
      </c>
      <c r="D650" s="1">
        <v>41566</v>
      </c>
      <c r="E650">
        <v>1197</v>
      </c>
      <c r="F650">
        <v>526</v>
      </c>
      <c r="G650" t="s">
        <v>22</v>
      </c>
      <c r="H650" t="s">
        <v>32</v>
      </c>
      <c r="I650">
        <v>66</v>
      </c>
      <c r="J650" t="s">
        <v>41</v>
      </c>
      <c r="K650" t="s">
        <v>42</v>
      </c>
      <c r="L650" t="s">
        <v>67</v>
      </c>
      <c r="M650">
        <v>435</v>
      </c>
      <c r="N650">
        <v>765</v>
      </c>
      <c r="O650" t="s">
        <v>68</v>
      </c>
      <c r="P650">
        <v>210</v>
      </c>
      <c r="Q650">
        <v>510</v>
      </c>
      <c r="R650">
        <v>450</v>
      </c>
      <c r="S650">
        <v>720</v>
      </c>
      <c r="T650">
        <v>91</v>
      </c>
      <c r="U650" t="s">
        <v>36</v>
      </c>
      <c r="V650" s="2">
        <v>0.56862745098039214</v>
      </c>
      <c r="W650" s="2">
        <v>0.68758169934640523</v>
      </c>
      <c r="X650">
        <v>25</v>
      </c>
    </row>
    <row r="651" spans="1:24" x14ac:dyDescent="0.3">
      <c r="A651">
        <v>386</v>
      </c>
      <c r="B651">
        <v>22</v>
      </c>
      <c r="C651">
        <v>-10</v>
      </c>
      <c r="D651" s="1">
        <v>41567</v>
      </c>
      <c r="E651">
        <v>573</v>
      </c>
      <c r="F651">
        <v>29</v>
      </c>
      <c r="G651" t="s">
        <v>22</v>
      </c>
      <c r="H651" t="s">
        <v>32</v>
      </c>
      <c r="I651">
        <v>7</v>
      </c>
      <c r="J651" t="s">
        <v>24</v>
      </c>
      <c r="K651" t="s">
        <v>25</v>
      </c>
      <c r="L651" t="s">
        <v>58</v>
      </c>
      <c r="M651">
        <v>10</v>
      </c>
      <c r="N651">
        <v>51</v>
      </c>
      <c r="O651" t="s">
        <v>35</v>
      </c>
      <c r="P651">
        <v>0</v>
      </c>
      <c r="Q651">
        <v>20</v>
      </c>
      <c r="R651">
        <v>20</v>
      </c>
      <c r="S651">
        <v>20</v>
      </c>
      <c r="T651">
        <v>19</v>
      </c>
      <c r="U651" t="s">
        <v>28</v>
      </c>
      <c r="V651" s="2">
        <v>0.19607843137254902</v>
      </c>
      <c r="W651" s="2">
        <v>0.56862745098039214</v>
      </c>
      <c r="X651">
        <v>12</v>
      </c>
    </row>
    <row r="652" spans="1:24" x14ac:dyDescent="0.3">
      <c r="A652">
        <v>845</v>
      </c>
      <c r="B652">
        <v>255</v>
      </c>
      <c r="C652">
        <v>59</v>
      </c>
      <c r="D652" s="1">
        <v>41568</v>
      </c>
      <c r="E652">
        <v>1622</v>
      </c>
      <c r="F652">
        <v>258</v>
      </c>
      <c r="G652" t="s">
        <v>22</v>
      </c>
      <c r="H652" t="s">
        <v>32</v>
      </c>
      <c r="I652">
        <v>96</v>
      </c>
      <c r="J652" t="s">
        <v>24</v>
      </c>
      <c r="K652" t="s">
        <v>25</v>
      </c>
      <c r="L652" t="s">
        <v>26</v>
      </c>
      <c r="M652">
        <v>129</v>
      </c>
      <c r="N652">
        <v>513</v>
      </c>
      <c r="O652" t="s">
        <v>68</v>
      </c>
      <c r="P652">
        <v>140</v>
      </c>
      <c r="Q652">
        <v>150</v>
      </c>
      <c r="R652">
        <v>70</v>
      </c>
      <c r="S652">
        <v>290</v>
      </c>
      <c r="T652">
        <v>129</v>
      </c>
      <c r="U652" t="s">
        <v>28</v>
      </c>
      <c r="V652" s="2">
        <v>0.25146198830409355</v>
      </c>
      <c r="W652" s="2">
        <v>0.50292397660818711</v>
      </c>
      <c r="X652">
        <v>33</v>
      </c>
    </row>
    <row r="653" spans="1:24" x14ac:dyDescent="0.3">
      <c r="A653">
        <v>315</v>
      </c>
      <c r="B653">
        <v>239</v>
      </c>
      <c r="C653">
        <v>-70</v>
      </c>
      <c r="D653" s="1">
        <v>41569</v>
      </c>
      <c r="E653">
        <v>4360</v>
      </c>
      <c r="F653">
        <v>-75</v>
      </c>
      <c r="G653" t="s">
        <v>22</v>
      </c>
      <c r="H653" t="s">
        <v>32</v>
      </c>
      <c r="I653">
        <v>74</v>
      </c>
      <c r="J653" t="s">
        <v>24</v>
      </c>
      <c r="K653" t="s">
        <v>25</v>
      </c>
      <c r="L653" t="s">
        <v>29</v>
      </c>
      <c r="M653">
        <v>-170</v>
      </c>
      <c r="N653">
        <v>164</v>
      </c>
      <c r="O653" t="s">
        <v>68</v>
      </c>
      <c r="P653">
        <v>130</v>
      </c>
      <c r="Q653">
        <v>-50</v>
      </c>
      <c r="R653">
        <v>-100</v>
      </c>
      <c r="S653">
        <v>80</v>
      </c>
      <c r="T653">
        <v>95</v>
      </c>
      <c r="U653" t="s">
        <v>28</v>
      </c>
      <c r="V653" s="2">
        <v>-1.0365853658536586</v>
      </c>
      <c r="W653" s="2">
        <v>-0.45731707317073172</v>
      </c>
      <c r="X653">
        <v>21</v>
      </c>
    </row>
    <row r="654" spans="1:24" x14ac:dyDescent="0.3">
      <c r="A654">
        <v>516</v>
      </c>
      <c r="B654">
        <v>108</v>
      </c>
      <c r="C654">
        <v>-25</v>
      </c>
      <c r="D654" s="1">
        <v>41570</v>
      </c>
      <c r="E654">
        <v>971</v>
      </c>
      <c r="F654">
        <v>157</v>
      </c>
      <c r="G654" t="s">
        <v>22</v>
      </c>
      <c r="H654" t="s">
        <v>32</v>
      </c>
      <c r="I654">
        <v>30</v>
      </c>
      <c r="J654" t="s">
        <v>24</v>
      </c>
      <c r="K654" t="s">
        <v>33</v>
      </c>
      <c r="L654" t="s">
        <v>34</v>
      </c>
      <c r="M654">
        <v>115</v>
      </c>
      <c r="N654">
        <v>265</v>
      </c>
      <c r="O654" t="s">
        <v>68</v>
      </c>
      <c r="P654">
        <v>110</v>
      </c>
      <c r="Q654">
        <v>170</v>
      </c>
      <c r="R654">
        <v>140</v>
      </c>
      <c r="S654">
        <v>280</v>
      </c>
      <c r="T654">
        <v>42</v>
      </c>
      <c r="U654" t="s">
        <v>36</v>
      </c>
      <c r="V654" s="2">
        <v>0.43396226415094341</v>
      </c>
      <c r="W654" s="2">
        <v>0.59245283018867922</v>
      </c>
      <c r="X654">
        <v>12</v>
      </c>
    </row>
    <row r="655" spans="1:24" x14ac:dyDescent="0.3">
      <c r="A655">
        <v>716</v>
      </c>
      <c r="B655">
        <v>123</v>
      </c>
      <c r="C655">
        <v>-26</v>
      </c>
      <c r="D655" s="1">
        <v>41571</v>
      </c>
      <c r="E655">
        <v>915</v>
      </c>
      <c r="F655">
        <v>179</v>
      </c>
      <c r="G655" t="s">
        <v>22</v>
      </c>
      <c r="H655" t="s">
        <v>32</v>
      </c>
      <c r="I655">
        <v>34</v>
      </c>
      <c r="J655" t="s">
        <v>24</v>
      </c>
      <c r="K655" t="s">
        <v>33</v>
      </c>
      <c r="L655" t="s">
        <v>62</v>
      </c>
      <c r="M655">
        <v>134</v>
      </c>
      <c r="N655">
        <v>302</v>
      </c>
      <c r="O655" t="s">
        <v>68</v>
      </c>
      <c r="P655">
        <v>130</v>
      </c>
      <c r="Q655">
        <v>190</v>
      </c>
      <c r="R655">
        <v>160</v>
      </c>
      <c r="S655">
        <v>320</v>
      </c>
      <c r="T655">
        <v>45</v>
      </c>
      <c r="U655" t="s">
        <v>36</v>
      </c>
      <c r="V655" s="2">
        <v>0.44370860927152317</v>
      </c>
      <c r="W655" s="2">
        <v>0.5927152317880795</v>
      </c>
      <c r="X655">
        <v>11</v>
      </c>
    </row>
    <row r="656" spans="1:24" x14ac:dyDescent="0.3">
      <c r="A656">
        <v>518</v>
      </c>
      <c r="B656">
        <v>76</v>
      </c>
      <c r="C656">
        <v>-22</v>
      </c>
      <c r="D656" s="1">
        <v>41572</v>
      </c>
      <c r="E656">
        <v>580</v>
      </c>
      <c r="F656">
        <v>111</v>
      </c>
      <c r="G656" t="s">
        <v>22</v>
      </c>
      <c r="H656" t="s">
        <v>32</v>
      </c>
      <c r="I656">
        <v>21</v>
      </c>
      <c r="J656" t="s">
        <v>24</v>
      </c>
      <c r="K656" t="s">
        <v>33</v>
      </c>
      <c r="L656" t="s">
        <v>38</v>
      </c>
      <c r="M656">
        <v>78</v>
      </c>
      <c r="N656">
        <v>187</v>
      </c>
      <c r="O656" t="s">
        <v>68</v>
      </c>
      <c r="P656">
        <v>80</v>
      </c>
      <c r="Q656">
        <v>120</v>
      </c>
      <c r="R656">
        <v>100</v>
      </c>
      <c r="S656">
        <v>200</v>
      </c>
      <c r="T656">
        <v>33</v>
      </c>
      <c r="U656" t="s">
        <v>36</v>
      </c>
      <c r="V656" s="2">
        <v>0.41711229946524064</v>
      </c>
      <c r="W656" s="2">
        <v>0.5935828877005348</v>
      </c>
      <c r="X656">
        <v>12</v>
      </c>
    </row>
    <row r="657" spans="1:24" x14ac:dyDescent="0.3">
      <c r="A657">
        <v>772</v>
      </c>
      <c r="B657">
        <v>102</v>
      </c>
      <c r="C657">
        <v>-1</v>
      </c>
      <c r="D657" s="1">
        <v>41573</v>
      </c>
      <c r="E657">
        <v>666</v>
      </c>
      <c r="F657">
        <v>143</v>
      </c>
      <c r="G657" t="s">
        <v>22</v>
      </c>
      <c r="H657" t="s">
        <v>32</v>
      </c>
      <c r="I657">
        <v>31</v>
      </c>
      <c r="J657" t="s">
        <v>41</v>
      </c>
      <c r="K657" t="s">
        <v>46</v>
      </c>
      <c r="L657" t="s">
        <v>47</v>
      </c>
      <c r="M657">
        <v>89</v>
      </c>
      <c r="N657">
        <v>245</v>
      </c>
      <c r="O657" t="s">
        <v>35</v>
      </c>
      <c r="P657">
        <v>90</v>
      </c>
      <c r="Q657">
        <v>130</v>
      </c>
      <c r="R657">
        <v>90</v>
      </c>
      <c r="S657">
        <v>220</v>
      </c>
      <c r="T657">
        <v>54</v>
      </c>
      <c r="U657" t="s">
        <v>28</v>
      </c>
      <c r="V657" s="2">
        <v>0.36326530612244901</v>
      </c>
      <c r="W657" s="2">
        <v>0.58367346938775511</v>
      </c>
      <c r="X657">
        <v>23</v>
      </c>
    </row>
    <row r="658" spans="1:24" x14ac:dyDescent="0.3">
      <c r="A658">
        <v>561</v>
      </c>
      <c r="B658">
        <v>77</v>
      </c>
      <c r="C658">
        <v>-9</v>
      </c>
      <c r="D658" s="1">
        <v>41574</v>
      </c>
      <c r="E658">
        <v>557</v>
      </c>
      <c r="F658">
        <v>103</v>
      </c>
      <c r="G658" t="s">
        <v>22</v>
      </c>
      <c r="H658" t="s">
        <v>32</v>
      </c>
      <c r="I658">
        <v>25</v>
      </c>
      <c r="J658" t="s">
        <v>41</v>
      </c>
      <c r="K658" t="s">
        <v>42</v>
      </c>
      <c r="L658" t="s">
        <v>43</v>
      </c>
      <c r="M658">
        <v>51</v>
      </c>
      <c r="N658">
        <v>180</v>
      </c>
      <c r="O658" t="s">
        <v>35</v>
      </c>
      <c r="P658">
        <v>70</v>
      </c>
      <c r="Q658">
        <v>100</v>
      </c>
      <c r="R658">
        <v>60</v>
      </c>
      <c r="S658">
        <v>170</v>
      </c>
      <c r="T658">
        <v>52</v>
      </c>
      <c r="U658" t="s">
        <v>28</v>
      </c>
      <c r="V658" s="2">
        <v>0.28333333333333333</v>
      </c>
      <c r="W658" s="2">
        <v>0.57222222222222219</v>
      </c>
      <c r="X658">
        <v>27</v>
      </c>
    </row>
    <row r="659" spans="1:24" x14ac:dyDescent="0.3">
      <c r="A659">
        <v>754</v>
      </c>
      <c r="B659">
        <v>78</v>
      </c>
      <c r="C659">
        <v>3</v>
      </c>
      <c r="D659" s="1">
        <v>41575</v>
      </c>
      <c r="E659">
        <v>798</v>
      </c>
      <c r="F659">
        <v>119</v>
      </c>
      <c r="G659" t="s">
        <v>22</v>
      </c>
      <c r="H659" t="s">
        <v>32</v>
      </c>
      <c r="I659">
        <v>25</v>
      </c>
      <c r="J659" t="s">
        <v>41</v>
      </c>
      <c r="K659" t="s">
        <v>46</v>
      </c>
      <c r="L659" t="s">
        <v>53</v>
      </c>
      <c r="M659">
        <v>63</v>
      </c>
      <c r="N659">
        <v>197</v>
      </c>
      <c r="O659" t="s">
        <v>35</v>
      </c>
      <c r="P659">
        <v>70</v>
      </c>
      <c r="Q659">
        <v>100</v>
      </c>
      <c r="R659">
        <v>60</v>
      </c>
      <c r="S659">
        <v>170</v>
      </c>
      <c r="T659">
        <v>56</v>
      </c>
      <c r="U659" t="s">
        <v>36</v>
      </c>
      <c r="V659" s="2">
        <v>0.31979695431472083</v>
      </c>
      <c r="W659" s="2">
        <v>0.60406091370558379</v>
      </c>
      <c r="X659">
        <v>31</v>
      </c>
    </row>
    <row r="660" spans="1:24" x14ac:dyDescent="0.3">
      <c r="A660">
        <v>978</v>
      </c>
      <c r="B660">
        <v>75</v>
      </c>
      <c r="C660">
        <v>24</v>
      </c>
      <c r="D660" s="1">
        <v>41576</v>
      </c>
      <c r="E660">
        <v>-3287</v>
      </c>
      <c r="F660">
        <v>379</v>
      </c>
      <c r="G660" t="s">
        <v>22</v>
      </c>
      <c r="H660" t="s">
        <v>32</v>
      </c>
      <c r="I660">
        <v>24</v>
      </c>
      <c r="J660" t="s">
        <v>41</v>
      </c>
      <c r="K660" t="s">
        <v>46</v>
      </c>
      <c r="L660" t="s">
        <v>53</v>
      </c>
      <c r="M660">
        <v>324</v>
      </c>
      <c r="N660">
        <v>454</v>
      </c>
      <c r="O660" t="s">
        <v>63</v>
      </c>
      <c r="P660">
        <v>60</v>
      </c>
      <c r="Q660">
        <v>340</v>
      </c>
      <c r="R660">
        <v>300</v>
      </c>
      <c r="S660">
        <v>400</v>
      </c>
      <c r="T660">
        <v>55</v>
      </c>
      <c r="U660" t="s">
        <v>36</v>
      </c>
      <c r="V660" s="2">
        <v>0.71365638766519823</v>
      </c>
      <c r="W660" s="2">
        <v>0.83480176211453749</v>
      </c>
      <c r="X660">
        <v>31</v>
      </c>
    </row>
    <row r="661" spans="1:24" x14ac:dyDescent="0.3">
      <c r="A661">
        <v>347</v>
      </c>
      <c r="B661">
        <v>249</v>
      </c>
      <c r="C661">
        <v>6</v>
      </c>
      <c r="D661" s="1">
        <v>41577</v>
      </c>
      <c r="E661">
        <v>2580</v>
      </c>
      <c r="F661">
        <v>374</v>
      </c>
      <c r="G661" t="s">
        <v>22</v>
      </c>
      <c r="H661" t="s">
        <v>32</v>
      </c>
      <c r="I661">
        <v>87</v>
      </c>
      <c r="J661" t="s">
        <v>41</v>
      </c>
      <c r="K661" t="s">
        <v>46</v>
      </c>
      <c r="L661" t="s">
        <v>53</v>
      </c>
      <c r="M661">
        <v>236</v>
      </c>
      <c r="N661">
        <v>623</v>
      </c>
      <c r="O661" t="s">
        <v>68</v>
      </c>
      <c r="P661">
        <v>220</v>
      </c>
      <c r="Q661">
        <v>340</v>
      </c>
      <c r="R661">
        <v>230</v>
      </c>
      <c r="S661">
        <v>560</v>
      </c>
      <c r="T661">
        <v>138</v>
      </c>
      <c r="U661" t="s">
        <v>36</v>
      </c>
      <c r="V661" s="2">
        <v>0.37881219903691815</v>
      </c>
      <c r="W661" s="2">
        <v>0.6003210272873194</v>
      </c>
      <c r="X661">
        <v>51</v>
      </c>
    </row>
    <row r="662" spans="1:24" x14ac:dyDescent="0.3">
      <c r="A662">
        <v>754</v>
      </c>
      <c r="B662">
        <v>94</v>
      </c>
      <c r="C662">
        <v>-5</v>
      </c>
      <c r="D662" s="1">
        <v>41578</v>
      </c>
      <c r="E662">
        <v>694</v>
      </c>
      <c r="F662">
        <v>130</v>
      </c>
      <c r="G662" t="s">
        <v>22</v>
      </c>
      <c r="H662" t="s">
        <v>32</v>
      </c>
      <c r="I662">
        <v>85</v>
      </c>
      <c r="J662" t="s">
        <v>41</v>
      </c>
      <c r="K662" t="s">
        <v>42</v>
      </c>
      <c r="L662" t="s">
        <v>54</v>
      </c>
      <c r="M662">
        <v>15</v>
      </c>
      <c r="N662">
        <v>224</v>
      </c>
      <c r="O662" t="s">
        <v>35</v>
      </c>
      <c r="P662">
        <v>90</v>
      </c>
      <c r="Q662">
        <v>120</v>
      </c>
      <c r="R662">
        <v>20</v>
      </c>
      <c r="S662">
        <v>210</v>
      </c>
      <c r="T662">
        <v>115</v>
      </c>
      <c r="U662" t="s">
        <v>36</v>
      </c>
      <c r="V662" s="2">
        <v>6.6964285714285712E-2</v>
      </c>
      <c r="W662" s="2">
        <v>0.5803571428571429</v>
      </c>
      <c r="X662">
        <v>30</v>
      </c>
    </row>
    <row r="663" spans="1:24" x14ac:dyDescent="0.3">
      <c r="A663">
        <v>347</v>
      </c>
      <c r="B663">
        <v>121</v>
      </c>
      <c r="C663">
        <v>-12</v>
      </c>
      <c r="D663" s="1">
        <v>41579</v>
      </c>
      <c r="E663">
        <v>3385</v>
      </c>
      <c r="F663">
        <v>-60</v>
      </c>
      <c r="G663" t="s">
        <v>22</v>
      </c>
      <c r="H663" t="s">
        <v>32</v>
      </c>
      <c r="I663">
        <v>109</v>
      </c>
      <c r="J663" t="s">
        <v>41</v>
      </c>
      <c r="K663" t="s">
        <v>42</v>
      </c>
      <c r="L663" t="s">
        <v>54</v>
      </c>
      <c r="M663">
        <v>-202</v>
      </c>
      <c r="N663">
        <v>61</v>
      </c>
      <c r="O663" t="s">
        <v>68</v>
      </c>
      <c r="P663">
        <v>110</v>
      </c>
      <c r="Q663">
        <v>-60</v>
      </c>
      <c r="R663">
        <v>-190</v>
      </c>
      <c r="S663">
        <v>50</v>
      </c>
      <c r="T663">
        <v>142</v>
      </c>
      <c r="U663" t="s">
        <v>36</v>
      </c>
      <c r="V663" s="2">
        <v>-3.3114754098360657</v>
      </c>
      <c r="W663" s="2">
        <v>-0.98360655737704916</v>
      </c>
      <c r="X663">
        <v>33</v>
      </c>
    </row>
    <row r="664" spans="1:24" x14ac:dyDescent="0.3">
      <c r="A664">
        <v>508</v>
      </c>
      <c r="B664">
        <v>181</v>
      </c>
      <c r="C664">
        <v>-12</v>
      </c>
      <c r="D664" s="1">
        <v>41580</v>
      </c>
      <c r="E664">
        <v>1283</v>
      </c>
      <c r="F664">
        <v>182</v>
      </c>
      <c r="G664" t="s">
        <v>22</v>
      </c>
      <c r="H664" t="s">
        <v>32</v>
      </c>
      <c r="I664">
        <v>50</v>
      </c>
      <c r="J664" t="s">
        <v>41</v>
      </c>
      <c r="K664" t="s">
        <v>42</v>
      </c>
      <c r="L664" t="s">
        <v>67</v>
      </c>
      <c r="M664">
        <v>108</v>
      </c>
      <c r="N664">
        <v>363</v>
      </c>
      <c r="O664" t="s">
        <v>63</v>
      </c>
      <c r="P664">
        <v>170</v>
      </c>
      <c r="Q664">
        <v>180</v>
      </c>
      <c r="R664">
        <v>120</v>
      </c>
      <c r="S664">
        <v>350</v>
      </c>
      <c r="T664">
        <v>74</v>
      </c>
      <c r="U664" t="s">
        <v>36</v>
      </c>
      <c r="V664" s="2">
        <v>0.2975206611570248</v>
      </c>
      <c r="W664" s="2">
        <v>0.50137741046831952</v>
      </c>
      <c r="X664">
        <v>24</v>
      </c>
    </row>
    <row r="665" spans="1:24" x14ac:dyDescent="0.3">
      <c r="A665">
        <v>646</v>
      </c>
      <c r="B665">
        <v>211</v>
      </c>
      <c r="C665">
        <v>-9</v>
      </c>
      <c r="D665" s="1">
        <v>41581</v>
      </c>
      <c r="E665">
        <v>933</v>
      </c>
      <c r="F665">
        <v>464</v>
      </c>
      <c r="G665" t="s">
        <v>22</v>
      </c>
      <c r="H665" t="s">
        <v>32</v>
      </c>
      <c r="I665">
        <v>59</v>
      </c>
      <c r="J665" t="s">
        <v>41</v>
      </c>
      <c r="K665" t="s">
        <v>42</v>
      </c>
      <c r="L665" t="s">
        <v>67</v>
      </c>
      <c r="M665">
        <v>381</v>
      </c>
      <c r="N665">
        <v>675</v>
      </c>
      <c r="O665" t="s">
        <v>68</v>
      </c>
      <c r="P665">
        <v>200</v>
      </c>
      <c r="Q665">
        <v>460</v>
      </c>
      <c r="R665">
        <v>390</v>
      </c>
      <c r="S665">
        <v>660</v>
      </c>
      <c r="T665">
        <v>83</v>
      </c>
      <c r="U665" t="s">
        <v>36</v>
      </c>
      <c r="V665" s="2">
        <v>0.56444444444444442</v>
      </c>
      <c r="W665" s="2">
        <v>0.68740740740740736</v>
      </c>
      <c r="X665">
        <v>24</v>
      </c>
    </row>
    <row r="666" spans="1:24" x14ac:dyDescent="0.3">
      <c r="A666">
        <v>561</v>
      </c>
      <c r="B666">
        <v>22</v>
      </c>
      <c r="C666">
        <v>1</v>
      </c>
      <c r="D666" s="1">
        <v>41582</v>
      </c>
      <c r="E666">
        <v>570</v>
      </c>
      <c r="F666">
        <v>30</v>
      </c>
      <c r="G666" t="s">
        <v>22</v>
      </c>
      <c r="H666" t="s">
        <v>32</v>
      </c>
      <c r="I666">
        <v>7</v>
      </c>
      <c r="J666" t="s">
        <v>24</v>
      </c>
      <c r="K666" t="s">
        <v>25</v>
      </c>
      <c r="L666" t="s">
        <v>58</v>
      </c>
      <c r="M666">
        <v>11</v>
      </c>
      <c r="N666">
        <v>52</v>
      </c>
      <c r="O666" t="s">
        <v>35</v>
      </c>
      <c r="P666">
        <v>10</v>
      </c>
      <c r="Q666">
        <v>20</v>
      </c>
      <c r="R666">
        <v>10</v>
      </c>
      <c r="S666">
        <v>30</v>
      </c>
      <c r="T666">
        <v>19</v>
      </c>
      <c r="U666" t="s">
        <v>28</v>
      </c>
      <c r="V666" s="2">
        <v>0.21153846153846154</v>
      </c>
      <c r="W666" s="2">
        <v>0.57692307692307687</v>
      </c>
      <c r="X666">
        <v>12</v>
      </c>
    </row>
    <row r="667" spans="1:24" x14ac:dyDescent="0.3">
      <c r="A667">
        <v>631</v>
      </c>
      <c r="B667">
        <v>245</v>
      </c>
      <c r="C667">
        <v>64</v>
      </c>
      <c r="D667" s="1">
        <v>41583</v>
      </c>
      <c r="E667">
        <v>1704</v>
      </c>
      <c r="F667">
        <v>331</v>
      </c>
      <c r="G667" t="s">
        <v>22</v>
      </c>
      <c r="H667" t="s">
        <v>32</v>
      </c>
      <c r="I667">
        <v>93</v>
      </c>
      <c r="J667" t="s">
        <v>24</v>
      </c>
      <c r="K667" t="s">
        <v>25</v>
      </c>
      <c r="L667" t="s">
        <v>26</v>
      </c>
      <c r="M667">
        <v>204</v>
      </c>
      <c r="N667">
        <v>576</v>
      </c>
      <c r="O667" t="s">
        <v>68</v>
      </c>
      <c r="P667">
        <v>180</v>
      </c>
      <c r="Q667">
        <v>240</v>
      </c>
      <c r="R667">
        <v>140</v>
      </c>
      <c r="S667">
        <v>420</v>
      </c>
      <c r="T667">
        <v>127</v>
      </c>
      <c r="U667" t="s">
        <v>28</v>
      </c>
      <c r="V667" s="2">
        <v>0.35416666666666669</v>
      </c>
      <c r="W667" s="2">
        <v>0.57465277777777779</v>
      </c>
      <c r="X667">
        <v>34</v>
      </c>
    </row>
    <row r="668" spans="1:24" x14ac:dyDescent="0.3">
      <c r="A668">
        <v>914</v>
      </c>
      <c r="B668">
        <v>225</v>
      </c>
      <c r="C668">
        <v>-36</v>
      </c>
      <c r="D668" s="1">
        <v>41584</v>
      </c>
      <c r="E668">
        <v>4742</v>
      </c>
      <c r="F668">
        <v>-65</v>
      </c>
      <c r="G668" t="s">
        <v>22</v>
      </c>
      <c r="H668" t="s">
        <v>32</v>
      </c>
      <c r="I668">
        <v>69</v>
      </c>
      <c r="J668" t="s">
        <v>24</v>
      </c>
      <c r="K668" t="s">
        <v>25</v>
      </c>
      <c r="L668" t="s">
        <v>29</v>
      </c>
      <c r="M668">
        <v>-156</v>
      </c>
      <c r="N668">
        <v>160</v>
      </c>
      <c r="O668" t="s">
        <v>68</v>
      </c>
      <c r="P668">
        <v>160</v>
      </c>
      <c r="Q668">
        <v>-50</v>
      </c>
      <c r="R668">
        <v>-120</v>
      </c>
      <c r="S668">
        <v>110</v>
      </c>
      <c r="T668">
        <v>91</v>
      </c>
      <c r="U668" t="s">
        <v>28</v>
      </c>
      <c r="V668" s="2">
        <v>-0.97499999999999998</v>
      </c>
      <c r="W668" s="2">
        <v>-0.40625</v>
      </c>
      <c r="X668">
        <v>22</v>
      </c>
    </row>
    <row r="669" spans="1:24" x14ac:dyDescent="0.3">
      <c r="A669">
        <v>518</v>
      </c>
      <c r="B669">
        <v>81</v>
      </c>
      <c r="C669">
        <v>-6</v>
      </c>
      <c r="D669" s="1">
        <v>41585</v>
      </c>
      <c r="E669">
        <v>984</v>
      </c>
      <c r="F669">
        <v>117</v>
      </c>
      <c r="G669" t="s">
        <v>22</v>
      </c>
      <c r="H669" t="s">
        <v>32</v>
      </c>
      <c r="I669">
        <v>22</v>
      </c>
      <c r="J669" t="s">
        <v>24</v>
      </c>
      <c r="K669" t="s">
        <v>33</v>
      </c>
      <c r="L669" t="s">
        <v>34</v>
      </c>
      <c r="M669">
        <v>84</v>
      </c>
      <c r="N669">
        <v>198</v>
      </c>
      <c r="O669" t="s">
        <v>68</v>
      </c>
      <c r="P669">
        <v>80</v>
      </c>
      <c r="Q669">
        <v>120</v>
      </c>
      <c r="R669">
        <v>90</v>
      </c>
      <c r="S669">
        <v>200</v>
      </c>
      <c r="T669">
        <v>33</v>
      </c>
      <c r="U669" t="s">
        <v>36</v>
      </c>
      <c r="V669" s="2">
        <v>0.42424242424242425</v>
      </c>
      <c r="W669" s="2">
        <v>0.59090909090909094</v>
      </c>
      <c r="X669">
        <v>11</v>
      </c>
    </row>
    <row r="670" spans="1:24" x14ac:dyDescent="0.3">
      <c r="A670">
        <v>315</v>
      </c>
      <c r="B670">
        <v>118</v>
      </c>
      <c r="C670">
        <v>-3</v>
      </c>
      <c r="D670" s="1">
        <v>41586</v>
      </c>
      <c r="E670">
        <v>930</v>
      </c>
      <c r="F670">
        <v>172</v>
      </c>
      <c r="G670" t="s">
        <v>22</v>
      </c>
      <c r="H670" t="s">
        <v>32</v>
      </c>
      <c r="I670">
        <v>33</v>
      </c>
      <c r="J670" t="s">
        <v>24</v>
      </c>
      <c r="K670" t="s">
        <v>33</v>
      </c>
      <c r="L670" t="s">
        <v>62</v>
      </c>
      <c r="M670">
        <v>127</v>
      </c>
      <c r="N670">
        <v>290</v>
      </c>
      <c r="O670" t="s">
        <v>68</v>
      </c>
      <c r="P670">
        <v>120</v>
      </c>
      <c r="Q670">
        <v>170</v>
      </c>
      <c r="R670">
        <v>130</v>
      </c>
      <c r="S670">
        <v>290</v>
      </c>
      <c r="T670">
        <v>45</v>
      </c>
      <c r="U670" t="s">
        <v>36</v>
      </c>
      <c r="V670" s="2">
        <v>0.43793103448275861</v>
      </c>
      <c r="W670" s="2">
        <v>0.59310344827586203</v>
      </c>
      <c r="X670">
        <v>12</v>
      </c>
    </row>
    <row r="671" spans="1:24" x14ac:dyDescent="0.3">
      <c r="A671">
        <v>813</v>
      </c>
      <c r="B671">
        <v>134</v>
      </c>
      <c r="C671">
        <v>12</v>
      </c>
      <c r="D671" s="1">
        <v>41587</v>
      </c>
      <c r="E671">
        <v>690</v>
      </c>
      <c r="F671">
        <v>186</v>
      </c>
      <c r="G671" t="s">
        <v>22</v>
      </c>
      <c r="H671" t="s">
        <v>32</v>
      </c>
      <c r="I671">
        <v>41</v>
      </c>
      <c r="J671" t="s">
        <v>41</v>
      </c>
      <c r="K671" t="s">
        <v>46</v>
      </c>
      <c r="L671" t="s">
        <v>47</v>
      </c>
      <c r="M671">
        <v>122</v>
      </c>
      <c r="N671">
        <v>320</v>
      </c>
      <c r="O671" t="s">
        <v>35</v>
      </c>
      <c r="P671">
        <v>120</v>
      </c>
      <c r="Q671">
        <v>160</v>
      </c>
      <c r="R671">
        <v>110</v>
      </c>
      <c r="S671">
        <v>280</v>
      </c>
      <c r="T671">
        <v>64</v>
      </c>
      <c r="U671" t="s">
        <v>28</v>
      </c>
      <c r="V671" s="2">
        <v>0.38124999999999998</v>
      </c>
      <c r="W671" s="2">
        <v>0.58125000000000004</v>
      </c>
      <c r="X671">
        <v>23</v>
      </c>
    </row>
    <row r="672" spans="1:24" x14ac:dyDescent="0.3">
      <c r="A672">
        <v>407</v>
      </c>
      <c r="B672">
        <v>83</v>
      </c>
      <c r="C672">
        <v>-12</v>
      </c>
      <c r="D672" s="1">
        <v>41588</v>
      </c>
      <c r="E672">
        <v>575</v>
      </c>
      <c r="F672">
        <v>112</v>
      </c>
      <c r="G672" t="s">
        <v>22</v>
      </c>
      <c r="H672" t="s">
        <v>32</v>
      </c>
      <c r="I672">
        <v>27</v>
      </c>
      <c r="J672" t="s">
        <v>41</v>
      </c>
      <c r="K672" t="s">
        <v>42</v>
      </c>
      <c r="L672" t="s">
        <v>43</v>
      </c>
      <c r="M672">
        <v>58</v>
      </c>
      <c r="N672">
        <v>195</v>
      </c>
      <c r="O672" t="s">
        <v>35</v>
      </c>
      <c r="P672">
        <v>80</v>
      </c>
      <c r="Q672">
        <v>110</v>
      </c>
      <c r="R672">
        <v>70</v>
      </c>
      <c r="S672">
        <v>190</v>
      </c>
      <c r="T672">
        <v>54</v>
      </c>
      <c r="U672" t="s">
        <v>28</v>
      </c>
      <c r="V672" s="2">
        <v>0.29743589743589743</v>
      </c>
      <c r="W672" s="2">
        <v>0.57435897435897432</v>
      </c>
      <c r="X672">
        <v>27</v>
      </c>
    </row>
    <row r="673" spans="1:24" x14ac:dyDescent="0.3">
      <c r="A673">
        <v>754</v>
      </c>
      <c r="B673">
        <v>88</v>
      </c>
      <c r="C673">
        <v>-7</v>
      </c>
      <c r="D673" s="1">
        <v>41589</v>
      </c>
      <c r="E673">
        <v>817</v>
      </c>
      <c r="F673">
        <v>133</v>
      </c>
      <c r="G673" t="s">
        <v>22</v>
      </c>
      <c r="H673" t="s">
        <v>32</v>
      </c>
      <c r="I673">
        <v>29</v>
      </c>
      <c r="J673" t="s">
        <v>41</v>
      </c>
      <c r="K673" t="s">
        <v>46</v>
      </c>
      <c r="L673" t="s">
        <v>53</v>
      </c>
      <c r="M673">
        <v>73</v>
      </c>
      <c r="N673">
        <v>221</v>
      </c>
      <c r="O673" t="s">
        <v>35</v>
      </c>
      <c r="P673">
        <v>70</v>
      </c>
      <c r="Q673">
        <v>120</v>
      </c>
      <c r="R673">
        <v>80</v>
      </c>
      <c r="S673">
        <v>190</v>
      </c>
      <c r="T673">
        <v>60</v>
      </c>
      <c r="U673" t="s">
        <v>36</v>
      </c>
      <c r="V673" s="2">
        <v>0.33031674208144796</v>
      </c>
      <c r="W673" s="2">
        <v>0.60180995475113119</v>
      </c>
      <c r="X673">
        <v>31</v>
      </c>
    </row>
    <row r="674" spans="1:24" x14ac:dyDescent="0.3">
      <c r="A674">
        <v>351</v>
      </c>
      <c r="B674">
        <v>67</v>
      </c>
      <c r="C674">
        <v>30</v>
      </c>
      <c r="D674" s="1">
        <v>41590</v>
      </c>
      <c r="E674">
        <v>-3534</v>
      </c>
      <c r="F674">
        <v>443</v>
      </c>
      <c r="G674" t="s">
        <v>22</v>
      </c>
      <c r="H674" t="s">
        <v>32</v>
      </c>
      <c r="I674">
        <v>22</v>
      </c>
      <c r="J674" t="s">
        <v>41</v>
      </c>
      <c r="K674" t="s">
        <v>46</v>
      </c>
      <c r="L674" t="s">
        <v>53</v>
      </c>
      <c r="M674">
        <v>390</v>
      </c>
      <c r="N674">
        <v>510</v>
      </c>
      <c r="O674" t="s">
        <v>63</v>
      </c>
      <c r="P674">
        <v>60</v>
      </c>
      <c r="Q674">
        <v>390</v>
      </c>
      <c r="R674">
        <v>360</v>
      </c>
      <c r="S674">
        <v>450</v>
      </c>
      <c r="T674">
        <v>53</v>
      </c>
      <c r="U674" t="s">
        <v>36</v>
      </c>
      <c r="V674" s="2">
        <v>0.76470588235294112</v>
      </c>
      <c r="W674" s="2">
        <v>0.86862745098039218</v>
      </c>
      <c r="X674">
        <v>31</v>
      </c>
    </row>
    <row r="675" spans="1:24" x14ac:dyDescent="0.3">
      <c r="A675">
        <v>845</v>
      </c>
      <c r="B675">
        <v>279</v>
      </c>
      <c r="C675">
        <v>21</v>
      </c>
      <c r="D675" s="1">
        <v>41591</v>
      </c>
      <c r="E675">
        <v>2642</v>
      </c>
      <c r="F675">
        <v>420</v>
      </c>
      <c r="G675" t="s">
        <v>22</v>
      </c>
      <c r="H675" t="s">
        <v>32</v>
      </c>
      <c r="I675">
        <v>97</v>
      </c>
      <c r="J675" t="s">
        <v>41</v>
      </c>
      <c r="K675" t="s">
        <v>46</v>
      </c>
      <c r="L675" t="s">
        <v>53</v>
      </c>
      <c r="M675">
        <v>271</v>
      </c>
      <c r="N675">
        <v>699</v>
      </c>
      <c r="O675" t="s">
        <v>68</v>
      </c>
      <c r="P675">
        <v>250</v>
      </c>
      <c r="Q675">
        <v>370</v>
      </c>
      <c r="R675">
        <v>250</v>
      </c>
      <c r="S675">
        <v>620</v>
      </c>
      <c r="T675">
        <v>149</v>
      </c>
      <c r="U675" t="s">
        <v>36</v>
      </c>
      <c r="V675" s="2">
        <v>0.38769670958512159</v>
      </c>
      <c r="W675" s="2">
        <v>0.60085836909871249</v>
      </c>
      <c r="X675">
        <v>52</v>
      </c>
    </row>
    <row r="676" spans="1:24" x14ac:dyDescent="0.3">
      <c r="A676">
        <v>305</v>
      </c>
      <c r="B676">
        <v>105</v>
      </c>
      <c r="C676">
        <v>-9</v>
      </c>
      <c r="D676" s="1">
        <v>41592</v>
      </c>
      <c r="E676">
        <v>716</v>
      </c>
      <c r="F676">
        <v>145</v>
      </c>
      <c r="G676" t="s">
        <v>22</v>
      </c>
      <c r="H676" t="s">
        <v>32</v>
      </c>
      <c r="I676">
        <v>95</v>
      </c>
      <c r="J676" t="s">
        <v>41</v>
      </c>
      <c r="K676" t="s">
        <v>42</v>
      </c>
      <c r="L676" t="s">
        <v>54</v>
      </c>
      <c r="M676">
        <v>21</v>
      </c>
      <c r="N676">
        <v>250</v>
      </c>
      <c r="O676" t="s">
        <v>35</v>
      </c>
      <c r="P676">
        <v>100</v>
      </c>
      <c r="Q676">
        <v>140</v>
      </c>
      <c r="R676">
        <v>30</v>
      </c>
      <c r="S676">
        <v>240</v>
      </c>
      <c r="T676">
        <v>124</v>
      </c>
      <c r="U676" t="s">
        <v>36</v>
      </c>
      <c r="V676" s="2">
        <v>8.4000000000000005E-2</v>
      </c>
      <c r="W676" s="2">
        <v>0.57999999999999996</v>
      </c>
      <c r="X676">
        <v>29</v>
      </c>
    </row>
    <row r="677" spans="1:24" x14ac:dyDescent="0.3">
      <c r="A677">
        <v>212</v>
      </c>
      <c r="B677">
        <v>135</v>
      </c>
      <c r="C677">
        <v>-14</v>
      </c>
      <c r="D677" s="1">
        <v>41593</v>
      </c>
      <c r="E677">
        <v>3641</v>
      </c>
      <c r="F677">
        <v>-69</v>
      </c>
      <c r="G677" t="s">
        <v>22</v>
      </c>
      <c r="H677" t="s">
        <v>32</v>
      </c>
      <c r="I677">
        <v>122</v>
      </c>
      <c r="J677" t="s">
        <v>41</v>
      </c>
      <c r="K677" t="s">
        <v>42</v>
      </c>
      <c r="L677" t="s">
        <v>54</v>
      </c>
      <c r="M677">
        <v>-224</v>
      </c>
      <c r="N677">
        <v>66</v>
      </c>
      <c r="O677" t="s">
        <v>68</v>
      </c>
      <c r="P677">
        <v>130</v>
      </c>
      <c r="Q677">
        <v>-70</v>
      </c>
      <c r="R677">
        <v>-210</v>
      </c>
      <c r="S677">
        <v>60</v>
      </c>
      <c r="T677">
        <v>155</v>
      </c>
      <c r="U677" t="s">
        <v>36</v>
      </c>
      <c r="V677" s="2">
        <v>-3.393939393939394</v>
      </c>
      <c r="W677" s="2">
        <v>-1.0454545454545454</v>
      </c>
      <c r="X677">
        <v>33</v>
      </c>
    </row>
    <row r="678" spans="1:24" x14ac:dyDescent="0.3">
      <c r="A678">
        <v>351</v>
      </c>
      <c r="B678">
        <v>153</v>
      </c>
      <c r="C678">
        <v>7</v>
      </c>
      <c r="D678" s="1">
        <v>41594</v>
      </c>
      <c r="E678">
        <v>1319</v>
      </c>
      <c r="F678">
        <v>153</v>
      </c>
      <c r="G678" t="s">
        <v>22</v>
      </c>
      <c r="H678" t="s">
        <v>32</v>
      </c>
      <c r="I678">
        <v>42</v>
      </c>
      <c r="J678" t="s">
        <v>41</v>
      </c>
      <c r="K678" t="s">
        <v>42</v>
      </c>
      <c r="L678" t="s">
        <v>67</v>
      </c>
      <c r="M678">
        <v>87</v>
      </c>
      <c r="N678">
        <v>306</v>
      </c>
      <c r="O678" t="s">
        <v>63</v>
      </c>
      <c r="P678">
        <v>150</v>
      </c>
      <c r="Q678">
        <v>140</v>
      </c>
      <c r="R678">
        <v>80</v>
      </c>
      <c r="S678">
        <v>290</v>
      </c>
      <c r="T678">
        <v>66</v>
      </c>
      <c r="U678" t="s">
        <v>36</v>
      </c>
      <c r="V678" s="2">
        <v>0.28431372549019607</v>
      </c>
      <c r="W678" s="2">
        <v>0.5</v>
      </c>
      <c r="X678">
        <v>24</v>
      </c>
    </row>
    <row r="679" spans="1:24" x14ac:dyDescent="0.3">
      <c r="A679">
        <v>718</v>
      </c>
      <c r="B679">
        <v>250</v>
      </c>
      <c r="C679">
        <v>-8</v>
      </c>
      <c r="D679" s="1">
        <v>41595</v>
      </c>
      <c r="E679">
        <v>723</v>
      </c>
      <c r="F679">
        <v>407</v>
      </c>
      <c r="G679" t="s">
        <v>22</v>
      </c>
      <c r="H679" t="s">
        <v>32</v>
      </c>
      <c r="I679">
        <v>70</v>
      </c>
      <c r="J679" t="s">
        <v>41</v>
      </c>
      <c r="K679" t="s">
        <v>42</v>
      </c>
      <c r="L679" t="s">
        <v>67</v>
      </c>
      <c r="M679">
        <v>312</v>
      </c>
      <c r="N679">
        <v>657</v>
      </c>
      <c r="O679" t="s">
        <v>68</v>
      </c>
      <c r="P679">
        <v>240</v>
      </c>
      <c r="Q679">
        <v>400</v>
      </c>
      <c r="R679">
        <v>320</v>
      </c>
      <c r="S679">
        <v>640</v>
      </c>
      <c r="T679">
        <v>95</v>
      </c>
      <c r="U679" t="s">
        <v>36</v>
      </c>
      <c r="V679" s="2">
        <v>0.47488584474885842</v>
      </c>
      <c r="W679" s="2">
        <v>0.61948249619482498</v>
      </c>
      <c r="X679">
        <v>25</v>
      </c>
    </row>
    <row r="680" spans="1:24" x14ac:dyDescent="0.3">
      <c r="A680">
        <v>607</v>
      </c>
      <c r="B680">
        <v>294</v>
      </c>
      <c r="C680">
        <v>99</v>
      </c>
      <c r="D680" s="1">
        <v>41596</v>
      </c>
      <c r="E680">
        <v>1727</v>
      </c>
      <c r="F680">
        <v>453</v>
      </c>
      <c r="G680" t="s">
        <v>22</v>
      </c>
      <c r="H680" t="s">
        <v>32</v>
      </c>
      <c r="I680">
        <v>111</v>
      </c>
      <c r="J680" t="s">
        <v>24</v>
      </c>
      <c r="K680" t="s">
        <v>25</v>
      </c>
      <c r="L680" t="s">
        <v>26</v>
      </c>
      <c r="M680">
        <v>309</v>
      </c>
      <c r="N680">
        <v>747</v>
      </c>
      <c r="O680" t="s">
        <v>68</v>
      </c>
      <c r="P680">
        <v>220</v>
      </c>
      <c r="Q680">
        <v>320</v>
      </c>
      <c r="R680">
        <v>210</v>
      </c>
      <c r="S680">
        <v>540</v>
      </c>
      <c r="T680">
        <v>144</v>
      </c>
      <c r="U680" t="s">
        <v>28</v>
      </c>
      <c r="V680" s="2">
        <v>0.41365461847389556</v>
      </c>
      <c r="W680" s="2">
        <v>0.60642570281124497</v>
      </c>
      <c r="X680">
        <v>33</v>
      </c>
    </row>
    <row r="681" spans="1:24" x14ac:dyDescent="0.3">
      <c r="A681">
        <v>716</v>
      </c>
      <c r="B681">
        <v>241</v>
      </c>
      <c r="C681">
        <v>-39</v>
      </c>
      <c r="D681" s="1">
        <v>41597</v>
      </c>
      <c r="E681">
        <v>5121</v>
      </c>
      <c r="F681">
        <v>-93</v>
      </c>
      <c r="G681" t="s">
        <v>22</v>
      </c>
      <c r="H681" t="s">
        <v>32</v>
      </c>
      <c r="I681">
        <v>74</v>
      </c>
      <c r="J681" t="s">
        <v>24</v>
      </c>
      <c r="K681" t="s">
        <v>25</v>
      </c>
      <c r="L681" t="s">
        <v>29</v>
      </c>
      <c r="M681">
        <v>-189</v>
      </c>
      <c r="N681">
        <v>148</v>
      </c>
      <c r="O681" t="s">
        <v>68</v>
      </c>
      <c r="P681">
        <v>180</v>
      </c>
      <c r="Q681">
        <v>-80</v>
      </c>
      <c r="R681">
        <v>-150</v>
      </c>
      <c r="S681">
        <v>100</v>
      </c>
      <c r="T681">
        <v>96</v>
      </c>
      <c r="U681" t="s">
        <v>28</v>
      </c>
      <c r="V681" s="2">
        <v>-1.277027027027027</v>
      </c>
      <c r="W681" s="2">
        <v>-0.6283783783783784</v>
      </c>
      <c r="X681">
        <v>22</v>
      </c>
    </row>
    <row r="682" spans="1:24" x14ac:dyDescent="0.3">
      <c r="A682">
        <v>716</v>
      </c>
      <c r="B682">
        <v>86</v>
      </c>
      <c r="C682">
        <v>-1</v>
      </c>
      <c r="D682" s="1">
        <v>41598</v>
      </c>
      <c r="E682">
        <v>1003</v>
      </c>
      <c r="F682">
        <v>124</v>
      </c>
      <c r="G682" t="s">
        <v>22</v>
      </c>
      <c r="H682" t="s">
        <v>32</v>
      </c>
      <c r="I682">
        <v>24</v>
      </c>
      <c r="J682" t="s">
        <v>24</v>
      </c>
      <c r="K682" t="s">
        <v>33</v>
      </c>
      <c r="L682" t="s">
        <v>34</v>
      </c>
      <c r="M682">
        <v>89</v>
      </c>
      <c r="N682">
        <v>210</v>
      </c>
      <c r="O682" t="s">
        <v>68</v>
      </c>
      <c r="P682">
        <v>90</v>
      </c>
      <c r="Q682">
        <v>120</v>
      </c>
      <c r="R682">
        <v>90</v>
      </c>
      <c r="S682">
        <v>210</v>
      </c>
      <c r="T682">
        <v>35</v>
      </c>
      <c r="U682" t="s">
        <v>36</v>
      </c>
      <c r="V682" s="2">
        <v>0.4238095238095238</v>
      </c>
      <c r="W682" s="2">
        <v>0.59047619047619049</v>
      </c>
      <c r="X682">
        <v>11</v>
      </c>
    </row>
    <row r="683" spans="1:24" x14ac:dyDescent="0.3">
      <c r="A683">
        <v>718</v>
      </c>
      <c r="B683">
        <v>123</v>
      </c>
      <c r="C683">
        <v>-17</v>
      </c>
      <c r="D683" s="1">
        <v>41599</v>
      </c>
      <c r="E683">
        <v>959</v>
      </c>
      <c r="F683">
        <v>179</v>
      </c>
      <c r="G683" t="s">
        <v>22</v>
      </c>
      <c r="H683" t="s">
        <v>32</v>
      </c>
      <c r="I683">
        <v>34</v>
      </c>
      <c r="J683" t="s">
        <v>24</v>
      </c>
      <c r="K683" t="s">
        <v>33</v>
      </c>
      <c r="L683" t="s">
        <v>62</v>
      </c>
      <c r="M683">
        <v>133</v>
      </c>
      <c r="N683">
        <v>302</v>
      </c>
      <c r="O683" t="s">
        <v>68</v>
      </c>
      <c r="P683">
        <v>120</v>
      </c>
      <c r="Q683">
        <v>190</v>
      </c>
      <c r="R683">
        <v>150</v>
      </c>
      <c r="S683">
        <v>310</v>
      </c>
      <c r="T683">
        <v>46</v>
      </c>
      <c r="U683" t="s">
        <v>36</v>
      </c>
      <c r="V683" s="2">
        <v>0.44039735099337746</v>
      </c>
      <c r="W683" s="2">
        <v>0.5927152317880795</v>
      </c>
      <c r="X683">
        <v>12</v>
      </c>
    </row>
    <row r="684" spans="1:24" x14ac:dyDescent="0.3">
      <c r="A684">
        <v>772</v>
      </c>
      <c r="B684">
        <v>91</v>
      </c>
      <c r="C684">
        <v>23</v>
      </c>
      <c r="D684" s="1">
        <v>41600</v>
      </c>
      <c r="E684">
        <v>656</v>
      </c>
      <c r="F684">
        <v>127</v>
      </c>
      <c r="G684" t="s">
        <v>22</v>
      </c>
      <c r="H684" t="s">
        <v>32</v>
      </c>
      <c r="I684">
        <v>28</v>
      </c>
      <c r="J684" t="s">
        <v>41</v>
      </c>
      <c r="K684" t="s">
        <v>46</v>
      </c>
      <c r="L684" t="s">
        <v>47</v>
      </c>
      <c r="M684">
        <v>113</v>
      </c>
      <c r="N684">
        <v>232</v>
      </c>
      <c r="O684" t="s">
        <v>35</v>
      </c>
      <c r="P684">
        <v>70</v>
      </c>
      <c r="Q684">
        <v>110</v>
      </c>
      <c r="R684">
        <v>90</v>
      </c>
      <c r="S684">
        <v>180</v>
      </c>
      <c r="T684">
        <v>51</v>
      </c>
      <c r="U684" t="s">
        <v>28</v>
      </c>
      <c r="V684" s="2">
        <v>0.48706896551724138</v>
      </c>
      <c r="W684" s="2">
        <v>0.60775862068965514</v>
      </c>
      <c r="X684">
        <v>23</v>
      </c>
    </row>
    <row r="685" spans="1:24" x14ac:dyDescent="0.3">
      <c r="A685">
        <v>321</v>
      </c>
      <c r="B685">
        <v>86</v>
      </c>
      <c r="C685">
        <v>-1</v>
      </c>
      <c r="D685" s="1">
        <v>41601</v>
      </c>
      <c r="E685">
        <v>547</v>
      </c>
      <c r="F685">
        <v>116</v>
      </c>
      <c r="G685" t="s">
        <v>22</v>
      </c>
      <c r="H685" t="s">
        <v>32</v>
      </c>
      <c r="I685">
        <v>28</v>
      </c>
      <c r="J685" t="s">
        <v>41</v>
      </c>
      <c r="K685" t="s">
        <v>42</v>
      </c>
      <c r="L685" t="s">
        <v>43</v>
      </c>
      <c r="M685">
        <v>89</v>
      </c>
      <c r="N685">
        <v>215</v>
      </c>
      <c r="O685" t="s">
        <v>35</v>
      </c>
      <c r="P685">
        <v>70</v>
      </c>
      <c r="Q685">
        <v>110</v>
      </c>
      <c r="R685">
        <v>90</v>
      </c>
      <c r="S685">
        <v>180</v>
      </c>
      <c r="T685">
        <v>56</v>
      </c>
      <c r="U685" t="s">
        <v>28</v>
      </c>
      <c r="V685" s="2">
        <v>0.413953488372093</v>
      </c>
      <c r="W685" s="2">
        <v>0.6</v>
      </c>
      <c r="X685">
        <v>28</v>
      </c>
    </row>
    <row r="686" spans="1:24" x14ac:dyDescent="0.3">
      <c r="A686">
        <v>954</v>
      </c>
      <c r="B686">
        <v>82</v>
      </c>
      <c r="C686">
        <v>5</v>
      </c>
      <c r="D686" s="1">
        <v>41602</v>
      </c>
      <c r="E686">
        <v>788</v>
      </c>
      <c r="F686">
        <v>123</v>
      </c>
      <c r="G686" t="s">
        <v>22</v>
      </c>
      <c r="H686" t="s">
        <v>32</v>
      </c>
      <c r="I686">
        <v>27</v>
      </c>
      <c r="J686" t="s">
        <v>41</v>
      </c>
      <c r="K686" t="s">
        <v>46</v>
      </c>
      <c r="L686" t="s">
        <v>53</v>
      </c>
      <c r="M686">
        <v>95</v>
      </c>
      <c r="N686">
        <v>218</v>
      </c>
      <c r="O686" t="s">
        <v>35</v>
      </c>
      <c r="P686">
        <v>60</v>
      </c>
      <c r="Q686">
        <v>110</v>
      </c>
      <c r="R686">
        <v>90</v>
      </c>
      <c r="S686">
        <v>170</v>
      </c>
      <c r="T686">
        <v>59</v>
      </c>
      <c r="U686" t="s">
        <v>36</v>
      </c>
      <c r="V686" s="2">
        <v>0.43577981651376146</v>
      </c>
      <c r="W686" s="2">
        <v>0.62385321100917435</v>
      </c>
      <c r="X686">
        <v>32</v>
      </c>
    </row>
    <row r="687" spans="1:24" x14ac:dyDescent="0.3">
      <c r="A687">
        <v>857</v>
      </c>
      <c r="B687">
        <v>72</v>
      </c>
      <c r="C687">
        <v>186</v>
      </c>
      <c r="D687" s="1">
        <v>41603</v>
      </c>
      <c r="E687">
        <v>-3004</v>
      </c>
      <c r="F687">
        <v>402</v>
      </c>
      <c r="G687" t="s">
        <v>22</v>
      </c>
      <c r="H687" t="s">
        <v>32</v>
      </c>
      <c r="I687">
        <v>23</v>
      </c>
      <c r="J687" t="s">
        <v>41</v>
      </c>
      <c r="K687" t="s">
        <v>46</v>
      </c>
      <c r="L687" t="s">
        <v>53</v>
      </c>
      <c r="M687">
        <v>516</v>
      </c>
      <c r="N687">
        <v>505</v>
      </c>
      <c r="O687" t="s">
        <v>63</v>
      </c>
      <c r="P687">
        <v>50</v>
      </c>
      <c r="Q687">
        <v>350</v>
      </c>
      <c r="R687">
        <v>330</v>
      </c>
      <c r="S687">
        <v>400</v>
      </c>
      <c r="T687">
        <v>54</v>
      </c>
      <c r="U687" t="s">
        <v>36</v>
      </c>
      <c r="V687" s="2">
        <v>1.0217821782178218</v>
      </c>
      <c r="W687" s="2">
        <v>0.85742574257425741</v>
      </c>
      <c r="X687">
        <v>31</v>
      </c>
    </row>
    <row r="688" spans="1:24" x14ac:dyDescent="0.3">
      <c r="A688">
        <v>716</v>
      </c>
      <c r="B688">
        <v>260</v>
      </c>
      <c r="C688">
        <v>137</v>
      </c>
      <c r="D688" s="1">
        <v>41604</v>
      </c>
      <c r="E688">
        <v>2548</v>
      </c>
      <c r="F688">
        <v>390</v>
      </c>
      <c r="G688" t="s">
        <v>22</v>
      </c>
      <c r="H688" t="s">
        <v>32</v>
      </c>
      <c r="I688">
        <v>91</v>
      </c>
      <c r="J688" t="s">
        <v>41</v>
      </c>
      <c r="K688" t="s">
        <v>46</v>
      </c>
      <c r="L688" t="s">
        <v>53</v>
      </c>
      <c r="M688">
        <v>367</v>
      </c>
      <c r="N688">
        <v>693</v>
      </c>
      <c r="O688" t="s">
        <v>68</v>
      </c>
      <c r="P688">
        <v>210</v>
      </c>
      <c r="Q688">
        <v>330</v>
      </c>
      <c r="R688">
        <v>230</v>
      </c>
      <c r="S688">
        <v>540</v>
      </c>
      <c r="T688">
        <v>143</v>
      </c>
      <c r="U688" t="s">
        <v>36</v>
      </c>
      <c r="V688" s="2">
        <v>0.5295815295815296</v>
      </c>
      <c r="W688" s="2">
        <v>0.62481962481962483</v>
      </c>
      <c r="X688">
        <v>52</v>
      </c>
    </row>
    <row r="689" spans="1:24" x14ac:dyDescent="0.3">
      <c r="A689">
        <v>727</v>
      </c>
      <c r="B689">
        <v>96</v>
      </c>
      <c r="C689">
        <v>-23</v>
      </c>
      <c r="D689" s="1">
        <v>41605</v>
      </c>
      <c r="E689">
        <v>683</v>
      </c>
      <c r="F689">
        <v>134</v>
      </c>
      <c r="G689" t="s">
        <v>22</v>
      </c>
      <c r="H689" t="s">
        <v>32</v>
      </c>
      <c r="I689">
        <v>87</v>
      </c>
      <c r="J689" t="s">
        <v>41</v>
      </c>
      <c r="K689" t="s">
        <v>42</v>
      </c>
      <c r="L689" t="s">
        <v>54</v>
      </c>
      <c r="M689">
        <v>27</v>
      </c>
      <c r="N689">
        <v>245</v>
      </c>
      <c r="O689" t="s">
        <v>35</v>
      </c>
      <c r="P689">
        <v>80</v>
      </c>
      <c r="Q689">
        <v>130</v>
      </c>
      <c r="R689">
        <v>50</v>
      </c>
      <c r="S689">
        <v>210</v>
      </c>
      <c r="T689">
        <v>116</v>
      </c>
      <c r="U689" t="s">
        <v>36</v>
      </c>
      <c r="V689" s="2">
        <v>0.11020408163265306</v>
      </c>
      <c r="W689" s="2">
        <v>0.60816326530612241</v>
      </c>
      <c r="X689">
        <v>29</v>
      </c>
    </row>
    <row r="690" spans="1:24" x14ac:dyDescent="0.3">
      <c r="A690">
        <v>914</v>
      </c>
      <c r="B690">
        <v>125</v>
      </c>
      <c r="C690">
        <v>-130</v>
      </c>
      <c r="D690" s="1">
        <v>41606</v>
      </c>
      <c r="E690">
        <v>3142</v>
      </c>
      <c r="F690">
        <v>-56</v>
      </c>
      <c r="G690" t="s">
        <v>22</v>
      </c>
      <c r="H690" t="s">
        <v>32</v>
      </c>
      <c r="I690">
        <v>113</v>
      </c>
      <c r="J690" t="s">
        <v>41</v>
      </c>
      <c r="K690" t="s">
        <v>42</v>
      </c>
      <c r="L690" t="s">
        <v>54</v>
      </c>
      <c r="M690">
        <v>-300</v>
      </c>
      <c r="N690">
        <v>74</v>
      </c>
      <c r="O690" t="s">
        <v>68</v>
      </c>
      <c r="P690">
        <v>110</v>
      </c>
      <c r="Q690">
        <v>-60</v>
      </c>
      <c r="R690">
        <v>-170</v>
      </c>
      <c r="S690">
        <v>50</v>
      </c>
      <c r="T690">
        <v>146</v>
      </c>
      <c r="U690" t="s">
        <v>36</v>
      </c>
      <c r="V690" s="2">
        <v>-4.0540540540540544</v>
      </c>
      <c r="W690" s="2">
        <v>-0.68918918918918914</v>
      </c>
      <c r="X690">
        <v>33</v>
      </c>
    </row>
    <row r="691" spans="1:24" x14ac:dyDescent="0.3">
      <c r="A691">
        <v>508</v>
      </c>
      <c r="B691">
        <v>161</v>
      </c>
      <c r="C691">
        <v>17</v>
      </c>
      <c r="D691" s="1">
        <v>41607</v>
      </c>
      <c r="E691">
        <v>1267</v>
      </c>
      <c r="F691">
        <v>161</v>
      </c>
      <c r="G691" t="s">
        <v>22</v>
      </c>
      <c r="H691" t="s">
        <v>32</v>
      </c>
      <c r="I691">
        <v>45</v>
      </c>
      <c r="J691" t="s">
        <v>41</v>
      </c>
      <c r="K691" t="s">
        <v>42</v>
      </c>
      <c r="L691" t="s">
        <v>67</v>
      </c>
      <c r="M691">
        <v>137</v>
      </c>
      <c r="N691">
        <v>343</v>
      </c>
      <c r="O691" t="s">
        <v>63</v>
      </c>
      <c r="P691">
        <v>140</v>
      </c>
      <c r="Q691">
        <v>160</v>
      </c>
      <c r="R691">
        <v>120</v>
      </c>
      <c r="S691">
        <v>300</v>
      </c>
      <c r="T691">
        <v>69</v>
      </c>
      <c r="U691" t="s">
        <v>36</v>
      </c>
      <c r="V691" s="2">
        <v>0.39941690962099125</v>
      </c>
      <c r="W691" s="2">
        <v>0.53061224489795922</v>
      </c>
      <c r="X691">
        <v>24</v>
      </c>
    </row>
    <row r="692" spans="1:24" x14ac:dyDescent="0.3">
      <c r="A692">
        <v>212</v>
      </c>
      <c r="B692">
        <v>239</v>
      </c>
      <c r="C692">
        <v>196</v>
      </c>
      <c r="D692" s="1">
        <v>41608</v>
      </c>
      <c r="E692">
        <v>1197</v>
      </c>
      <c r="F692">
        <v>526</v>
      </c>
      <c r="G692" t="s">
        <v>22</v>
      </c>
      <c r="H692" t="s">
        <v>32</v>
      </c>
      <c r="I692">
        <v>66</v>
      </c>
      <c r="J692" t="s">
        <v>41</v>
      </c>
      <c r="K692" t="s">
        <v>42</v>
      </c>
      <c r="L692" t="s">
        <v>67</v>
      </c>
      <c r="M692">
        <v>646</v>
      </c>
      <c r="N692">
        <v>815</v>
      </c>
      <c r="O692" t="s">
        <v>68</v>
      </c>
      <c r="P692">
        <v>210</v>
      </c>
      <c r="Q692">
        <v>510</v>
      </c>
      <c r="R692">
        <v>450</v>
      </c>
      <c r="S692">
        <v>720</v>
      </c>
      <c r="T692">
        <v>91</v>
      </c>
      <c r="U692" t="s">
        <v>36</v>
      </c>
      <c r="V692" s="2">
        <v>0.79263803680981593</v>
      </c>
      <c r="W692" s="2">
        <v>0.70674846625766874</v>
      </c>
      <c r="X692">
        <v>25</v>
      </c>
    </row>
    <row r="693" spans="1:24" x14ac:dyDescent="0.3">
      <c r="A693">
        <v>904</v>
      </c>
      <c r="B693">
        <v>22</v>
      </c>
      <c r="C693">
        <v>-5</v>
      </c>
      <c r="D693" s="1">
        <v>41609</v>
      </c>
      <c r="E693">
        <v>573</v>
      </c>
      <c r="F693">
        <v>29</v>
      </c>
      <c r="G693" t="s">
        <v>22</v>
      </c>
      <c r="H693" t="s">
        <v>32</v>
      </c>
      <c r="I693">
        <v>7</v>
      </c>
      <c r="J693" t="s">
        <v>24</v>
      </c>
      <c r="K693" t="s">
        <v>25</v>
      </c>
      <c r="L693" t="s">
        <v>58</v>
      </c>
      <c r="M693">
        <v>15</v>
      </c>
      <c r="N693">
        <v>54</v>
      </c>
      <c r="O693" t="s">
        <v>35</v>
      </c>
      <c r="P693">
        <v>0</v>
      </c>
      <c r="Q693">
        <v>20</v>
      </c>
      <c r="R693">
        <v>20</v>
      </c>
      <c r="S693">
        <v>20</v>
      </c>
      <c r="T693">
        <v>19</v>
      </c>
      <c r="U693" t="s">
        <v>28</v>
      </c>
      <c r="V693" s="2">
        <v>0.27777777777777779</v>
      </c>
      <c r="W693" s="2">
        <v>0.59259259259259256</v>
      </c>
      <c r="X693">
        <v>12</v>
      </c>
    </row>
    <row r="694" spans="1:24" x14ac:dyDescent="0.3">
      <c r="A694">
        <v>585</v>
      </c>
      <c r="B694">
        <v>255</v>
      </c>
      <c r="C694">
        <v>121</v>
      </c>
      <c r="D694" s="1">
        <v>41610</v>
      </c>
      <c r="E694">
        <v>1622</v>
      </c>
      <c r="F694">
        <v>258</v>
      </c>
      <c r="G694" t="s">
        <v>22</v>
      </c>
      <c r="H694" t="s">
        <v>32</v>
      </c>
      <c r="I694">
        <v>96</v>
      </c>
      <c r="J694" t="s">
        <v>24</v>
      </c>
      <c r="K694" t="s">
        <v>25</v>
      </c>
      <c r="L694" t="s">
        <v>26</v>
      </c>
      <c r="M694">
        <v>191</v>
      </c>
      <c r="N694">
        <v>547</v>
      </c>
      <c r="O694" t="s">
        <v>68</v>
      </c>
      <c r="P694">
        <v>140</v>
      </c>
      <c r="Q694">
        <v>150</v>
      </c>
      <c r="R694">
        <v>70</v>
      </c>
      <c r="S694">
        <v>290</v>
      </c>
      <c r="T694">
        <v>129</v>
      </c>
      <c r="U694" t="s">
        <v>28</v>
      </c>
      <c r="V694" s="2">
        <v>0.34917733089579522</v>
      </c>
      <c r="W694" s="2">
        <v>0.53382084095063986</v>
      </c>
      <c r="X694">
        <v>33</v>
      </c>
    </row>
    <row r="695" spans="1:24" x14ac:dyDescent="0.3">
      <c r="A695">
        <v>631</v>
      </c>
      <c r="B695">
        <v>239</v>
      </c>
      <c r="C695">
        <v>-152</v>
      </c>
      <c r="D695" s="1">
        <v>41611</v>
      </c>
      <c r="E695">
        <v>4360</v>
      </c>
      <c r="F695">
        <v>-75</v>
      </c>
      <c r="G695" t="s">
        <v>22</v>
      </c>
      <c r="H695" t="s">
        <v>32</v>
      </c>
      <c r="I695">
        <v>74</v>
      </c>
      <c r="J695" t="s">
        <v>24</v>
      </c>
      <c r="K695" t="s">
        <v>25</v>
      </c>
      <c r="L695" t="s">
        <v>29</v>
      </c>
      <c r="M695">
        <v>-252</v>
      </c>
      <c r="N695">
        <v>175</v>
      </c>
      <c r="O695" t="s">
        <v>68</v>
      </c>
      <c r="P695">
        <v>130</v>
      </c>
      <c r="Q695">
        <v>-50</v>
      </c>
      <c r="R695">
        <v>-100</v>
      </c>
      <c r="S695">
        <v>80</v>
      </c>
      <c r="T695">
        <v>95</v>
      </c>
      <c r="U695" t="s">
        <v>28</v>
      </c>
      <c r="V695" s="2">
        <v>-1.44</v>
      </c>
      <c r="W695" s="2">
        <v>-0.36571428571428571</v>
      </c>
      <c r="X695">
        <v>21</v>
      </c>
    </row>
    <row r="696" spans="1:24" x14ac:dyDescent="0.3">
      <c r="A696">
        <v>585</v>
      </c>
      <c r="B696">
        <v>108</v>
      </c>
      <c r="C696">
        <v>31</v>
      </c>
      <c r="D696" s="1">
        <v>41612</v>
      </c>
      <c r="E696">
        <v>971</v>
      </c>
      <c r="F696">
        <v>157</v>
      </c>
      <c r="G696" t="s">
        <v>22</v>
      </c>
      <c r="H696" t="s">
        <v>32</v>
      </c>
      <c r="I696">
        <v>30</v>
      </c>
      <c r="J696" t="s">
        <v>24</v>
      </c>
      <c r="K696" t="s">
        <v>33</v>
      </c>
      <c r="L696" t="s">
        <v>34</v>
      </c>
      <c r="M696">
        <v>171</v>
      </c>
      <c r="N696">
        <v>282</v>
      </c>
      <c r="O696" t="s">
        <v>68</v>
      </c>
      <c r="P696">
        <v>110</v>
      </c>
      <c r="Q696">
        <v>170</v>
      </c>
      <c r="R696">
        <v>140</v>
      </c>
      <c r="S696">
        <v>280</v>
      </c>
      <c r="T696">
        <v>42</v>
      </c>
      <c r="U696" t="s">
        <v>36</v>
      </c>
      <c r="V696" s="2">
        <v>0.6063829787234043</v>
      </c>
      <c r="W696" s="2">
        <v>0.61702127659574468</v>
      </c>
      <c r="X696">
        <v>12</v>
      </c>
    </row>
    <row r="697" spans="1:24" x14ac:dyDescent="0.3">
      <c r="A697">
        <v>718</v>
      </c>
      <c r="B697">
        <v>123</v>
      </c>
      <c r="C697">
        <v>39</v>
      </c>
      <c r="D697" s="1">
        <v>41613</v>
      </c>
      <c r="E697">
        <v>915</v>
      </c>
      <c r="F697">
        <v>179</v>
      </c>
      <c r="G697" t="s">
        <v>22</v>
      </c>
      <c r="H697" t="s">
        <v>32</v>
      </c>
      <c r="I697">
        <v>34</v>
      </c>
      <c r="J697" t="s">
        <v>24</v>
      </c>
      <c r="K697" t="s">
        <v>33</v>
      </c>
      <c r="L697" t="s">
        <v>62</v>
      </c>
      <c r="M697">
        <v>199</v>
      </c>
      <c r="N697">
        <v>322</v>
      </c>
      <c r="O697" t="s">
        <v>68</v>
      </c>
      <c r="P697">
        <v>130</v>
      </c>
      <c r="Q697">
        <v>190</v>
      </c>
      <c r="R697">
        <v>160</v>
      </c>
      <c r="S697">
        <v>320</v>
      </c>
      <c r="T697">
        <v>45</v>
      </c>
      <c r="U697" t="s">
        <v>36</v>
      </c>
      <c r="V697" s="2">
        <v>0.61801242236024845</v>
      </c>
      <c r="W697" s="2">
        <v>0.61801242236024845</v>
      </c>
      <c r="X697">
        <v>11</v>
      </c>
    </row>
    <row r="698" spans="1:24" x14ac:dyDescent="0.3">
      <c r="A698">
        <v>607</v>
      </c>
      <c r="B698">
        <v>76</v>
      </c>
      <c r="C698">
        <v>16</v>
      </c>
      <c r="D698" s="1">
        <v>41614</v>
      </c>
      <c r="E698">
        <v>580</v>
      </c>
      <c r="F698">
        <v>111</v>
      </c>
      <c r="G698" t="s">
        <v>22</v>
      </c>
      <c r="H698" t="s">
        <v>32</v>
      </c>
      <c r="I698">
        <v>21</v>
      </c>
      <c r="J698" t="s">
        <v>24</v>
      </c>
      <c r="K698" t="s">
        <v>33</v>
      </c>
      <c r="L698" t="s">
        <v>38</v>
      </c>
      <c r="M698">
        <v>116</v>
      </c>
      <c r="N698">
        <v>199</v>
      </c>
      <c r="O698" t="s">
        <v>68</v>
      </c>
      <c r="P698">
        <v>80</v>
      </c>
      <c r="Q698">
        <v>120</v>
      </c>
      <c r="R698">
        <v>100</v>
      </c>
      <c r="S698">
        <v>200</v>
      </c>
      <c r="T698">
        <v>33</v>
      </c>
      <c r="U698" t="s">
        <v>36</v>
      </c>
      <c r="V698" s="2">
        <v>0.58291457286432158</v>
      </c>
      <c r="W698" s="2">
        <v>0.61809045226130654</v>
      </c>
      <c r="X698">
        <v>12</v>
      </c>
    </row>
    <row r="699" spans="1:24" x14ac:dyDescent="0.3">
      <c r="A699">
        <v>904</v>
      </c>
      <c r="B699">
        <v>102</v>
      </c>
      <c r="C699">
        <v>42</v>
      </c>
      <c r="D699" s="1">
        <v>41615</v>
      </c>
      <c r="E699">
        <v>666</v>
      </c>
      <c r="F699">
        <v>143</v>
      </c>
      <c r="G699" t="s">
        <v>22</v>
      </c>
      <c r="H699" t="s">
        <v>32</v>
      </c>
      <c r="I699">
        <v>31</v>
      </c>
      <c r="J699" t="s">
        <v>41</v>
      </c>
      <c r="K699" t="s">
        <v>46</v>
      </c>
      <c r="L699" t="s">
        <v>47</v>
      </c>
      <c r="M699">
        <v>132</v>
      </c>
      <c r="N699">
        <v>261</v>
      </c>
      <c r="O699" t="s">
        <v>35</v>
      </c>
      <c r="P699">
        <v>90</v>
      </c>
      <c r="Q699">
        <v>130</v>
      </c>
      <c r="R699">
        <v>90</v>
      </c>
      <c r="S699">
        <v>220</v>
      </c>
      <c r="T699">
        <v>54</v>
      </c>
      <c r="U699" t="s">
        <v>28</v>
      </c>
      <c r="V699" s="2">
        <v>0.50574712643678166</v>
      </c>
      <c r="W699" s="2">
        <v>0.60919540229885061</v>
      </c>
      <c r="X699">
        <v>23</v>
      </c>
    </row>
    <row r="700" spans="1:24" x14ac:dyDescent="0.3">
      <c r="A700">
        <v>772</v>
      </c>
      <c r="B700">
        <v>77</v>
      </c>
      <c r="C700">
        <v>16</v>
      </c>
      <c r="D700" s="1">
        <v>41616</v>
      </c>
      <c r="E700">
        <v>557</v>
      </c>
      <c r="F700">
        <v>103</v>
      </c>
      <c r="G700" t="s">
        <v>22</v>
      </c>
      <c r="H700" t="s">
        <v>32</v>
      </c>
      <c r="I700">
        <v>25</v>
      </c>
      <c r="J700" t="s">
        <v>41</v>
      </c>
      <c r="K700" t="s">
        <v>42</v>
      </c>
      <c r="L700" t="s">
        <v>43</v>
      </c>
      <c r="M700">
        <v>76</v>
      </c>
      <c r="N700">
        <v>192</v>
      </c>
      <c r="O700" t="s">
        <v>35</v>
      </c>
      <c r="P700">
        <v>70</v>
      </c>
      <c r="Q700">
        <v>100</v>
      </c>
      <c r="R700">
        <v>60</v>
      </c>
      <c r="S700">
        <v>170</v>
      </c>
      <c r="T700">
        <v>52</v>
      </c>
      <c r="U700" t="s">
        <v>28</v>
      </c>
      <c r="V700" s="2">
        <v>0.39583333333333331</v>
      </c>
      <c r="W700" s="2">
        <v>0.59895833333333337</v>
      </c>
      <c r="X700">
        <v>27</v>
      </c>
    </row>
    <row r="701" spans="1:24" x14ac:dyDescent="0.3">
      <c r="A701">
        <v>786</v>
      </c>
      <c r="B701">
        <v>78</v>
      </c>
      <c r="C701">
        <v>33</v>
      </c>
      <c r="D701" s="1">
        <v>41617</v>
      </c>
      <c r="E701">
        <v>798</v>
      </c>
      <c r="F701">
        <v>119</v>
      </c>
      <c r="G701" t="s">
        <v>22</v>
      </c>
      <c r="H701" t="s">
        <v>32</v>
      </c>
      <c r="I701">
        <v>25</v>
      </c>
      <c r="J701" t="s">
        <v>41</v>
      </c>
      <c r="K701" t="s">
        <v>46</v>
      </c>
      <c r="L701" t="s">
        <v>53</v>
      </c>
      <c r="M701">
        <v>93</v>
      </c>
      <c r="N701">
        <v>210</v>
      </c>
      <c r="O701" t="s">
        <v>35</v>
      </c>
      <c r="P701">
        <v>70</v>
      </c>
      <c r="Q701">
        <v>100</v>
      </c>
      <c r="R701">
        <v>60</v>
      </c>
      <c r="S701">
        <v>170</v>
      </c>
      <c r="T701">
        <v>56</v>
      </c>
      <c r="U701" t="s">
        <v>36</v>
      </c>
      <c r="V701" s="2">
        <v>0.44285714285714284</v>
      </c>
      <c r="W701" s="2">
        <v>0.62857142857142856</v>
      </c>
      <c r="X701">
        <v>31</v>
      </c>
    </row>
    <row r="702" spans="1:24" x14ac:dyDescent="0.3">
      <c r="A702">
        <v>857</v>
      </c>
      <c r="B702">
        <v>75</v>
      </c>
      <c r="C702">
        <v>181</v>
      </c>
      <c r="D702" s="1">
        <v>41618</v>
      </c>
      <c r="E702">
        <v>-3287</v>
      </c>
      <c r="F702">
        <v>379</v>
      </c>
      <c r="G702" t="s">
        <v>22</v>
      </c>
      <c r="H702" t="s">
        <v>32</v>
      </c>
      <c r="I702">
        <v>24</v>
      </c>
      <c r="J702" t="s">
        <v>41</v>
      </c>
      <c r="K702" t="s">
        <v>46</v>
      </c>
      <c r="L702" t="s">
        <v>53</v>
      </c>
      <c r="M702">
        <v>481</v>
      </c>
      <c r="N702">
        <v>484</v>
      </c>
      <c r="O702" t="s">
        <v>63</v>
      </c>
      <c r="P702">
        <v>60</v>
      </c>
      <c r="Q702">
        <v>340</v>
      </c>
      <c r="R702">
        <v>300</v>
      </c>
      <c r="S702">
        <v>400</v>
      </c>
      <c r="T702">
        <v>55</v>
      </c>
      <c r="U702" t="s">
        <v>36</v>
      </c>
      <c r="V702" s="2">
        <v>0.99380165289256195</v>
      </c>
      <c r="W702" s="2">
        <v>0.8450413223140496</v>
      </c>
      <c r="X702">
        <v>31</v>
      </c>
    </row>
    <row r="703" spans="1:24" x14ac:dyDescent="0.3">
      <c r="A703">
        <v>607</v>
      </c>
      <c r="B703">
        <v>249</v>
      </c>
      <c r="C703">
        <v>120</v>
      </c>
      <c r="D703" s="1">
        <v>41619</v>
      </c>
      <c r="E703">
        <v>2580</v>
      </c>
      <c r="F703">
        <v>374</v>
      </c>
      <c r="G703" t="s">
        <v>22</v>
      </c>
      <c r="H703" t="s">
        <v>32</v>
      </c>
      <c r="I703">
        <v>87</v>
      </c>
      <c r="J703" t="s">
        <v>41</v>
      </c>
      <c r="K703" t="s">
        <v>46</v>
      </c>
      <c r="L703" t="s">
        <v>53</v>
      </c>
      <c r="M703">
        <v>350</v>
      </c>
      <c r="N703">
        <v>664</v>
      </c>
      <c r="O703" t="s">
        <v>68</v>
      </c>
      <c r="P703">
        <v>220</v>
      </c>
      <c r="Q703">
        <v>340</v>
      </c>
      <c r="R703">
        <v>230</v>
      </c>
      <c r="S703">
        <v>560</v>
      </c>
      <c r="T703">
        <v>138</v>
      </c>
      <c r="U703" t="s">
        <v>36</v>
      </c>
      <c r="V703" s="2">
        <v>0.52710843373493976</v>
      </c>
      <c r="W703" s="2">
        <v>0.625</v>
      </c>
      <c r="X703">
        <v>51</v>
      </c>
    </row>
    <row r="704" spans="1:24" x14ac:dyDescent="0.3">
      <c r="A704">
        <v>813</v>
      </c>
      <c r="B704">
        <v>94</v>
      </c>
      <c r="C704">
        <v>2</v>
      </c>
      <c r="D704" s="1">
        <v>41620</v>
      </c>
      <c r="E704">
        <v>694</v>
      </c>
      <c r="F704">
        <v>130</v>
      </c>
      <c r="G704" t="s">
        <v>22</v>
      </c>
      <c r="H704" t="s">
        <v>32</v>
      </c>
      <c r="I704">
        <v>85</v>
      </c>
      <c r="J704" t="s">
        <v>41</v>
      </c>
      <c r="K704" t="s">
        <v>42</v>
      </c>
      <c r="L704" t="s">
        <v>54</v>
      </c>
      <c r="M704">
        <v>22</v>
      </c>
      <c r="N704">
        <v>239</v>
      </c>
      <c r="O704" t="s">
        <v>35</v>
      </c>
      <c r="P704">
        <v>90</v>
      </c>
      <c r="Q704">
        <v>120</v>
      </c>
      <c r="R704">
        <v>20</v>
      </c>
      <c r="S704">
        <v>210</v>
      </c>
      <c r="T704">
        <v>115</v>
      </c>
      <c r="U704" t="s">
        <v>36</v>
      </c>
      <c r="V704" s="2">
        <v>9.2050209205020925E-2</v>
      </c>
      <c r="W704" s="2">
        <v>0.60669456066945604</v>
      </c>
      <c r="X704">
        <v>30</v>
      </c>
    </row>
    <row r="705" spans="1:24" x14ac:dyDescent="0.3">
      <c r="A705">
        <v>914</v>
      </c>
      <c r="B705">
        <v>121</v>
      </c>
      <c r="C705">
        <v>-110</v>
      </c>
      <c r="D705" s="1">
        <v>41621</v>
      </c>
      <c r="E705">
        <v>3385</v>
      </c>
      <c r="F705">
        <v>-60</v>
      </c>
      <c r="G705" t="s">
        <v>22</v>
      </c>
      <c r="H705" t="s">
        <v>32</v>
      </c>
      <c r="I705">
        <v>109</v>
      </c>
      <c r="J705" t="s">
        <v>41</v>
      </c>
      <c r="K705" t="s">
        <v>42</v>
      </c>
      <c r="L705" t="s">
        <v>54</v>
      </c>
      <c r="M705">
        <v>-300</v>
      </c>
      <c r="N705">
        <v>65</v>
      </c>
      <c r="O705" t="s">
        <v>68</v>
      </c>
      <c r="P705">
        <v>110</v>
      </c>
      <c r="Q705">
        <v>-60</v>
      </c>
      <c r="R705">
        <v>-190</v>
      </c>
      <c r="S705">
        <v>50</v>
      </c>
      <c r="T705">
        <v>142</v>
      </c>
      <c r="U705" t="s">
        <v>36</v>
      </c>
      <c r="V705" s="2">
        <v>-4.615384615384615</v>
      </c>
      <c r="W705" s="2">
        <v>-0.86153846153846159</v>
      </c>
      <c r="X705">
        <v>33</v>
      </c>
    </row>
    <row r="706" spans="1:24" x14ac:dyDescent="0.3">
      <c r="A706">
        <v>617</v>
      </c>
      <c r="B706">
        <v>181</v>
      </c>
      <c r="C706">
        <v>40</v>
      </c>
      <c r="D706" s="1">
        <v>41622</v>
      </c>
      <c r="E706">
        <v>1283</v>
      </c>
      <c r="F706">
        <v>182</v>
      </c>
      <c r="G706" t="s">
        <v>22</v>
      </c>
      <c r="H706" t="s">
        <v>32</v>
      </c>
      <c r="I706">
        <v>50</v>
      </c>
      <c r="J706" t="s">
        <v>41</v>
      </c>
      <c r="K706" t="s">
        <v>42</v>
      </c>
      <c r="L706" t="s">
        <v>67</v>
      </c>
      <c r="M706">
        <v>160</v>
      </c>
      <c r="N706">
        <v>387</v>
      </c>
      <c r="O706" t="s">
        <v>63</v>
      </c>
      <c r="P706">
        <v>170</v>
      </c>
      <c r="Q706">
        <v>180</v>
      </c>
      <c r="R706">
        <v>120</v>
      </c>
      <c r="S706">
        <v>350</v>
      </c>
      <c r="T706">
        <v>74</v>
      </c>
      <c r="U706" t="s">
        <v>36</v>
      </c>
      <c r="V706" s="2">
        <v>0.41343669250645992</v>
      </c>
      <c r="W706" s="2">
        <v>0.53229974160206717</v>
      </c>
      <c r="X706">
        <v>24</v>
      </c>
    </row>
    <row r="707" spans="1:24" x14ac:dyDescent="0.3">
      <c r="A707">
        <v>917</v>
      </c>
      <c r="B707">
        <v>211</v>
      </c>
      <c r="C707">
        <v>175</v>
      </c>
      <c r="D707" s="1">
        <v>41623</v>
      </c>
      <c r="E707">
        <v>933</v>
      </c>
      <c r="F707">
        <v>464</v>
      </c>
      <c r="G707" t="s">
        <v>22</v>
      </c>
      <c r="H707" t="s">
        <v>32</v>
      </c>
      <c r="I707">
        <v>59</v>
      </c>
      <c r="J707" t="s">
        <v>41</v>
      </c>
      <c r="K707" t="s">
        <v>42</v>
      </c>
      <c r="L707" t="s">
        <v>67</v>
      </c>
      <c r="M707">
        <v>565</v>
      </c>
      <c r="N707">
        <v>719</v>
      </c>
      <c r="O707" t="s">
        <v>68</v>
      </c>
      <c r="P707">
        <v>200</v>
      </c>
      <c r="Q707">
        <v>460</v>
      </c>
      <c r="R707">
        <v>390</v>
      </c>
      <c r="S707">
        <v>660</v>
      </c>
      <c r="T707">
        <v>83</v>
      </c>
      <c r="U707" t="s">
        <v>36</v>
      </c>
      <c r="V707" s="2">
        <v>0.78581363004172466</v>
      </c>
      <c r="W707" s="2">
        <v>0.70653685674547984</v>
      </c>
      <c r="X707">
        <v>24</v>
      </c>
    </row>
    <row r="708" spans="1:24" x14ac:dyDescent="0.3">
      <c r="A708">
        <v>727</v>
      </c>
      <c r="B708">
        <v>22</v>
      </c>
      <c r="C708">
        <v>6</v>
      </c>
      <c r="D708" s="1">
        <v>41624</v>
      </c>
      <c r="E708">
        <v>570</v>
      </c>
      <c r="F708">
        <v>30</v>
      </c>
      <c r="G708" t="s">
        <v>22</v>
      </c>
      <c r="H708" t="s">
        <v>32</v>
      </c>
      <c r="I708">
        <v>7</v>
      </c>
      <c r="J708" t="s">
        <v>24</v>
      </c>
      <c r="K708" t="s">
        <v>25</v>
      </c>
      <c r="L708" t="s">
        <v>58</v>
      </c>
      <c r="M708">
        <v>16</v>
      </c>
      <c r="N708">
        <v>55</v>
      </c>
      <c r="O708" t="s">
        <v>35</v>
      </c>
      <c r="P708">
        <v>10</v>
      </c>
      <c r="Q708">
        <v>20</v>
      </c>
      <c r="R708">
        <v>10</v>
      </c>
      <c r="S708">
        <v>30</v>
      </c>
      <c r="T708">
        <v>19</v>
      </c>
      <c r="U708" t="s">
        <v>28</v>
      </c>
      <c r="V708" s="2">
        <v>0.29090909090909089</v>
      </c>
      <c r="W708" s="2">
        <v>0.6</v>
      </c>
      <c r="X708">
        <v>12</v>
      </c>
    </row>
    <row r="709" spans="1:24" x14ac:dyDescent="0.3">
      <c r="A709">
        <v>585</v>
      </c>
      <c r="B709">
        <v>245</v>
      </c>
      <c r="C709">
        <v>163</v>
      </c>
      <c r="D709" s="1">
        <v>41625</v>
      </c>
      <c r="E709">
        <v>1704</v>
      </c>
      <c r="F709">
        <v>331</v>
      </c>
      <c r="G709" t="s">
        <v>22</v>
      </c>
      <c r="H709" t="s">
        <v>32</v>
      </c>
      <c r="I709">
        <v>93</v>
      </c>
      <c r="J709" t="s">
        <v>24</v>
      </c>
      <c r="K709" t="s">
        <v>25</v>
      </c>
      <c r="L709" t="s">
        <v>26</v>
      </c>
      <c r="M709">
        <v>303</v>
      </c>
      <c r="N709">
        <v>614</v>
      </c>
      <c r="O709" t="s">
        <v>68</v>
      </c>
      <c r="P709">
        <v>180</v>
      </c>
      <c r="Q709">
        <v>240</v>
      </c>
      <c r="R709">
        <v>140</v>
      </c>
      <c r="S709">
        <v>420</v>
      </c>
      <c r="T709">
        <v>127</v>
      </c>
      <c r="U709" t="s">
        <v>28</v>
      </c>
      <c r="V709" s="2">
        <v>0.49348534201954397</v>
      </c>
      <c r="W709" s="2">
        <v>0.60097719869706845</v>
      </c>
      <c r="X709">
        <v>34</v>
      </c>
    </row>
    <row r="710" spans="1:24" x14ac:dyDescent="0.3">
      <c r="A710">
        <v>518</v>
      </c>
      <c r="B710">
        <v>225</v>
      </c>
      <c r="C710">
        <v>-112</v>
      </c>
      <c r="D710" s="1">
        <v>41626</v>
      </c>
      <c r="E710">
        <v>4742</v>
      </c>
      <c r="F710">
        <v>-65</v>
      </c>
      <c r="G710" t="s">
        <v>22</v>
      </c>
      <c r="H710" t="s">
        <v>32</v>
      </c>
      <c r="I710">
        <v>69</v>
      </c>
      <c r="J710" t="s">
        <v>24</v>
      </c>
      <c r="K710" t="s">
        <v>25</v>
      </c>
      <c r="L710" t="s">
        <v>29</v>
      </c>
      <c r="M710">
        <v>-232</v>
      </c>
      <c r="N710">
        <v>171</v>
      </c>
      <c r="O710" t="s">
        <v>68</v>
      </c>
      <c r="P710">
        <v>160</v>
      </c>
      <c r="Q710">
        <v>-50</v>
      </c>
      <c r="R710">
        <v>-120</v>
      </c>
      <c r="S710">
        <v>110</v>
      </c>
      <c r="T710">
        <v>91</v>
      </c>
      <c r="U710" t="s">
        <v>28</v>
      </c>
      <c r="V710" s="2">
        <v>-1.3567251461988303</v>
      </c>
      <c r="W710" s="2">
        <v>-0.31578947368421051</v>
      </c>
      <c r="X710">
        <v>22</v>
      </c>
    </row>
    <row r="711" spans="1:24" x14ac:dyDescent="0.3">
      <c r="A711">
        <v>516</v>
      </c>
      <c r="B711">
        <v>81</v>
      </c>
      <c r="C711">
        <v>35</v>
      </c>
      <c r="D711" s="1">
        <v>41627</v>
      </c>
      <c r="E711">
        <v>984</v>
      </c>
      <c r="F711">
        <v>117</v>
      </c>
      <c r="G711" t="s">
        <v>22</v>
      </c>
      <c r="H711" t="s">
        <v>32</v>
      </c>
      <c r="I711">
        <v>22</v>
      </c>
      <c r="J711" t="s">
        <v>24</v>
      </c>
      <c r="K711" t="s">
        <v>33</v>
      </c>
      <c r="L711" t="s">
        <v>34</v>
      </c>
      <c r="M711">
        <v>125</v>
      </c>
      <c r="N711">
        <v>211</v>
      </c>
      <c r="O711" t="s">
        <v>68</v>
      </c>
      <c r="P711">
        <v>80</v>
      </c>
      <c r="Q711">
        <v>120</v>
      </c>
      <c r="R711">
        <v>90</v>
      </c>
      <c r="S711">
        <v>200</v>
      </c>
      <c r="T711">
        <v>33</v>
      </c>
      <c r="U711" t="s">
        <v>36</v>
      </c>
      <c r="V711" s="2">
        <v>0.59241706161137442</v>
      </c>
      <c r="W711" s="2">
        <v>0.61611374407582942</v>
      </c>
      <c r="X711">
        <v>11</v>
      </c>
    </row>
    <row r="712" spans="1:24" x14ac:dyDescent="0.3">
      <c r="A712">
        <v>914</v>
      </c>
      <c r="B712">
        <v>118</v>
      </c>
      <c r="C712">
        <v>58</v>
      </c>
      <c r="D712" s="1">
        <v>41628</v>
      </c>
      <c r="E712">
        <v>930</v>
      </c>
      <c r="F712">
        <v>172</v>
      </c>
      <c r="G712" t="s">
        <v>22</v>
      </c>
      <c r="H712" t="s">
        <v>32</v>
      </c>
      <c r="I712">
        <v>33</v>
      </c>
      <c r="J712" t="s">
        <v>24</v>
      </c>
      <c r="K712" t="s">
        <v>33</v>
      </c>
      <c r="L712" t="s">
        <v>62</v>
      </c>
      <c r="M712">
        <v>188</v>
      </c>
      <c r="N712">
        <v>309</v>
      </c>
      <c r="O712" t="s">
        <v>68</v>
      </c>
      <c r="P712">
        <v>120</v>
      </c>
      <c r="Q712">
        <v>170</v>
      </c>
      <c r="R712">
        <v>130</v>
      </c>
      <c r="S712">
        <v>290</v>
      </c>
      <c r="T712">
        <v>45</v>
      </c>
      <c r="U712" t="s">
        <v>36</v>
      </c>
      <c r="V712" s="2">
        <v>0.60841423948220064</v>
      </c>
      <c r="W712" s="2">
        <v>0.6181229773462783</v>
      </c>
      <c r="X712">
        <v>12</v>
      </c>
    </row>
    <row r="713" spans="1:24" x14ac:dyDescent="0.3">
      <c r="A713">
        <v>727</v>
      </c>
      <c r="B713">
        <v>134</v>
      </c>
      <c r="C713">
        <v>71</v>
      </c>
      <c r="D713" s="1">
        <v>41629</v>
      </c>
      <c r="E713">
        <v>690</v>
      </c>
      <c r="F713">
        <v>186</v>
      </c>
      <c r="G713" t="s">
        <v>22</v>
      </c>
      <c r="H713" t="s">
        <v>32</v>
      </c>
      <c r="I713">
        <v>41</v>
      </c>
      <c r="J713" t="s">
        <v>41</v>
      </c>
      <c r="K713" t="s">
        <v>46</v>
      </c>
      <c r="L713" t="s">
        <v>47</v>
      </c>
      <c r="M713">
        <v>181</v>
      </c>
      <c r="N713">
        <v>341</v>
      </c>
      <c r="O713" t="s">
        <v>35</v>
      </c>
      <c r="P713">
        <v>120</v>
      </c>
      <c r="Q713">
        <v>160</v>
      </c>
      <c r="R713">
        <v>110</v>
      </c>
      <c r="S713">
        <v>280</v>
      </c>
      <c r="T713">
        <v>64</v>
      </c>
      <c r="U713" t="s">
        <v>28</v>
      </c>
      <c r="V713" s="2">
        <v>0.53079178885630496</v>
      </c>
      <c r="W713" s="2">
        <v>0.60703812316715544</v>
      </c>
      <c r="X713">
        <v>23</v>
      </c>
    </row>
    <row r="714" spans="1:24" x14ac:dyDescent="0.3">
      <c r="A714">
        <v>386</v>
      </c>
      <c r="B714">
        <v>83</v>
      </c>
      <c r="C714">
        <v>16</v>
      </c>
      <c r="D714" s="1">
        <v>41630</v>
      </c>
      <c r="E714">
        <v>575</v>
      </c>
      <c r="F714">
        <v>112</v>
      </c>
      <c r="G714" t="s">
        <v>22</v>
      </c>
      <c r="H714" t="s">
        <v>32</v>
      </c>
      <c r="I714">
        <v>27</v>
      </c>
      <c r="J714" t="s">
        <v>41</v>
      </c>
      <c r="K714" t="s">
        <v>42</v>
      </c>
      <c r="L714" t="s">
        <v>43</v>
      </c>
      <c r="M714">
        <v>86</v>
      </c>
      <c r="N714">
        <v>208</v>
      </c>
      <c r="O714" t="s">
        <v>35</v>
      </c>
      <c r="P714">
        <v>80</v>
      </c>
      <c r="Q714">
        <v>110</v>
      </c>
      <c r="R714">
        <v>70</v>
      </c>
      <c r="S714">
        <v>190</v>
      </c>
      <c r="T714">
        <v>54</v>
      </c>
      <c r="U714" t="s">
        <v>28</v>
      </c>
      <c r="V714" s="2">
        <v>0.41346153846153844</v>
      </c>
      <c r="W714" s="2">
        <v>0.60096153846153844</v>
      </c>
      <c r="X714">
        <v>27</v>
      </c>
    </row>
    <row r="715" spans="1:24" x14ac:dyDescent="0.3">
      <c r="A715">
        <v>407</v>
      </c>
      <c r="B715">
        <v>88</v>
      </c>
      <c r="C715">
        <v>28</v>
      </c>
      <c r="D715" s="1">
        <v>41631</v>
      </c>
      <c r="E715">
        <v>817</v>
      </c>
      <c r="F715">
        <v>133</v>
      </c>
      <c r="G715" t="s">
        <v>22</v>
      </c>
      <c r="H715" t="s">
        <v>32</v>
      </c>
      <c r="I715">
        <v>29</v>
      </c>
      <c r="J715" t="s">
        <v>41</v>
      </c>
      <c r="K715" t="s">
        <v>46</v>
      </c>
      <c r="L715" t="s">
        <v>53</v>
      </c>
      <c r="M715">
        <v>108</v>
      </c>
      <c r="N715">
        <v>236</v>
      </c>
      <c r="O715" t="s">
        <v>35</v>
      </c>
      <c r="P715">
        <v>70</v>
      </c>
      <c r="Q715">
        <v>120</v>
      </c>
      <c r="R715">
        <v>80</v>
      </c>
      <c r="S715">
        <v>190</v>
      </c>
      <c r="T715">
        <v>60</v>
      </c>
      <c r="U715" t="s">
        <v>36</v>
      </c>
      <c r="V715" s="2">
        <v>0.4576271186440678</v>
      </c>
      <c r="W715" s="2">
        <v>0.6271186440677966</v>
      </c>
      <c r="X715">
        <v>31</v>
      </c>
    </row>
    <row r="716" spans="1:24" x14ac:dyDescent="0.3">
      <c r="A716">
        <v>351</v>
      </c>
      <c r="B716">
        <v>67</v>
      </c>
      <c r="C716">
        <v>219</v>
      </c>
      <c r="D716" s="1">
        <v>41632</v>
      </c>
      <c r="E716">
        <v>-3534</v>
      </c>
      <c r="F716">
        <v>443</v>
      </c>
      <c r="G716" t="s">
        <v>22</v>
      </c>
      <c r="H716" t="s">
        <v>32</v>
      </c>
      <c r="I716">
        <v>22</v>
      </c>
      <c r="J716" t="s">
        <v>41</v>
      </c>
      <c r="K716" t="s">
        <v>46</v>
      </c>
      <c r="L716" t="s">
        <v>53</v>
      </c>
      <c r="M716">
        <v>579</v>
      </c>
      <c r="N716">
        <v>543</v>
      </c>
      <c r="O716" t="s">
        <v>63</v>
      </c>
      <c r="P716">
        <v>60</v>
      </c>
      <c r="Q716">
        <v>390</v>
      </c>
      <c r="R716">
        <v>360</v>
      </c>
      <c r="S716">
        <v>450</v>
      </c>
      <c r="T716">
        <v>53</v>
      </c>
      <c r="U716" t="s">
        <v>36</v>
      </c>
      <c r="V716" s="2">
        <v>1.0662983425414365</v>
      </c>
      <c r="W716" s="2">
        <v>0.87661141804788212</v>
      </c>
      <c r="X716">
        <v>31</v>
      </c>
    </row>
    <row r="717" spans="1:24" x14ac:dyDescent="0.3">
      <c r="A717">
        <v>315</v>
      </c>
      <c r="B717">
        <v>279</v>
      </c>
      <c r="C717">
        <v>152</v>
      </c>
      <c r="D717" s="1">
        <v>41633</v>
      </c>
      <c r="E717">
        <v>2642</v>
      </c>
      <c r="F717">
        <v>420</v>
      </c>
      <c r="G717" t="s">
        <v>22</v>
      </c>
      <c r="H717" t="s">
        <v>32</v>
      </c>
      <c r="I717">
        <v>97</v>
      </c>
      <c r="J717" t="s">
        <v>41</v>
      </c>
      <c r="K717" t="s">
        <v>46</v>
      </c>
      <c r="L717" t="s">
        <v>53</v>
      </c>
      <c r="M717">
        <v>402</v>
      </c>
      <c r="N717">
        <v>745</v>
      </c>
      <c r="O717" t="s">
        <v>68</v>
      </c>
      <c r="P717">
        <v>250</v>
      </c>
      <c r="Q717">
        <v>370</v>
      </c>
      <c r="R717">
        <v>250</v>
      </c>
      <c r="S717">
        <v>620</v>
      </c>
      <c r="T717">
        <v>149</v>
      </c>
      <c r="U717" t="s">
        <v>36</v>
      </c>
      <c r="V717" s="2">
        <v>0.53959731543624156</v>
      </c>
      <c r="W717" s="2">
        <v>0.62550335570469795</v>
      </c>
      <c r="X717">
        <v>52</v>
      </c>
    </row>
    <row r="718" spans="1:24" x14ac:dyDescent="0.3">
      <c r="A718">
        <v>305</v>
      </c>
      <c r="B718">
        <v>105</v>
      </c>
      <c r="C718">
        <v>1</v>
      </c>
      <c r="D718" s="1">
        <v>41634</v>
      </c>
      <c r="E718">
        <v>716</v>
      </c>
      <c r="F718">
        <v>145</v>
      </c>
      <c r="G718" t="s">
        <v>22</v>
      </c>
      <c r="H718" t="s">
        <v>32</v>
      </c>
      <c r="I718">
        <v>95</v>
      </c>
      <c r="J718" t="s">
        <v>41</v>
      </c>
      <c r="K718" t="s">
        <v>42</v>
      </c>
      <c r="L718" t="s">
        <v>54</v>
      </c>
      <c r="M718">
        <v>31</v>
      </c>
      <c r="N718">
        <v>266</v>
      </c>
      <c r="O718" t="s">
        <v>35</v>
      </c>
      <c r="P718">
        <v>100</v>
      </c>
      <c r="Q718">
        <v>140</v>
      </c>
      <c r="R718">
        <v>30</v>
      </c>
      <c r="S718">
        <v>240</v>
      </c>
      <c r="T718">
        <v>124</v>
      </c>
      <c r="U718" t="s">
        <v>36</v>
      </c>
      <c r="V718" s="2">
        <v>0.11654135338345864</v>
      </c>
      <c r="W718" s="2">
        <v>0.60526315789473684</v>
      </c>
      <c r="X718">
        <v>29</v>
      </c>
    </row>
    <row r="719" spans="1:24" x14ac:dyDescent="0.3">
      <c r="A719">
        <v>845</v>
      </c>
      <c r="B719">
        <v>135</v>
      </c>
      <c r="C719">
        <v>-122</v>
      </c>
      <c r="D719" s="1">
        <v>41635</v>
      </c>
      <c r="E719">
        <v>3641</v>
      </c>
      <c r="F719">
        <v>-69</v>
      </c>
      <c r="G719" t="s">
        <v>22</v>
      </c>
      <c r="H719" t="s">
        <v>32</v>
      </c>
      <c r="I719">
        <v>122</v>
      </c>
      <c r="J719" t="s">
        <v>41</v>
      </c>
      <c r="K719" t="s">
        <v>42</v>
      </c>
      <c r="L719" t="s">
        <v>54</v>
      </c>
      <c r="M719">
        <v>-332</v>
      </c>
      <c r="N719">
        <v>70</v>
      </c>
      <c r="O719" t="s">
        <v>68</v>
      </c>
      <c r="P719">
        <v>130</v>
      </c>
      <c r="Q719">
        <v>-70</v>
      </c>
      <c r="R719">
        <v>-210</v>
      </c>
      <c r="S719">
        <v>60</v>
      </c>
      <c r="T719">
        <v>155</v>
      </c>
      <c r="U719" t="s">
        <v>36</v>
      </c>
      <c r="V719" s="2">
        <v>-4.7428571428571429</v>
      </c>
      <c r="W719" s="2">
        <v>-0.9285714285714286</v>
      </c>
      <c r="X719">
        <v>33</v>
      </c>
    </row>
    <row r="720" spans="1:24" x14ac:dyDescent="0.3">
      <c r="A720">
        <v>857</v>
      </c>
      <c r="B720">
        <v>153</v>
      </c>
      <c r="C720">
        <v>49</v>
      </c>
      <c r="D720" s="1">
        <v>41636</v>
      </c>
      <c r="E720">
        <v>1319</v>
      </c>
      <c r="F720">
        <v>153</v>
      </c>
      <c r="G720" t="s">
        <v>22</v>
      </c>
      <c r="H720" t="s">
        <v>32</v>
      </c>
      <c r="I720">
        <v>42</v>
      </c>
      <c r="J720" t="s">
        <v>41</v>
      </c>
      <c r="K720" t="s">
        <v>42</v>
      </c>
      <c r="L720" t="s">
        <v>67</v>
      </c>
      <c r="M720">
        <v>129</v>
      </c>
      <c r="N720">
        <v>326</v>
      </c>
      <c r="O720" t="s">
        <v>63</v>
      </c>
      <c r="P720">
        <v>150</v>
      </c>
      <c r="Q720">
        <v>140</v>
      </c>
      <c r="R720">
        <v>80</v>
      </c>
      <c r="S720">
        <v>290</v>
      </c>
      <c r="T720">
        <v>66</v>
      </c>
      <c r="U720" t="s">
        <v>36</v>
      </c>
      <c r="V720" s="2">
        <v>0.39570552147239263</v>
      </c>
      <c r="W720" s="2">
        <v>0.53067484662576692</v>
      </c>
      <c r="X720">
        <v>24</v>
      </c>
    </row>
    <row r="721" spans="1:24" x14ac:dyDescent="0.3">
      <c r="A721">
        <v>518</v>
      </c>
      <c r="B721">
        <v>250</v>
      </c>
      <c r="C721">
        <v>143</v>
      </c>
      <c r="D721" s="1">
        <v>41637</v>
      </c>
      <c r="E721">
        <v>723</v>
      </c>
      <c r="F721">
        <v>407</v>
      </c>
      <c r="G721" t="s">
        <v>22</v>
      </c>
      <c r="H721" t="s">
        <v>32</v>
      </c>
      <c r="I721">
        <v>70</v>
      </c>
      <c r="J721" t="s">
        <v>41</v>
      </c>
      <c r="K721" t="s">
        <v>42</v>
      </c>
      <c r="L721" t="s">
        <v>67</v>
      </c>
      <c r="M721">
        <v>463</v>
      </c>
      <c r="N721">
        <v>700</v>
      </c>
      <c r="O721" t="s">
        <v>68</v>
      </c>
      <c r="P721">
        <v>240</v>
      </c>
      <c r="Q721">
        <v>400</v>
      </c>
      <c r="R721">
        <v>320</v>
      </c>
      <c r="S721">
        <v>640</v>
      </c>
      <c r="T721">
        <v>95</v>
      </c>
      <c r="U721" t="s">
        <v>36</v>
      </c>
      <c r="V721" s="2">
        <v>0.66142857142857148</v>
      </c>
      <c r="W721" s="2">
        <v>0.6428571428571429</v>
      </c>
      <c r="X721">
        <v>25</v>
      </c>
    </row>
    <row r="722" spans="1:24" x14ac:dyDescent="0.3">
      <c r="A722">
        <v>631</v>
      </c>
      <c r="B722">
        <v>294</v>
      </c>
      <c r="C722">
        <v>249</v>
      </c>
      <c r="D722" s="1">
        <v>41638</v>
      </c>
      <c r="E722">
        <v>1727</v>
      </c>
      <c r="F722">
        <v>453</v>
      </c>
      <c r="G722" t="s">
        <v>22</v>
      </c>
      <c r="H722" t="s">
        <v>32</v>
      </c>
      <c r="I722">
        <v>111</v>
      </c>
      <c r="J722" t="s">
        <v>24</v>
      </c>
      <c r="K722" t="s">
        <v>25</v>
      </c>
      <c r="L722" t="s">
        <v>26</v>
      </c>
      <c r="M722">
        <v>459</v>
      </c>
      <c r="N722">
        <v>796</v>
      </c>
      <c r="O722" t="s">
        <v>68</v>
      </c>
      <c r="P722">
        <v>220</v>
      </c>
      <c r="Q722">
        <v>320</v>
      </c>
      <c r="R722">
        <v>210</v>
      </c>
      <c r="S722">
        <v>540</v>
      </c>
      <c r="T722">
        <v>144</v>
      </c>
      <c r="U722" t="s">
        <v>28</v>
      </c>
      <c r="V722" s="2">
        <v>0.5766331658291457</v>
      </c>
      <c r="W722" s="2">
        <v>0.6306532663316583</v>
      </c>
      <c r="X722">
        <v>33</v>
      </c>
    </row>
    <row r="723" spans="1:24" x14ac:dyDescent="0.3">
      <c r="A723">
        <v>716</v>
      </c>
      <c r="B723">
        <v>241</v>
      </c>
      <c r="C723">
        <v>-130</v>
      </c>
      <c r="D723" s="1">
        <v>41639</v>
      </c>
      <c r="E723">
        <v>5121</v>
      </c>
      <c r="F723">
        <v>-93</v>
      </c>
      <c r="G723" t="s">
        <v>22</v>
      </c>
      <c r="H723" t="s">
        <v>32</v>
      </c>
      <c r="I723">
        <v>74</v>
      </c>
      <c r="J723" t="s">
        <v>24</v>
      </c>
      <c r="K723" t="s">
        <v>25</v>
      </c>
      <c r="L723" t="s">
        <v>29</v>
      </c>
      <c r="M723">
        <v>-280</v>
      </c>
      <c r="N723">
        <v>158</v>
      </c>
      <c r="O723" t="s">
        <v>68</v>
      </c>
      <c r="P723">
        <v>180</v>
      </c>
      <c r="Q723">
        <v>-80</v>
      </c>
      <c r="R723">
        <v>-150</v>
      </c>
      <c r="S723">
        <v>100</v>
      </c>
      <c r="T723">
        <v>96</v>
      </c>
      <c r="U723" t="s">
        <v>28</v>
      </c>
      <c r="V723" s="2">
        <v>-1.7721518987341771</v>
      </c>
      <c r="W723" s="2">
        <v>-0.52531645569620256</v>
      </c>
      <c r="X723">
        <v>22</v>
      </c>
    </row>
    <row r="724" spans="1:24" x14ac:dyDescent="0.3">
      <c r="A724">
        <v>718</v>
      </c>
      <c r="B724">
        <v>86</v>
      </c>
      <c r="C724">
        <v>42</v>
      </c>
      <c r="D724" s="1">
        <v>41640</v>
      </c>
      <c r="E724">
        <v>1003</v>
      </c>
      <c r="F724">
        <v>124</v>
      </c>
      <c r="G724" t="s">
        <v>22</v>
      </c>
      <c r="H724" t="s">
        <v>32</v>
      </c>
      <c r="I724">
        <v>24</v>
      </c>
      <c r="J724" t="s">
        <v>24</v>
      </c>
      <c r="K724" t="s">
        <v>33</v>
      </c>
      <c r="L724" t="s">
        <v>34</v>
      </c>
      <c r="M724">
        <v>132</v>
      </c>
      <c r="N724">
        <v>224</v>
      </c>
      <c r="O724" t="s">
        <v>68</v>
      </c>
      <c r="P724">
        <v>90</v>
      </c>
      <c r="Q724">
        <v>120</v>
      </c>
      <c r="R724">
        <v>90</v>
      </c>
      <c r="S724">
        <v>210</v>
      </c>
      <c r="T724">
        <v>35</v>
      </c>
      <c r="U724" t="s">
        <v>36</v>
      </c>
      <c r="V724" s="2">
        <v>0.5892857142857143</v>
      </c>
      <c r="W724" s="2">
        <v>0.6160714285714286</v>
      </c>
      <c r="X724">
        <v>11</v>
      </c>
    </row>
    <row r="725" spans="1:24" x14ac:dyDescent="0.3">
      <c r="A725">
        <v>518</v>
      </c>
      <c r="B725">
        <v>123</v>
      </c>
      <c r="C725">
        <v>47</v>
      </c>
      <c r="D725" s="1">
        <v>41641</v>
      </c>
      <c r="E725">
        <v>959</v>
      </c>
      <c r="F725">
        <v>179</v>
      </c>
      <c r="G725" t="s">
        <v>22</v>
      </c>
      <c r="H725" t="s">
        <v>32</v>
      </c>
      <c r="I725">
        <v>34</v>
      </c>
      <c r="J725" t="s">
        <v>24</v>
      </c>
      <c r="K725" t="s">
        <v>33</v>
      </c>
      <c r="L725" t="s">
        <v>62</v>
      </c>
      <c r="M725">
        <v>197</v>
      </c>
      <c r="N725">
        <v>322</v>
      </c>
      <c r="O725" t="s">
        <v>68</v>
      </c>
      <c r="P725">
        <v>120</v>
      </c>
      <c r="Q725">
        <v>190</v>
      </c>
      <c r="R725">
        <v>150</v>
      </c>
      <c r="S725">
        <v>310</v>
      </c>
      <c r="T725">
        <v>46</v>
      </c>
      <c r="U725" t="s">
        <v>36</v>
      </c>
      <c r="V725" s="2">
        <v>0.61180124223602483</v>
      </c>
      <c r="W725" s="2">
        <v>0.61801242236024845</v>
      </c>
      <c r="X725">
        <v>12</v>
      </c>
    </row>
    <row r="726" spans="1:24" x14ac:dyDescent="0.3">
      <c r="A726">
        <v>719</v>
      </c>
      <c r="B726">
        <v>108</v>
      </c>
      <c r="C726">
        <v>-34</v>
      </c>
      <c r="D726" s="1">
        <v>41642</v>
      </c>
      <c r="E726">
        <v>971</v>
      </c>
      <c r="F726">
        <v>157</v>
      </c>
      <c r="G726" t="s">
        <v>22</v>
      </c>
      <c r="H726" t="s">
        <v>23</v>
      </c>
      <c r="I726">
        <v>30</v>
      </c>
      <c r="J726" t="s">
        <v>41</v>
      </c>
      <c r="K726" t="s">
        <v>46</v>
      </c>
      <c r="L726" t="s">
        <v>47</v>
      </c>
      <c r="M726">
        <v>116</v>
      </c>
      <c r="N726">
        <v>265</v>
      </c>
      <c r="O726" t="s">
        <v>27</v>
      </c>
      <c r="P726">
        <v>100</v>
      </c>
      <c r="Q726">
        <v>160</v>
      </c>
      <c r="R726">
        <v>150</v>
      </c>
      <c r="S726">
        <v>260</v>
      </c>
      <c r="T726">
        <v>41</v>
      </c>
      <c r="U726" t="s">
        <v>28</v>
      </c>
      <c r="V726" s="2">
        <v>0.43773584905660379</v>
      </c>
      <c r="W726" s="2">
        <v>0.59245283018867922</v>
      </c>
      <c r="X726">
        <v>11</v>
      </c>
    </row>
    <row r="727" spans="1:24" x14ac:dyDescent="0.3">
      <c r="A727">
        <v>815</v>
      </c>
      <c r="B727">
        <v>122</v>
      </c>
      <c r="C727">
        <v>-45</v>
      </c>
      <c r="D727" s="1">
        <v>41643</v>
      </c>
      <c r="E727">
        <v>789</v>
      </c>
      <c r="F727">
        <v>176</v>
      </c>
      <c r="G727" t="s">
        <v>22</v>
      </c>
      <c r="H727" t="s">
        <v>23</v>
      </c>
      <c r="I727">
        <v>39</v>
      </c>
      <c r="J727" t="s">
        <v>41</v>
      </c>
      <c r="K727" t="s">
        <v>46</v>
      </c>
      <c r="L727" t="s">
        <v>47</v>
      </c>
      <c r="M727">
        <v>115</v>
      </c>
      <c r="N727">
        <v>298</v>
      </c>
      <c r="O727" t="s">
        <v>64</v>
      </c>
      <c r="P727">
        <v>110</v>
      </c>
      <c r="Q727">
        <v>190</v>
      </c>
      <c r="R727">
        <v>160</v>
      </c>
      <c r="S727">
        <v>300</v>
      </c>
      <c r="T727">
        <v>61</v>
      </c>
      <c r="U727" t="s">
        <v>28</v>
      </c>
      <c r="V727" s="2">
        <v>0.38590604026845637</v>
      </c>
      <c r="W727" s="2">
        <v>0.59060402684563762</v>
      </c>
      <c r="X727">
        <v>22</v>
      </c>
    </row>
    <row r="728" spans="1:24" x14ac:dyDescent="0.3">
      <c r="A728">
        <v>303</v>
      </c>
      <c r="B728">
        <v>72</v>
      </c>
      <c r="C728">
        <v>-74</v>
      </c>
      <c r="D728" s="1">
        <v>41644</v>
      </c>
      <c r="E728">
        <v>650</v>
      </c>
      <c r="F728">
        <v>110</v>
      </c>
      <c r="G728" t="s">
        <v>22</v>
      </c>
      <c r="H728" t="s">
        <v>23</v>
      </c>
      <c r="I728">
        <v>23</v>
      </c>
      <c r="J728" t="s">
        <v>41</v>
      </c>
      <c r="K728" t="s">
        <v>42</v>
      </c>
      <c r="L728" t="s">
        <v>43</v>
      </c>
      <c r="M728">
        <v>56</v>
      </c>
      <c r="N728">
        <v>182</v>
      </c>
      <c r="O728" t="s">
        <v>27</v>
      </c>
      <c r="P728">
        <v>100</v>
      </c>
      <c r="Q728">
        <v>160</v>
      </c>
      <c r="R728">
        <v>130</v>
      </c>
      <c r="S728">
        <v>260</v>
      </c>
      <c r="T728">
        <v>54</v>
      </c>
      <c r="U728" t="s">
        <v>28</v>
      </c>
      <c r="V728" s="2">
        <v>0.30769230769230771</v>
      </c>
      <c r="W728" s="2">
        <v>0.60439560439560436</v>
      </c>
      <c r="X728">
        <v>31</v>
      </c>
    </row>
    <row r="729" spans="1:24" x14ac:dyDescent="0.3">
      <c r="A729">
        <v>312</v>
      </c>
      <c r="B729">
        <v>239</v>
      </c>
      <c r="C729">
        <v>-151</v>
      </c>
      <c r="D729" s="1">
        <v>41645</v>
      </c>
      <c r="E729">
        <v>1755</v>
      </c>
      <c r="F729">
        <v>239</v>
      </c>
      <c r="G729" t="s">
        <v>22</v>
      </c>
      <c r="H729" t="s">
        <v>23</v>
      </c>
      <c r="I729">
        <v>66</v>
      </c>
      <c r="J729" t="s">
        <v>41</v>
      </c>
      <c r="K729" t="s">
        <v>42</v>
      </c>
      <c r="L729" t="s">
        <v>43</v>
      </c>
      <c r="M729">
        <v>149</v>
      </c>
      <c r="N729">
        <v>478</v>
      </c>
      <c r="O729" t="s">
        <v>64</v>
      </c>
      <c r="P729">
        <v>340</v>
      </c>
      <c r="Q729">
        <v>370</v>
      </c>
      <c r="R729">
        <v>300</v>
      </c>
      <c r="S729">
        <v>710</v>
      </c>
      <c r="T729">
        <v>90</v>
      </c>
      <c r="U729" t="s">
        <v>28</v>
      </c>
      <c r="V729" s="2">
        <v>0.31171548117154813</v>
      </c>
      <c r="W729" s="2">
        <v>0.5</v>
      </c>
      <c r="X729">
        <v>24</v>
      </c>
    </row>
    <row r="730" spans="1:24" x14ac:dyDescent="0.3">
      <c r="A730">
        <v>614</v>
      </c>
      <c r="B730">
        <v>54</v>
      </c>
      <c r="C730">
        <v>-58</v>
      </c>
      <c r="D730" s="1">
        <v>41646</v>
      </c>
      <c r="E730">
        <v>404</v>
      </c>
      <c r="F730">
        <v>66</v>
      </c>
      <c r="G730" t="s">
        <v>22</v>
      </c>
      <c r="H730" t="s">
        <v>23</v>
      </c>
      <c r="I730">
        <v>20</v>
      </c>
      <c r="J730" t="s">
        <v>41</v>
      </c>
      <c r="K730" t="s">
        <v>42</v>
      </c>
      <c r="L730" t="s">
        <v>43</v>
      </c>
      <c r="M730">
        <v>12</v>
      </c>
      <c r="N730">
        <v>120</v>
      </c>
      <c r="O730" t="s">
        <v>66</v>
      </c>
      <c r="P730">
        <v>70</v>
      </c>
      <c r="Q730">
        <v>100</v>
      </c>
      <c r="R730">
        <v>70</v>
      </c>
      <c r="S730">
        <v>170</v>
      </c>
      <c r="T730">
        <v>54</v>
      </c>
      <c r="U730" t="s">
        <v>28</v>
      </c>
      <c r="V730" s="2">
        <v>0.1</v>
      </c>
      <c r="W730" s="2">
        <v>0.55000000000000004</v>
      </c>
      <c r="X730">
        <v>34</v>
      </c>
    </row>
    <row r="731" spans="1:24" x14ac:dyDescent="0.3">
      <c r="A731">
        <v>970</v>
      </c>
      <c r="B731">
        <v>123</v>
      </c>
      <c r="C731">
        <v>-27</v>
      </c>
      <c r="D731" s="1">
        <v>41647</v>
      </c>
      <c r="E731">
        <v>915</v>
      </c>
      <c r="F731">
        <v>179</v>
      </c>
      <c r="G731" t="s">
        <v>22</v>
      </c>
      <c r="H731" t="s">
        <v>23</v>
      </c>
      <c r="I731">
        <v>34</v>
      </c>
      <c r="J731" t="s">
        <v>41</v>
      </c>
      <c r="K731" t="s">
        <v>46</v>
      </c>
      <c r="L731" t="s">
        <v>51</v>
      </c>
      <c r="M731">
        <v>133</v>
      </c>
      <c r="N731">
        <v>302</v>
      </c>
      <c r="O731" t="s">
        <v>27</v>
      </c>
      <c r="P731">
        <v>120</v>
      </c>
      <c r="Q731">
        <v>180</v>
      </c>
      <c r="R731">
        <v>160</v>
      </c>
      <c r="S731">
        <v>300</v>
      </c>
      <c r="T731">
        <v>46</v>
      </c>
      <c r="U731" t="s">
        <v>36</v>
      </c>
      <c r="V731" s="2">
        <v>0.44039735099337746</v>
      </c>
      <c r="W731" s="2">
        <v>0.5927152317880795</v>
      </c>
      <c r="X731">
        <v>12</v>
      </c>
    </row>
    <row r="732" spans="1:24" x14ac:dyDescent="0.3">
      <c r="A732">
        <v>815</v>
      </c>
      <c r="B732">
        <v>154</v>
      </c>
      <c r="C732">
        <v>-40</v>
      </c>
      <c r="D732" s="1">
        <v>41648</v>
      </c>
      <c r="E732">
        <v>1132</v>
      </c>
      <c r="F732">
        <v>213</v>
      </c>
      <c r="G732" t="s">
        <v>22</v>
      </c>
      <c r="H732" t="s">
        <v>23</v>
      </c>
      <c r="I732">
        <v>50</v>
      </c>
      <c r="J732" t="s">
        <v>41</v>
      </c>
      <c r="K732" t="s">
        <v>46</v>
      </c>
      <c r="L732" t="s">
        <v>53</v>
      </c>
      <c r="M732">
        <v>120</v>
      </c>
      <c r="N732">
        <v>367</v>
      </c>
      <c r="O732" t="s">
        <v>64</v>
      </c>
      <c r="P732">
        <v>150</v>
      </c>
      <c r="Q732">
        <v>220</v>
      </c>
      <c r="R732">
        <v>160</v>
      </c>
      <c r="S732">
        <v>370</v>
      </c>
      <c r="T732">
        <v>93</v>
      </c>
      <c r="U732" t="s">
        <v>36</v>
      </c>
      <c r="V732" s="2">
        <v>0.32697547683923706</v>
      </c>
      <c r="W732" s="2">
        <v>0.5803814713896458</v>
      </c>
      <c r="X732">
        <v>43</v>
      </c>
    </row>
    <row r="733" spans="1:24" x14ac:dyDescent="0.3">
      <c r="A733">
        <v>303</v>
      </c>
      <c r="B733">
        <v>76</v>
      </c>
      <c r="C733">
        <v>-91</v>
      </c>
      <c r="D733" s="1">
        <v>41649</v>
      </c>
      <c r="E733">
        <v>580</v>
      </c>
      <c r="F733">
        <v>111</v>
      </c>
      <c r="G733" t="s">
        <v>22</v>
      </c>
      <c r="H733" t="s">
        <v>23</v>
      </c>
      <c r="I733">
        <v>21</v>
      </c>
      <c r="J733" t="s">
        <v>41</v>
      </c>
      <c r="K733" t="s">
        <v>42</v>
      </c>
      <c r="L733" t="s">
        <v>54</v>
      </c>
      <c r="M733">
        <v>79</v>
      </c>
      <c r="N733">
        <v>187</v>
      </c>
      <c r="O733" t="s">
        <v>27</v>
      </c>
      <c r="P733">
        <v>100</v>
      </c>
      <c r="Q733">
        <v>180</v>
      </c>
      <c r="R733">
        <v>170</v>
      </c>
      <c r="S733">
        <v>280</v>
      </c>
      <c r="T733">
        <v>32</v>
      </c>
      <c r="U733" t="s">
        <v>36</v>
      </c>
      <c r="V733" s="2">
        <v>0.42245989304812837</v>
      </c>
      <c r="W733" s="2">
        <v>0.5935828877005348</v>
      </c>
      <c r="X733">
        <v>11</v>
      </c>
    </row>
    <row r="734" spans="1:24" x14ac:dyDescent="0.3">
      <c r="A734">
        <v>815</v>
      </c>
      <c r="B734">
        <v>257</v>
      </c>
      <c r="C734">
        <v>-196</v>
      </c>
      <c r="D734" s="1">
        <v>41650</v>
      </c>
      <c r="E734">
        <v>1662</v>
      </c>
      <c r="F734">
        <v>341</v>
      </c>
      <c r="G734" t="s">
        <v>22</v>
      </c>
      <c r="H734" t="s">
        <v>23</v>
      </c>
      <c r="I734">
        <v>84</v>
      </c>
      <c r="J734" t="s">
        <v>41</v>
      </c>
      <c r="K734" t="s">
        <v>42</v>
      </c>
      <c r="L734" t="s">
        <v>54</v>
      </c>
      <c r="M734">
        <v>224</v>
      </c>
      <c r="N734">
        <v>598</v>
      </c>
      <c r="O734" t="s">
        <v>64</v>
      </c>
      <c r="P734">
        <v>370</v>
      </c>
      <c r="Q734">
        <v>520</v>
      </c>
      <c r="R734">
        <v>420</v>
      </c>
      <c r="S734">
        <v>890</v>
      </c>
      <c r="T734">
        <v>117</v>
      </c>
      <c r="U734" t="s">
        <v>36</v>
      </c>
      <c r="V734" s="2">
        <v>0.37458193979933108</v>
      </c>
      <c r="W734" s="2">
        <v>0.57023411371237454</v>
      </c>
      <c r="X734">
        <v>33</v>
      </c>
    </row>
    <row r="735" spans="1:24" x14ac:dyDescent="0.3">
      <c r="A735">
        <v>567</v>
      </c>
      <c r="B735">
        <v>161</v>
      </c>
      <c r="C735">
        <v>-98</v>
      </c>
      <c r="D735" s="1">
        <v>41651</v>
      </c>
      <c r="E735">
        <v>1267</v>
      </c>
      <c r="F735">
        <v>161</v>
      </c>
      <c r="G735" t="s">
        <v>22</v>
      </c>
      <c r="H735" t="s">
        <v>23</v>
      </c>
      <c r="I735">
        <v>45</v>
      </c>
      <c r="J735" t="s">
        <v>41</v>
      </c>
      <c r="K735" t="s">
        <v>42</v>
      </c>
      <c r="L735" t="s">
        <v>54</v>
      </c>
      <c r="M735">
        <v>92</v>
      </c>
      <c r="N735">
        <v>322</v>
      </c>
      <c r="O735" t="s">
        <v>66</v>
      </c>
      <c r="P735">
        <v>230</v>
      </c>
      <c r="Q735">
        <v>240</v>
      </c>
      <c r="R735">
        <v>190</v>
      </c>
      <c r="S735">
        <v>470</v>
      </c>
      <c r="T735">
        <v>69</v>
      </c>
      <c r="U735" t="s">
        <v>36</v>
      </c>
      <c r="V735" s="2">
        <v>0.2857142857142857</v>
      </c>
      <c r="W735" s="2">
        <v>0.5</v>
      </c>
      <c r="X735">
        <v>24</v>
      </c>
    </row>
    <row r="736" spans="1:24" x14ac:dyDescent="0.3">
      <c r="A736">
        <v>719</v>
      </c>
      <c r="B736">
        <v>161</v>
      </c>
      <c r="C736">
        <v>-18</v>
      </c>
      <c r="D736" s="1">
        <v>41652</v>
      </c>
      <c r="E736">
        <v>1267</v>
      </c>
      <c r="F736">
        <v>161</v>
      </c>
      <c r="G736" t="s">
        <v>22</v>
      </c>
      <c r="H736" t="s">
        <v>23</v>
      </c>
      <c r="I736">
        <v>45</v>
      </c>
      <c r="J736" t="s">
        <v>24</v>
      </c>
      <c r="K736" t="s">
        <v>25</v>
      </c>
      <c r="L736" t="s">
        <v>58</v>
      </c>
      <c r="M736">
        <v>92</v>
      </c>
      <c r="N736">
        <v>322</v>
      </c>
      <c r="O736" t="s">
        <v>27</v>
      </c>
      <c r="P736">
        <v>120</v>
      </c>
      <c r="Q736">
        <v>140</v>
      </c>
      <c r="R736">
        <v>110</v>
      </c>
      <c r="S736">
        <v>260</v>
      </c>
      <c r="T736">
        <v>69</v>
      </c>
      <c r="U736" t="s">
        <v>28</v>
      </c>
      <c r="V736" s="2">
        <v>0.2857142857142857</v>
      </c>
      <c r="W736" s="2">
        <v>0.5</v>
      </c>
      <c r="X736">
        <v>24</v>
      </c>
    </row>
    <row r="737" spans="1:24" x14ac:dyDescent="0.3">
      <c r="A737">
        <v>708</v>
      </c>
      <c r="B737">
        <v>123</v>
      </c>
      <c r="C737">
        <v>-7</v>
      </c>
      <c r="D737" s="1">
        <v>41653</v>
      </c>
      <c r="E737">
        <v>915</v>
      </c>
      <c r="F737">
        <v>179</v>
      </c>
      <c r="G737" t="s">
        <v>22</v>
      </c>
      <c r="H737" t="s">
        <v>23</v>
      </c>
      <c r="I737">
        <v>34</v>
      </c>
      <c r="J737" t="s">
        <v>24</v>
      </c>
      <c r="K737" t="s">
        <v>25</v>
      </c>
      <c r="L737" t="s">
        <v>58</v>
      </c>
      <c r="M737">
        <v>133</v>
      </c>
      <c r="N737">
        <v>302</v>
      </c>
      <c r="O737" t="s">
        <v>64</v>
      </c>
      <c r="P737">
        <v>90</v>
      </c>
      <c r="Q737">
        <v>150</v>
      </c>
      <c r="R737">
        <v>140</v>
      </c>
      <c r="S737">
        <v>240</v>
      </c>
      <c r="T737">
        <v>46</v>
      </c>
      <c r="U737" t="s">
        <v>28</v>
      </c>
      <c r="V737" s="2">
        <v>0.44039735099337746</v>
      </c>
      <c r="W737" s="2">
        <v>0.5927152317880795</v>
      </c>
      <c r="X737">
        <v>12</v>
      </c>
    </row>
    <row r="738" spans="1:24" x14ac:dyDescent="0.3">
      <c r="A738">
        <v>815</v>
      </c>
      <c r="B738">
        <v>108</v>
      </c>
      <c r="C738">
        <v>-4</v>
      </c>
      <c r="D738" s="1">
        <v>41654</v>
      </c>
      <c r="E738">
        <v>971</v>
      </c>
      <c r="F738">
        <v>157</v>
      </c>
      <c r="G738" t="s">
        <v>22</v>
      </c>
      <c r="H738" t="s">
        <v>23</v>
      </c>
      <c r="I738">
        <v>30</v>
      </c>
      <c r="J738" t="s">
        <v>24</v>
      </c>
      <c r="K738" t="s">
        <v>25</v>
      </c>
      <c r="L738" t="s">
        <v>29</v>
      </c>
      <c r="M738">
        <v>116</v>
      </c>
      <c r="N738">
        <v>265</v>
      </c>
      <c r="O738" t="s">
        <v>64</v>
      </c>
      <c r="P738">
        <v>80</v>
      </c>
      <c r="Q738">
        <v>130</v>
      </c>
      <c r="R738">
        <v>120</v>
      </c>
      <c r="S738">
        <v>210</v>
      </c>
      <c r="T738">
        <v>41</v>
      </c>
      <c r="U738" t="s">
        <v>28</v>
      </c>
      <c r="V738" s="2">
        <v>0.43773584905660379</v>
      </c>
      <c r="W738" s="2">
        <v>0.59245283018867922</v>
      </c>
      <c r="X738">
        <v>11</v>
      </c>
    </row>
    <row r="739" spans="1:24" x14ac:dyDescent="0.3">
      <c r="A739">
        <v>234</v>
      </c>
      <c r="B739">
        <v>82</v>
      </c>
      <c r="C739">
        <v>5</v>
      </c>
      <c r="D739" s="1">
        <v>41655</v>
      </c>
      <c r="E739">
        <v>788</v>
      </c>
      <c r="F739">
        <v>123</v>
      </c>
      <c r="G739" t="s">
        <v>22</v>
      </c>
      <c r="H739" t="s">
        <v>23</v>
      </c>
      <c r="I739">
        <v>27</v>
      </c>
      <c r="J739" t="s">
        <v>24</v>
      </c>
      <c r="K739" t="s">
        <v>33</v>
      </c>
      <c r="L739" t="s">
        <v>34</v>
      </c>
      <c r="M739">
        <v>65</v>
      </c>
      <c r="N739">
        <v>205</v>
      </c>
      <c r="O739" t="s">
        <v>66</v>
      </c>
      <c r="P739">
        <v>50</v>
      </c>
      <c r="Q739">
        <v>90</v>
      </c>
      <c r="R739">
        <v>60</v>
      </c>
      <c r="S739">
        <v>140</v>
      </c>
      <c r="T739">
        <v>58</v>
      </c>
      <c r="U739" t="s">
        <v>36</v>
      </c>
      <c r="V739" s="2">
        <v>0.31707317073170732</v>
      </c>
      <c r="W739" s="2">
        <v>0.6</v>
      </c>
      <c r="X739">
        <v>31</v>
      </c>
    </row>
    <row r="740" spans="1:24" x14ac:dyDescent="0.3">
      <c r="A740">
        <v>614</v>
      </c>
      <c r="B740">
        <v>91</v>
      </c>
      <c r="C740">
        <v>-4</v>
      </c>
      <c r="D740" s="1">
        <v>41656</v>
      </c>
      <c r="E740">
        <v>656</v>
      </c>
      <c r="F740">
        <v>127</v>
      </c>
      <c r="G740" t="s">
        <v>22</v>
      </c>
      <c r="H740" t="s">
        <v>23</v>
      </c>
      <c r="I740">
        <v>28</v>
      </c>
      <c r="J740" t="s">
        <v>24</v>
      </c>
      <c r="K740" t="s">
        <v>33</v>
      </c>
      <c r="L740" t="s">
        <v>62</v>
      </c>
      <c r="M740">
        <v>76</v>
      </c>
      <c r="N740">
        <v>218</v>
      </c>
      <c r="O740" t="s">
        <v>66</v>
      </c>
      <c r="P740">
        <v>50</v>
      </c>
      <c r="Q740">
        <v>100</v>
      </c>
      <c r="R740">
        <v>80</v>
      </c>
      <c r="S740">
        <v>150</v>
      </c>
      <c r="T740">
        <v>51</v>
      </c>
      <c r="U740" t="s">
        <v>36</v>
      </c>
      <c r="V740" s="2">
        <v>0.34862385321100919</v>
      </c>
      <c r="W740" s="2">
        <v>0.58256880733944949</v>
      </c>
      <c r="X740">
        <v>23</v>
      </c>
    </row>
    <row r="741" spans="1:24" x14ac:dyDescent="0.3">
      <c r="A741">
        <v>720</v>
      </c>
      <c r="B741">
        <v>90</v>
      </c>
      <c r="C741">
        <v>-6</v>
      </c>
      <c r="D741" s="1">
        <v>41657</v>
      </c>
      <c r="E741">
        <v>572</v>
      </c>
      <c r="F741">
        <v>115</v>
      </c>
      <c r="G741" t="s">
        <v>22</v>
      </c>
      <c r="H741" t="s">
        <v>23</v>
      </c>
      <c r="I741">
        <v>29</v>
      </c>
      <c r="J741" t="s">
        <v>24</v>
      </c>
      <c r="K741" t="s">
        <v>33</v>
      </c>
      <c r="L741" t="s">
        <v>38</v>
      </c>
      <c r="M741">
        <v>74</v>
      </c>
      <c r="N741">
        <v>205</v>
      </c>
      <c r="O741" t="s">
        <v>27</v>
      </c>
      <c r="P741">
        <v>50</v>
      </c>
      <c r="Q741">
        <v>90</v>
      </c>
      <c r="R741">
        <v>80</v>
      </c>
      <c r="S741">
        <v>140</v>
      </c>
      <c r="T741">
        <v>41</v>
      </c>
      <c r="U741" t="s">
        <v>36</v>
      </c>
      <c r="V741" s="2">
        <v>0.36097560975609755</v>
      </c>
      <c r="W741" s="2">
        <v>0.56097560975609762</v>
      </c>
      <c r="X741">
        <v>12</v>
      </c>
    </row>
    <row r="742" spans="1:24" x14ac:dyDescent="0.3">
      <c r="A742">
        <v>641</v>
      </c>
      <c r="B742">
        <v>10</v>
      </c>
      <c r="C742">
        <v>-12</v>
      </c>
      <c r="D742" s="1">
        <v>41658</v>
      </c>
      <c r="E742">
        <v>598</v>
      </c>
      <c r="F742">
        <v>13</v>
      </c>
      <c r="G742" t="s">
        <v>40</v>
      </c>
      <c r="H742" t="s">
        <v>23</v>
      </c>
      <c r="I742">
        <v>3</v>
      </c>
      <c r="J742" t="s">
        <v>41</v>
      </c>
      <c r="K742" t="s">
        <v>46</v>
      </c>
      <c r="L742" t="s">
        <v>47</v>
      </c>
      <c r="M742">
        <v>-2</v>
      </c>
      <c r="N742">
        <v>23</v>
      </c>
      <c r="O742" t="s">
        <v>44</v>
      </c>
      <c r="P742">
        <v>0</v>
      </c>
      <c r="Q742">
        <v>10</v>
      </c>
      <c r="R742">
        <v>10</v>
      </c>
      <c r="S742">
        <v>10</v>
      </c>
      <c r="T742">
        <v>15</v>
      </c>
      <c r="U742" t="s">
        <v>28</v>
      </c>
      <c r="V742" s="2">
        <v>-8.6956521739130432E-2</v>
      </c>
      <c r="W742" s="2">
        <v>0.56521739130434778</v>
      </c>
      <c r="X742">
        <v>12</v>
      </c>
    </row>
    <row r="743" spans="1:24" x14ac:dyDescent="0.3">
      <c r="A743">
        <v>715</v>
      </c>
      <c r="B743">
        <v>86</v>
      </c>
      <c r="C743">
        <v>-39</v>
      </c>
      <c r="D743" s="1">
        <v>41659</v>
      </c>
      <c r="E743">
        <v>547</v>
      </c>
      <c r="F743">
        <v>116</v>
      </c>
      <c r="G743" t="s">
        <v>40</v>
      </c>
      <c r="H743" t="s">
        <v>23</v>
      </c>
      <c r="I743">
        <v>28</v>
      </c>
      <c r="J743" t="s">
        <v>41</v>
      </c>
      <c r="K743" t="s">
        <v>46</v>
      </c>
      <c r="L743" t="s">
        <v>47</v>
      </c>
      <c r="M743">
        <v>61</v>
      </c>
      <c r="N743">
        <v>202</v>
      </c>
      <c r="O743" t="s">
        <v>60</v>
      </c>
      <c r="P743">
        <v>80</v>
      </c>
      <c r="Q743">
        <v>120</v>
      </c>
      <c r="R743">
        <v>100</v>
      </c>
      <c r="S743">
        <v>200</v>
      </c>
      <c r="T743">
        <v>55</v>
      </c>
      <c r="U743" t="s">
        <v>28</v>
      </c>
      <c r="V743" s="2">
        <v>0.30198019801980197</v>
      </c>
      <c r="W743" s="2">
        <v>0.57425742574257421</v>
      </c>
      <c r="X743">
        <v>27</v>
      </c>
    </row>
    <row r="744" spans="1:24" x14ac:dyDescent="0.3">
      <c r="A744">
        <v>816</v>
      </c>
      <c r="B744">
        <v>79</v>
      </c>
      <c r="C744">
        <v>-35</v>
      </c>
      <c r="D744" s="1">
        <v>41660</v>
      </c>
      <c r="E744">
        <v>593</v>
      </c>
      <c r="F744">
        <v>98</v>
      </c>
      <c r="G744" t="s">
        <v>40</v>
      </c>
      <c r="H744" t="s">
        <v>23</v>
      </c>
      <c r="I744">
        <v>30</v>
      </c>
      <c r="J744" t="s">
        <v>41</v>
      </c>
      <c r="K744" t="s">
        <v>46</v>
      </c>
      <c r="L744" t="s">
        <v>53</v>
      </c>
      <c r="M744">
        <v>35</v>
      </c>
      <c r="N744">
        <v>177</v>
      </c>
      <c r="O744" t="s">
        <v>59</v>
      </c>
      <c r="P744">
        <v>70</v>
      </c>
      <c r="Q744">
        <v>100</v>
      </c>
      <c r="R744">
        <v>70</v>
      </c>
      <c r="S744">
        <v>170</v>
      </c>
      <c r="T744">
        <v>63</v>
      </c>
      <c r="U744" t="s">
        <v>36</v>
      </c>
      <c r="V744" s="2">
        <v>0.19774011299435029</v>
      </c>
      <c r="W744" s="2">
        <v>0.5536723163841808</v>
      </c>
      <c r="X744">
        <v>33</v>
      </c>
    </row>
    <row r="745" spans="1:24" x14ac:dyDescent="0.3">
      <c r="A745">
        <v>715</v>
      </c>
      <c r="B745">
        <v>96</v>
      </c>
      <c r="C745">
        <v>-42</v>
      </c>
      <c r="D745" s="1">
        <v>41661</v>
      </c>
      <c r="E745">
        <v>683</v>
      </c>
      <c r="F745">
        <v>134</v>
      </c>
      <c r="G745" t="s">
        <v>40</v>
      </c>
      <c r="H745" t="s">
        <v>23</v>
      </c>
      <c r="I745">
        <v>87</v>
      </c>
      <c r="J745" t="s">
        <v>41</v>
      </c>
      <c r="K745" t="s">
        <v>46</v>
      </c>
      <c r="L745" t="s">
        <v>53</v>
      </c>
      <c r="M745">
        <v>18</v>
      </c>
      <c r="N745">
        <v>230</v>
      </c>
      <c r="O745" t="s">
        <v>60</v>
      </c>
      <c r="P745">
        <v>90</v>
      </c>
      <c r="Q745">
        <v>140</v>
      </c>
      <c r="R745">
        <v>60</v>
      </c>
      <c r="S745">
        <v>230</v>
      </c>
      <c r="T745">
        <v>116</v>
      </c>
      <c r="U745" t="s">
        <v>36</v>
      </c>
      <c r="V745" s="2">
        <v>7.8260869565217397E-2</v>
      </c>
      <c r="W745" s="2">
        <v>0.58260869565217388</v>
      </c>
      <c r="X745">
        <v>29</v>
      </c>
    </row>
    <row r="746" spans="1:24" x14ac:dyDescent="0.3">
      <c r="A746">
        <v>314</v>
      </c>
      <c r="B746">
        <v>40</v>
      </c>
      <c r="C746">
        <v>-54</v>
      </c>
      <c r="D746" s="1">
        <v>41662</v>
      </c>
      <c r="E746">
        <v>881</v>
      </c>
      <c r="F746">
        <v>59</v>
      </c>
      <c r="G746" t="s">
        <v>40</v>
      </c>
      <c r="H746" t="s">
        <v>23</v>
      </c>
      <c r="I746">
        <v>11</v>
      </c>
      <c r="J746" t="s">
        <v>41</v>
      </c>
      <c r="K746" t="s">
        <v>42</v>
      </c>
      <c r="L746" t="s">
        <v>54</v>
      </c>
      <c r="M746">
        <v>36</v>
      </c>
      <c r="N746">
        <v>99</v>
      </c>
      <c r="O746" t="s">
        <v>59</v>
      </c>
      <c r="P746">
        <v>50</v>
      </c>
      <c r="Q746">
        <v>90</v>
      </c>
      <c r="R746">
        <v>90</v>
      </c>
      <c r="S746">
        <v>140</v>
      </c>
      <c r="T746">
        <v>23</v>
      </c>
      <c r="U746" t="s">
        <v>36</v>
      </c>
      <c r="V746" s="2">
        <v>0.36363636363636365</v>
      </c>
      <c r="W746" s="2">
        <v>0.59595959595959591</v>
      </c>
      <c r="X746">
        <v>12</v>
      </c>
    </row>
    <row r="747" spans="1:24" x14ac:dyDescent="0.3">
      <c r="A747">
        <v>608</v>
      </c>
      <c r="B747">
        <v>80</v>
      </c>
      <c r="C747">
        <v>-72</v>
      </c>
      <c r="D747" s="1">
        <v>41663</v>
      </c>
      <c r="E747">
        <v>1055</v>
      </c>
      <c r="F747">
        <v>94</v>
      </c>
      <c r="G747" t="s">
        <v>40</v>
      </c>
      <c r="H747" t="s">
        <v>23</v>
      </c>
      <c r="I747">
        <v>24</v>
      </c>
      <c r="J747" t="s">
        <v>41</v>
      </c>
      <c r="K747" t="s">
        <v>42</v>
      </c>
      <c r="L747" t="s">
        <v>54</v>
      </c>
      <c r="M747">
        <v>48</v>
      </c>
      <c r="N747">
        <v>174</v>
      </c>
      <c r="O747" t="s">
        <v>60</v>
      </c>
      <c r="P747">
        <v>110</v>
      </c>
      <c r="Q747">
        <v>140</v>
      </c>
      <c r="R747">
        <v>120</v>
      </c>
      <c r="S747">
        <v>250</v>
      </c>
      <c r="T747">
        <v>46</v>
      </c>
      <c r="U747" t="s">
        <v>36</v>
      </c>
      <c r="V747" s="2">
        <v>0.27586206896551724</v>
      </c>
      <c r="W747" s="2">
        <v>0.54022988505747127</v>
      </c>
      <c r="X747">
        <v>22</v>
      </c>
    </row>
    <row r="748" spans="1:24" x14ac:dyDescent="0.3">
      <c r="A748">
        <v>712</v>
      </c>
      <c r="B748">
        <v>257</v>
      </c>
      <c r="C748">
        <v>14</v>
      </c>
      <c r="D748" s="1">
        <v>41664</v>
      </c>
      <c r="E748">
        <v>1662</v>
      </c>
      <c r="F748">
        <v>341</v>
      </c>
      <c r="G748" t="s">
        <v>40</v>
      </c>
      <c r="H748" t="s">
        <v>23</v>
      </c>
      <c r="I748">
        <v>84</v>
      </c>
      <c r="J748" t="s">
        <v>24</v>
      </c>
      <c r="K748" t="s">
        <v>25</v>
      </c>
      <c r="L748" t="s">
        <v>58</v>
      </c>
      <c r="M748">
        <v>224</v>
      </c>
      <c r="N748">
        <v>598</v>
      </c>
      <c r="O748" t="s">
        <v>44</v>
      </c>
      <c r="P748">
        <v>200</v>
      </c>
      <c r="Q748">
        <v>280</v>
      </c>
      <c r="R748">
        <v>210</v>
      </c>
      <c r="S748">
        <v>480</v>
      </c>
      <c r="T748">
        <v>117</v>
      </c>
      <c r="U748" t="s">
        <v>28</v>
      </c>
      <c r="V748" s="2">
        <v>0.37458193979933108</v>
      </c>
      <c r="W748" s="2">
        <v>0.57023411371237454</v>
      </c>
      <c r="X748">
        <v>33</v>
      </c>
    </row>
    <row r="749" spans="1:24" x14ac:dyDescent="0.3">
      <c r="A749">
        <v>641</v>
      </c>
      <c r="B749">
        <v>122</v>
      </c>
      <c r="C749">
        <v>-16</v>
      </c>
      <c r="D749" s="1">
        <v>41665</v>
      </c>
      <c r="E749">
        <v>789</v>
      </c>
      <c r="F749">
        <v>176</v>
      </c>
      <c r="G749" t="s">
        <v>40</v>
      </c>
      <c r="H749" t="s">
        <v>23</v>
      </c>
      <c r="I749">
        <v>39</v>
      </c>
      <c r="J749" t="s">
        <v>24</v>
      </c>
      <c r="K749" t="s">
        <v>25</v>
      </c>
      <c r="L749" t="s">
        <v>26</v>
      </c>
      <c r="M749">
        <v>114</v>
      </c>
      <c r="N749">
        <v>298</v>
      </c>
      <c r="O749" t="s">
        <v>44</v>
      </c>
      <c r="P749">
        <v>90</v>
      </c>
      <c r="Q749">
        <v>150</v>
      </c>
      <c r="R749">
        <v>130</v>
      </c>
      <c r="S749">
        <v>240</v>
      </c>
      <c r="T749">
        <v>62</v>
      </c>
      <c r="U749" t="s">
        <v>28</v>
      </c>
      <c r="V749" s="2">
        <v>0.3825503355704698</v>
      </c>
      <c r="W749" s="2">
        <v>0.59060402684563762</v>
      </c>
      <c r="X749">
        <v>23</v>
      </c>
    </row>
    <row r="750" spans="1:24" x14ac:dyDescent="0.3">
      <c r="A750">
        <v>573</v>
      </c>
      <c r="B750">
        <v>86</v>
      </c>
      <c r="C750">
        <v>-36</v>
      </c>
      <c r="D750" s="1">
        <v>41666</v>
      </c>
      <c r="E750">
        <v>1698</v>
      </c>
      <c r="F750">
        <v>23</v>
      </c>
      <c r="G750" t="s">
        <v>40</v>
      </c>
      <c r="H750" t="s">
        <v>23</v>
      </c>
      <c r="I750">
        <v>26</v>
      </c>
      <c r="J750" t="s">
        <v>24</v>
      </c>
      <c r="K750" t="s">
        <v>25</v>
      </c>
      <c r="L750" t="s">
        <v>26</v>
      </c>
      <c r="M750">
        <v>-26</v>
      </c>
      <c r="N750">
        <v>109</v>
      </c>
      <c r="O750" t="s">
        <v>59</v>
      </c>
      <c r="P750">
        <v>60</v>
      </c>
      <c r="Q750">
        <v>20</v>
      </c>
      <c r="R750">
        <v>10</v>
      </c>
      <c r="S750">
        <v>80</v>
      </c>
      <c r="T750">
        <v>49</v>
      </c>
      <c r="U750" t="s">
        <v>28</v>
      </c>
      <c r="V750" s="2">
        <v>-0.23853211009174313</v>
      </c>
      <c r="W750" s="2">
        <v>0.21100917431192662</v>
      </c>
      <c r="X750">
        <v>23</v>
      </c>
    </row>
    <row r="751" spans="1:24" x14ac:dyDescent="0.3">
      <c r="A751">
        <v>563</v>
      </c>
      <c r="B751">
        <v>239</v>
      </c>
      <c r="C751">
        <v>39</v>
      </c>
      <c r="D751" s="1">
        <v>41667</v>
      </c>
      <c r="E751">
        <v>1755</v>
      </c>
      <c r="F751">
        <v>239</v>
      </c>
      <c r="G751" t="s">
        <v>40</v>
      </c>
      <c r="H751" t="s">
        <v>23</v>
      </c>
      <c r="I751">
        <v>66</v>
      </c>
      <c r="J751" t="s">
        <v>24</v>
      </c>
      <c r="K751" t="s">
        <v>33</v>
      </c>
      <c r="L751" t="s">
        <v>34</v>
      </c>
      <c r="M751">
        <v>149</v>
      </c>
      <c r="N751">
        <v>478</v>
      </c>
      <c r="O751" t="s">
        <v>44</v>
      </c>
      <c r="P751">
        <v>170</v>
      </c>
      <c r="Q751">
        <v>170</v>
      </c>
      <c r="R751">
        <v>110</v>
      </c>
      <c r="S751">
        <v>340</v>
      </c>
      <c r="T751">
        <v>90</v>
      </c>
      <c r="U751" t="s">
        <v>36</v>
      </c>
      <c r="V751" s="2">
        <v>0.31171548117154813</v>
      </c>
      <c r="W751" s="2">
        <v>0.5</v>
      </c>
      <c r="X751">
        <v>24</v>
      </c>
    </row>
    <row r="752" spans="1:24" x14ac:dyDescent="0.3">
      <c r="A752">
        <v>563</v>
      </c>
      <c r="B752">
        <v>255</v>
      </c>
      <c r="C752">
        <v>53</v>
      </c>
      <c r="D752" s="1">
        <v>41668</v>
      </c>
      <c r="E752">
        <v>1756</v>
      </c>
      <c r="F752">
        <v>312</v>
      </c>
      <c r="G752" t="s">
        <v>40</v>
      </c>
      <c r="H752" t="s">
        <v>23</v>
      </c>
      <c r="I752">
        <v>96</v>
      </c>
      <c r="J752" t="s">
        <v>24</v>
      </c>
      <c r="K752" t="s">
        <v>33</v>
      </c>
      <c r="L752" t="s">
        <v>62</v>
      </c>
      <c r="M752">
        <v>183</v>
      </c>
      <c r="N752">
        <v>567</v>
      </c>
      <c r="O752" t="s">
        <v>44</v>
      </c>
      <c r="P752">
        <v>170</v>
      </c>
      <c r="Q752">
        <v>230</v>
      </c>
      <c r="R752">
        <v>130</v>
      </c>
      <c r="S752">
        <v>400</v>
      </c>
      <c r="T752">
        <v>129</v>
      </c>
      <c r="U752" t="s">
        <v>36</v>
      </c>
      <c r="V752" s="2">
        <v>0.32275132275132273</v>
      </c>
      <c r="W752" s="2">
        <v>0.55026455026455023</v>
      </c>
      <c r="X752">
        <v>33</v>
      </c>
    </row>
    <row r="753" spans="1:24" x14ac:dyDescent="0.3">
      <c r="A753">
        <v>417</v>
      </c>
      <c r="B753">
        <v>25</v>
      </c>
      <c r="C753">
        <v>-11</v>
      </c>
      <c r="D753" s="1">
        <v>41669</v>
      </c>
      <c r="E753">
        <v>209</v>
      </c>
      <c r="F753">
        <v>31</v>
      </c>
      <c r="G753" t="s">
        <v>40</v>
      </c>
      <c r="H753" t="s">
        <v>23</v>
      </c>
      <c r="I753">
        <v>9</v>
      </c>
      <c r="J753" t="s">
        <v>24</v>
      </c>
      <c r="K753" t="s">
        <v>33</v>
      </c>
      <c r="L753" t="s">
        <v>62</v>
      </c>
      <c r="M753">
        <v>-11</v>
      </c>
      <c r="N753">
        <v>56</v>
      </c>
      <c r="O753" t="s">
        <v>59</v>
      </c>
      <c r="P753">
        <v>10</v>
      </c>
      <c r="Q753">
        <v>20</v>
      </c>
      <c r="R753">
        <v>0</v>
      </c>
      <c r="S753">
        <v>30</v>
      </c>
      <c r="T753">
        <v>42</v>
      </c>
      <c r="U753" t="s">
        <v>36</v>
      </c>
      <c r="V753" s="2">
        <v>-0.19642857142857142</v>
      </c>
      <c r="W753" s="2">
        <v>0.5535714285714286</v>
      </c>
      <c r="X753">
        <v>33</v>
      </c>
    </row>
    <row r="754" spans="1:24" x14ac:dyDescent="0.3">
      <c r="A754">
        <v>970</v>
      </c>
      <c r="B754">
        <v>81</v>
      </c>
      <c r="C754">
        <v>4</v>
      </c>
      <c r="D754" s="1">
        <v>41670</v>
      </c>
      <c r="E754">
        <v>984</v>
      </c>
      <c r="F754">
        <v>117</v>
      </c>
      <c r="G754" t="s">
        <v>22</v>
      </c>
      <c r="H754" t="s">
        <v>23</v>
      </c>
      <c r="I754">
        <v>22</v>
      </c>
      <c r="J754" t="s">
        <v>41</v>
      </c>
      <c r="K754" t="s">
        <v>46</v>
      </c>
      <c r="L754" t="s">
        <v>47</v>
      </c>
      <c r="M754">
        <v>84</v>
      </c>
      <c r="N754">
        <v>198</v>
      </c>
      <c r="O754" t="s">
        <v>27</v>
      </c>
      <c r="P754">
        <v>80</v>
      </c>
      <c r="Q754">
        <v>110</v>
      </c>
      <c r="R754">
        <v>80</v>
      </c>
      <c r="S754">
        <v>190</v>
      </c>
      <c r="T754">
        <v>33</v>
      </c>
      <c r="U754" t="s">
        <v>28</v>
      </c>
      <c r="V754" s="2">
        <v>0.42424242424242425</v>
      </c>
      <c r="W754" s="2">
        <v>0.59090909090909094</v>
      </c>
      <c r="X754">
        <v>11</v>
      </c>
    </row>
    <row r="755" spans="1:24" x14ac:dyDescent="0.3">
      <c r="A755">
        <v>815</v>
      </c>
      <c r="B755">
        <v>113</v>
      </c>
      <c r="C755">
        <v>-4</v>
      </c>
      <c r="D755" s="1">
        <v>41671</v>
      </c>
      <c r="E755">
        <v>803</v>
      </c>
      <c r="F755">
        <v>165</v>
      </c>
      <c r="G755" t="s">
        <v>22</v>
      </c>
      <c r="H755" t="s">
        <v>23</v>
      </c>
      <c r="I755">
        <v>36</v>
      </c>
      <c r="J755" t="s">
        <v>41</v>
      </c>
      <c r="K755" t="s">
        <v>46</v>
      </c>
      <c r="L755" t="s">
        <v>47</v>
      </c>
      <c r="M755">
        <v>106</v>
      </c>
      <c r="N755">
        <v>278</v>
      </c>
      <c r="O755" t="s">
        <v>64</v>
      </c>
      <c r="P755">
        <v>110</v>
      </c>
      <c r="Q755">
        <v>160</v>
      </c>
      <c r="R755">
        <v>110</v>
      </c>
      <c r="S755">
        <v>270</v>
      </c>
      <c r="T755">
        <v>59</v>
      </c>
      <c r="U755" t="s">
        <v>28</v>
      </c>
      <c r="V755" s="2">
        <v>0.38129496402877699</v>
      </c>
      <c r="W755" s="2">
        <v>0.59352517985611508</v>
      </c>
      <c r="X755">
        <v>23</v>
      </c>
    </row>
    <row r="756" spans="1:24" x14ac:dyDescent="0.3">
      <c r="A756">
        <v>303</v>
      </c>
      <c r="B756">
        <v>75</v>
      </c>
      <c r="C756">
        <v>-42</v>
      </c>
      <c r="D756" s="1">
        <v>41672</v>
      </c>
      <c r="E756">
        <v>659</v>
      </c>
      <c r="F756">
        <v>114</v>
      </c>
      <c r="G756" t="s">
        <v>22</v>
      </c>
      <c r="H756" t="s">
        <v>23</v>
      </c>
      <c r="I756">
        <v>24</v>
      </c>
      <c r="J756" t="s">
        <v>41</v>
      </c>
      <c r="K756" t="s">
        <v>42</v>
      </c>
      <c r="L756" t="s">
        <v>43</v>
      </c>
      <c r="M756">
        <v>58</v>
      </c>
      <c r="N756">
        <v>189</v>
      </c>
      <c r="O756" t="s">
        <v>27</v>
      </c>
      <c r="P756">
        <v>90</v>
      </c>
      <c r="Q756">
        <v>150</v>
      </c>
      <c r="R756">
        <v>100</v>
      </c>
      <c r="S756">
        <v>240</v>
      </c>
      <c r="T756">
        <v>56</v>
      </c>
      <c r="U756" t="s">
        <v>28</v>
      </c>
      <c r="V756" s="2">
        <v>0.30687830687830686</v>
      </c>
      <c r="W756" s="2">
        <v>0.60317460317460314</v>
      </c>
      <c r="X756">
        <v>32</v>
      </c>
    </row>
    <row r="757" spans="1:24" x14ac:dyDescent="0.3">
      <c r="A757">
        <v>847</v>
      </c>
      <c r="B757">
        <v>211</v>
      </c>
      <c r="C757">
        <v>-71</v>
      </c>
      <c r="D757" s="1">
        <v>41673</v>
      </c>
      <c r="E757">
        <v>1778</v>
      </c>
      <c r="F757">
        <v>212</v>
      </c>
      <c r="G757" t="s">
        <v>22</v>
      </c>
      <c r="H757" t="s">
        <v>23</v>
      </c>
      <c r="I757">
        <v>59</v>
      </c>
      <c r="J757" t="s">
        <v>41</v>
      </c>
      <c r="K757" t="s">
        <v>42</v>
      </c>
      <c r="L757" t="s">
        <v>43</v>
      </c>
      <c r="M757">
        <v>129</v>
      </c>
      <c r="N757">
        <v>423</v>
      </c>
      <c r="O757" t="s">
        <v>64</v>
      </c>
      <c r="P757">
        <v>270</v>
      </c>
      <c r="Q757">
        <v>270</v>
      </c>
      <c r="R757">
        <v>200</v>
      </c>
      <c r="S757">
        <v>540</v>
      </c>
      <c r="T757">
        <v>83</v>
      </c>
      <c r="U757" t="s">
        <v>28</v>
      </c>
      <c r="V757" s="2">
        <v>0.30496453900709219</v>
      </c>
      <c r="W757" s="2">
        <v>0.50118203309692666</v>
      </c>
      <c r="X757">
        <v>24</v>
      </c>
    </row>
    <row r="758" spans="1:24" x14ac:dyDescent="0.3">
      <c r="A758">
        <v>970</v>
      </c>
      <c r="B758">
        <v>118</v>
      </c>
      <c r="C758">
        <v>-2</v>
      </c>
      <c r="D758" s="1">
        <v>41674</v>
      </c>
      <c r="E758">
        <v>930</v>
      </c>
      <c r="F758">
        <v>172</v>
      </c>
      <c r="G758" t="s">
        <v>22</v>
      </c>
      <c r="H758" t="s">
        <v>23</v>
      </c>
      <c r="I758">
        <v>33</v>
      </c>
      <c r="J758" t="s">
        <v>41</v>
      </c>
      <c r="K758" t="s">
        <v>46</v>
      </c>
      <c r="L758" t="s">
        <v>51</v>
      </c>
      <c r="M758">
        <v>128</v>
      </c>
      <c r="N758">
        <v>290</v>
      </c>
      <c r="O758" t="s">
        <v>27</v>
      </c>
      <c r="P758">
        <v>110</v>
      </c>
      <c r="Q758">
        <v>170</v>
      </c>
      <c r="R758">
        <v>130</v>
      </c>
      <c r="S758">
        <v>280</v>
      </c>
      <c r="T758">
        <v>44</v>
      </c>
      <c r="U758" t="s">
        <v>36</v>
      </c>
      <c r="V758" s="2">
        <v>0.44137931034482758</v>
      </c>
      <c r="W758" s="2">
        <v>0.59310344827586203</v>
      </c>
      <c r="X758">
        <v>11</v>
      </c>
    </row>
    <row r="759" spans="1:24" x14ac:dyDescent="0.3">
      <c r="A759">
        <v>815</v>
      </c>
      <c r="B759">
        <v>173</v>
      </c>
      <c r="C759">
        <v>-1</v>
      </c>
      <c r="D759" s="1">
        <v>41675</v>
      </c>
      <c r="E759">
        <v>1150</v>
      </c>
      <c r="F759">
        <v>239</v>
      </c>
      <c r="G759" t="s">
        <v>22</v>
      </c>
      <c r="H759" t="s">
        <v>23</v>
      </c>
      <c r="I759">
        <v>57</v>
      </c>
      <c r="J759" t="s">
        <v>41</v>
      </c>
      <c r="K759" t="s">
        <v>46</v>
      </c>
      <c r="L759" t="s">
        <v>53</v>
      </c>
      <c r="M759">
        <v>139</v>
      </c>
      <c r="N759">
        <v>412</v>
      </c>
      <c r="O759" t="s">
        <v>64</v>
      </c>
      <c r="P759">
        <v>170</v>
      </c>
      <c r="Q759">
        <v>230</v>
      </c>
      <c r="R759">
        <v>140</v>
      </c>
      <c r="S759">
        <v>400</v>
      </c>
      <c r="T759">
        <v>100</v>
      </c>
      <c r="U759" t="s">
        <v>36</v>
      </c>
      <c r="V759" s="2">
        <v>0.33737864077669905</v>
      </c>
      <c r="W759" s="2">
        <v>0.58009708737864074</v>
      </c>
      <c r="X759">
        <v>43</v>
      </c>
    </row>
    <row r="760" spans="1:24" x14ac:dyDescent="0.3">
      <c r="A760">
        <v>303</v>
      </c>
      <c r="B760">
        <v>50</v>
      </c>
      <c r="C760">
        <v>-22</v>
      </c>
      <c r="D760" s="1">
        <v>41676</v>
      </c>
      <c r="E760">
        <v>589</v>
      </c>
      <c r="F760">
        <v>73</v>
      </c>
      <c r="G760" t="s">
        <v>22</v>
      </c>
      <c r="H760" t="s">
        <v>23</v>
      </c>
      <c r="I760">
        <v>14</v>
      </c>
      <c r="J760" t="s">
        <v>41</v>
      </c>
      <c r="K760" t="s">
        <v>42</v>
      </c>
      <c r="L760" t="s">
        <v>54</v>
      </c>
      <c r="M760">
        <v>48</v>
      </c>
      <c r="N760">
        <v>123</v>
      </c>
      <c r="O760" t="s">
        <v>27</v>
      </c>
      <c r="P760">
        <v>60</v>
      </c>
      <c r="Q760">
        <v>90</v>
      </c>
      <c r="R760">
        <v>70</v>
      </c>
      <c r="S760">
        <v>150</v>
      </c>
      <c r="T760">
        <v>25</v>
      </c>
      <c r="U760" t="s">
        <v>36</v>
      </c>
      <c r="V760" s="2">
        <v>0.3902439024390244</v>
      </c>
      <c r="W760" s="2">
        <v>0.5934959349593496</v>
      </c>
      <c r="X760">
        <v>11</v>
      </c>
    </row>
    <row r="761" spans="1:24" x14ac:dyDescent="0.3">
      <c r="A761">
        <v>224</v>
      </c>
      <c r="B761">
        <v>228</v>
      </c>
      <c r="C761">
        <v>-94</v>
      </c>
      <c r="D761" s="1">
        <v>41677</v>
      </c>
      <c r="E761">
        <v>1691</v>
      </c>
      <c r="F761">
        <v>304</v>
      </c>
      <c r="G761" t="s">
        <v>22</v>
      </c>
      <c r="H761" t="s">
        <v>23</v>
      </c>
      <c r="I761">
        <v>75</v>
      </c>
      <c r="J761" t="s">
        <v>41</v>
      </c>
      <c r="K761" t="s">
        <v>42</v>
      </c>
      <c r="L761" t="s">
        <v>54</v>
      </c>
      <c r="M761">
        <v>196</v>
      </c>
      <c r="N761">
        <v>532</v>
      </c>
      <c r="O761" t="s">
        <v>64</v>
      </c>
      <c r="P761">
        <v>290</v>
      </c>
      <c r="Q761">
        <v>390</v>
      </c>
      <c r="R761">
        <v>290</v>
      </c>
      <c r="S761">
        <v>680</v>
      </c>
      <c r="T761">
        <v>108</v>
      </c>
      <c r="U761" t="s">
        <v>36</v>
      </c>
      <c r="V761" s="2">
        <v>0.36842105263157893</v>
      </c>
      <c r="W761" s="2">
        <v>0.5714285714285714</v>
      </c>
      <c r="X761">
        <v>33</v>
      </c>
    </row>
    <row r="762" spans="1:24" x14ac:dyDescent="0.3">
      <c r="A762">
        <v>440</v>
      </c>
      <c r="B762">
        <v>181</v>
      </c>
      <c r="C762">
        <v>-63</v>
      </c>
      <c r="D762" s="1">
        <v>41678</v>
      </c>
      <c r="E762">
        <v>1283</v>
      </c>
      <c r="F762">
        <v>182</v>
      </c>
      <c r="G762" t="s">
        <v>22</v>
      </c>
      <c r="H762" t="s">
        <v>23</v>
      </c>
      <c r="I762">
        <v>50</v>
      </c>
      <c r="J762" t="s">
        <v>41</v>
      </c>
      <c r="K762" t="s">
        <v>42</v>
      </c>
      <c r="L762" t="s">
        <v>54</v>
      </c>
      <c r="M762">
        <v>107</v>
      </c>
      <c r="N762">
        <v>363</v>
      </c>
      <c r="O762" t="s">
        <v>66</v>
      </c>
      <c r="P762">
        <v>230</v>
      </c>
      <c r="Q762">
        <v>230</v>
      </c>
      <c r="R762">
        <v>170</v>
      </c>
      <c r="S762">
        <v>460</v>
      </c>
      <c r="T762">
        <v>75</v>
      </c>
      <c r="U762" t="s">
        <v>36</v>
      </c>
      <c r="V762" s="2">
        <v>0.29476584022038566</v>
      </c>
      <c r="W762" s="2">
        <v>0.50137741046831952</v>
      </c>
      <c r="X762">
        <v>25</v>
      </c>
    </row>
    <row r="763" spans="1:24" x14ac:dyDescent="0.3">
      <c r="A763">
        <v>970</v>
      </c>
      <c r="B763">
        <v>181</v>
      </c>
      <c r="C763">
        <v>7</v>
      </c>
      <c r="D763" s="1">
        <v>41679</v>
      </c>
      <c r="E763">
        <v>1283</v>
      </c>
      <c r="F763">
        <v>182</v>
      </c>
      <c r="G763" t="s">
        <v>22</v>
      </c>
      <c r="H763" t="s">
        <v>23</v>
      </c>
      <c r="I763">
        <v>50</v>
      </c>
      <c r="J763" t="s">
        <v>24</v>
      </c>
      <c r="K763" t="s">
        <v>25</v>
      </c>
      <c r="L763" t="s">
        <v>58</v>
      </c>
      <c r="M763">
        <v>107</v>
      </c>
      <c r="N763">
        <v>363</v>
      </c>
      <c r="O763" t="s">
        <v>27</v>
      </c>
      <c r="P763">
        <v>170</v>
      </c>
      <c r="Q763">
        <v>160</v>
      </c>
      <c r="R763">
        <v>100</v>
      </c>
      <c r="S763">
        <v>330</v>
      </c>
      <c r="T763">
        <v>75</v>
      </c>
      <c r="U763" t="s">
        <v>28</v>
      </c>
      <c r="V763" s="2">
        <v>0.29476584022038566</v>
      </c>
      <c r="W763" s="2">
        <v>0.50137741046831952</v>
      </c>
      <c r="X763">
        <v>25</v>
      </c>
    </row>
    <row r="764" spans="1:24" x14ac:dyDescent="0.3">
      <c r="A764">
        <v>312</v>
      </c>
      <c r="B764">
        <v>118</v>
      </c>
      <c r="C764">
        <v>17</v>
      </c>
      <c r="D764" s="1">
        <v>41680</v>
      </c>
      <c r="E764">
        <v>930</v>
      </c>
      <c r="F764">
        <v>172</v>
      </c>
      <c r="G764" t="s">
        <v>22</v>
      </c>
      <c r="H764" t="s">
        <v>23</v>
      </c>
      <c r="I764">
        <v>33</v>
      </c>
      <c r="J764" t="s">
        <v>24</v>
      </c>
      <c r="K764" t="s">
        <v>25</v>
      </c>
      <c r="L764" t="s">
        <v>58</v>
      </c>
      <c r="M764">
        <v>127</v>
      </c>
      <c r="N764">
        <v>290</v>
      </c>
      <c r="O764" t="s">
        <v>64</v>
      </c>
      <c r="P764">
        <v>110</v>
      </c>
      <c r="Q764">
        <v>150</v>
      </c>
      <c r="R764">
        <v>110</v>
      </c>
      <c r="S764">
        <v>260</v>
      </c>
      <c r="T764">
        <v>45</v>
      </c>
      <c r="U764" t="s">
        <v>28</v>
      </c>
      <c r="V764" s="2">
        <v>0.43793103448275861</v>
      </c>
      <c r="W764" s="2">
        <v>0.59310344827586203</v>
      </c>
      <c r="X764">
        <v>12</v>
      </c>
    </row>
    <row r="765" spans="1:24" x14ac:dyDescent="0.3">
      <c r="A765">
        <v>630</v>
      </c>
      <c r="B765">
        <v>81</v>
      </c>
      <c r="C765">
        <v>4</v>
      </c>
      <c r="D765" s="1">
        <v>41681</v>
      </c>
      <c r="E765">
        <v>984</v>
      </c>
      <c r="F765">
        <v>117</v>
      </c>
      <c r="G765" t="s">
        <v>22</v>
      </c>
      <c r="H765" t="s">
        <v>23</v>
      </c>
      <c r="I765">
        <v>22</v>
      </c>
      <c r="J765" t="s">
        <v>24</v>
      </c>
      <c r="K765" t="s">
        <v>25</v>
      </c>
      <c r="L765" t="s">
        <v>29</v>
      </c>
      <c r="M765">
        <v>84</v>
      </c>
      <c r="N765">
        <v>198</v>
      </c>
      <c r="O765" t="s">
        <v>64</v>
      </c>
      <c r="P765">
        <v>70</v>
      </c>
      <c r="Q765">
        <v>110</v>
      </c>
      <c r="R765">
        <v>80</v>
      </c>
      <c r="S765">
        <v>180</v>
      </c>
      <c r="T765">
        <v>33</v>
      </c>
      <c r="U765" t="s">
        <v>28</v>
      </c>
      <c r="V765" s="2">
        <v>0.42424242424242425</v>
      </c>
      <c r="W765" s="2">
        <v>0.59090909090909094</v>
      </c>
      <c r="X765">
        <v>11</v>
      </c>
    </row>
    <row r="766" spans="1:24" x14ac:dyDescent="0.3">
      <c r="A766">
        <v>330</v>
      </c>
      <c r="B766">
        <v>78</v>
      </c>
      <c r="C766">
        <v>2</v>
      </c>
      <c r="D766" s="1">
        <v>41682</v>
      </c>
      <c r="E766">
        <v>798</v>
      </c>
      <c r="F766">
        <v>119</v>
      </c>
      <c r="G766" t="s">
        <v>22</v>
      </c>
      <c r="H766" t="s">
        <v>23</v>
      </c>
      <c r="I766">
        <v>25</v>
      </c>
      <c r="J766" t="s">
        <v>24</v>
      </c>
      <c r="K766" t="s">
        <v>33</v>
      </c>
      <c r="L766" t="s">
        <v>34</v>
      </c>
      <c r="M766">
        <v>62</v>
      </c>
      <c r="N766">
        <v>197</v>
      </c>
      <c r="O766" t="s">
        <v>66</v>
      </c>
      <c r="P766">
        <v>60</v>
      </c>
      <c r="Q766">
        <v>100</v>
      </c>
      <c r="R766">
        <v>60</v>
      </c>
      <c r="S766">
        <v>160</v>
      </c>
      <c r="T766">
        <v>57</v>
      </c>
      <c r="U766" t="s">
        <v>36</v>
      </c>
      <c r="V766" s="2">
        <v>0.31472081218274112</v>
      </c>
      <c r="W766" s="2">
        <v>0.60406091370558379</v>
      </c>
      <c r="X766">
        <v>32</v>
      </c>
    </row>
    <row r="767" spans="1:24" x14ac:dyDescent="0.3">
      <c r="A767">
        <v>630</v>
      </c>
      <c r="B767">
        <v>75</v>
      </c>
      <c r="C767">
        <v>9</v>
      </c>
      <c r="D767" s="1">
        <v>41683</v>
      </c>
      <c r="E767">
        <v>659</v>
      </c>
      <c r="F767">
        <v>114</v>
      </c>
      <c r="G767" t="s">
        <v>22</v>
      </c>
      <c r="H767" t="s">
        <v>23</v>
      </c>
      <c r="I767">
        <v>24</v>
      </c>
      <c r="J767" t="s">
        <v>24</v>
      </c>
      <c r="K767" t="s">
        <v>33</v>
      </c>
      <c r="L767" t="s">
        <v>62</v>
      </c>
      <c r="M767">
        <v>59</v>
      </c>
      <c r="N767">
        <v>189</v>
      </c>
      <c r="O767" t="s">
        <v>64</v>
      </c>
      <c r="P767">
        <v>60</v>
      </c>
      <c r="Q767">
        <v>90</v>
      </c>
      <c r="R767">
        <v>50</v>
      </c>
      <c r="S767">
        <v>150</v>
      </c>
      <c r="T767">
        <v>55</v>
      </c>
      <c r="U767" t="s">
        <v>36</v>
      </c>
      <c r="V767" s="2">
        <v>0.31216931216931215</v>
      </c>
      <c r="W767" s="2">
        <v>0.60317460317460314</v>
      </c>
      <c r="X767">
        <v>31</v>
      </c>
    </row>
    <row r="768" spans="1:24" x14ac:dyDescent="0.3">
      <c r="A768">
        <v>419</v>
      </c>
      <c r="B768">
        <v>102</v>
      </c>
      <c r="C768">
        <v>19</v>
      </c>
      <c r="D768" s="1">
        <v>41684</v>
      </c>
      <c r="E768">
        <v>666</v>
      </c>
      <c r="F768">
        <v>143</v>
      </c>
      <c r="G768" t="s">
        <v>22</v>
      </c>
      <c r="H768" t="s">
        <v>23</v>
      </c>
      <c r="I768">
        <v>31</v>
      </c>
      <c r="J768" t="s">
        <v>24</v>
      </c>
      <c r="K768" t="s">
        <v>33</v>
      </c>
      <c r="L768" t="s">
        <v>62</v>
      </c>
      <c r="M768">
        <v>89</v>
      </c>
      <c r="N768">
        <v>245</v>
      </c>
      <c r="O768" t="s">
        <v>66</v>
      </c>
      <c r="P768">
        <v>80</v>
      </c>
      <c r="Q768">
        <v>120</v>
      </c>
      <c r="R768">
        <v>70</v>
      </c>
      <c r="S768">
        <v>200</v>
      </c>
      <c r="T768">
        <v>54</v>
      </c>
      <c r="U768" t="s">
        <v>36</v>
      </c>
      <c r="V768" s="2">
        <v>0.36326530612244901</v>
      </c>
      <c r="W768" s="2">
        <v>0.58367346938775511</v>
      </c>
      <c r="X768">
        <v>23</v>
      </c>
    </row>
    <row r="769" spans="1:24" x14ac:dyDescent="0.3">
      <c r="A769">
        <v>719</v>
      </c>
      <c r="B769">
        <v>88</v>
      </c>
      <c r="C769">
        <v>10</v>
      </c>
      <c r="D769" s="1">
        <v>41685</v>
      </c>
      <c r="E769">
        <v>561</v>
      </c>
      <c r="F769">
        <v>112</v>
      </c>
      <c r="G769" t="s">
        <v>22</v>
      </c>
      <c r="H769" t="s">
        <v>23</v>
      </c>
      <c r="I769">
        <v>29</v>
      </c>
      <c r="J769" t="s">
        <v>24</v>
      </c>
      <c r="K769" t="s">
        <v>33</v>
      </c>
      <c r="L769" t="s">
        <v>38</v>
      </c>
      <c r="M769">
        <v>70</v>
      </c>
      <c r="N769">
        <v>200</v>
      </c>
      <c r="O769" t="s">
        <v>27</v>
      </c>
      <c r="P769">
        <v>70</v>
      </c>
      <c r="Q769">
        <v>90</v>
      </c>
      <c r="R769">
        <v>60</v>
      </c>
      <c r="S769">
        <v>160</v>
      </c>
      <c r="T769">
        <v>42</v>
      </c>
      <c r="U769" t="s">
        <v>36</v>
      </c>
      <c r="V769" s="2">
        <v>0.35</v>
      </c>
      <c r="W769" s="2">
        <v>0.56000000000000005</v>
      </c>
      <c r="X769">
        <v>13</v>
      </c>
    </row>
    <row r="770" spans="1:24" x14ac:dyDescent="0.3">
      <c r="A770">
        <v>641</v>
      </c>
      <c r="B770">
        <v>10</v>
      </c>
      <c r="C770">
        <v>-13</v>
      </c>
      <c r="D770" s="1">
        <v>41686</v>
      </c>
      <c r="E770">
        <v>596</v>
      </c>
      <c r="F770">
        <v>13</v>
      </c>
      <c r="G770" t="s">
        <v>40</v>
      </c>
      <c r="H770" t="s">
        <v>23</v>
      </c>
      <c r="I770">
        <v>3</v>
      </c>
      <c r="J770" t="s">
        <v>41</v>
      </c>
      <c r="K770" t="s">
        <v>46</v>
      </c>
      <c r="L770" t="s">
        <v>47</v>
      </c>
      <c r="M770">
        <v>-3</v>
      </c>
      <c r="N770">
        <v>23</v>
      </c>
      <c r="O770" t="s">
        <v>44</v>
      </c>
      <c r="P770">
        <v>0</v>
      </c>
      <c r="Q770">
        <v>20</v>
      </c>
      <c r="R770">
        <v>10</v>
      </c>
      <c r="S770">
        <v>20</v>
      </c>
      <c r="T770">
        <v>16</v>
      </c>
      <c r="U770" t="s">
        <v>28</v>
      </c>
      <c r="V770" s="2">
        <v>-0.13043478260869565</v>
      </c>
      <c r="W770" s="2">
        <v>0.56521739130434778</v>
      </c>
      <c r="X770">
        <v>13</v>
      </c>
    </row>
    <row r="771" spans="1:24" x14ac:dyDescent="0.3">
      <c r="A771">
        <v>262</v>
      </c>
      <c r="B771">
        <v>77</v>
      </c>
      <c r="C771">
        <v>-9</v>
      </c>
      <c r="D771" s="1">
        <v>41687</v>
      </c>
      <c r="E771">
        <v>557</v>
      </c>
      <c r="F771">
        <v>103</v>
      </c>
      <c r="G771" t="s">
        <v>40</v>
      </c>
      <c r="H771" t="s">
        <v>23</v>
      </c>
      <c r="I771">
        <v>25</v>
      </c>
      <c r="J771" t="s">
        <v>41</v>
      </c>
      <c r="K771" t="s">
        <v>46</v>
      </c>
      <c r="L771" t="s">
        <v>47</v>
      </c>
      <c r="M771">
        <v>51</v>
      </c>
      <c r="N771">
        <v>180</v>
      </c>
      <c r="O771" t="s">
        <v>60</v>
      </c>
      <c r="P771">
        <v>70</v>
      </c>
      <c r="Q771">
        <v>100</v>
      </c>
      <c r="R771">
        <v>60</v>
      </c>
      <c r="S771">
        <v>170</v>
      </c>
      <c r="T771">
        <v>52</v>
      </c>
      <c r="U771" t="s">
        <v>28</v>
      </c>
      <c r="V771" s="2">
        <v>0.28333333333333333</v>
      </c>
      <c r="W771" s="2">
        <v>0.57222222222222219</v>
      </c>
      <c r="X771">
        <v>27</v>
      </c>
    </row>
    <row r="772" spans="1:24" x14ac:dyDescent="0.3">
      <c r="A772">
        <v>563</v>
      </c>
      <c r="B772">
        <v>15</v>
      </c>
      <c r="C772">
        <v>-2</v>
      </c>
      <c r="D772" s="1">
        <v>41688</v>
      </c>
      <c r="E772">
        <v>848</v>
      </c>
      <c r="F772">
        <v>24</v>
      </c>
      <c r="G772" t="s">
        <v>40</v>
      </c>
      <c r="H772" t="s">
        <v>23</v>
      </c>
      <c r="I772">
        <v>4</v>
      </c>
      <c r="J772" t="s">
        <v>41</v>
      </c>
      <c r="K772" t="s">
        <v>46</v>
      </c>
      <c r="L772" t="s">
        <v>51</v>
      </c>
      <c r="M772">
        <v>8</v>
      </c>
      <c r="N772">
        <v>39</v>
      </c>
      <c r="O772" t="s">
        <v>44</v>
      </c>
      <c r="P772">
        <v>10</v>
      </c>
      <c r="Q772">
        <v>20</v>
      </c>
      <c r="R772">
        <v>10</v>
      </c>
      <c r="S772">
        <v>30</v>
      </c>
      <c r="T772">
        <v>16</v>
      </c>
      <c r="U772" t="s">
        <v>36</v>
      </c>
      <c r="V772" s="2">
        <v>0.20512820512820512</v>
      </c>
      <c r="W772" s="2">
        <v>0.61538461538461542</v>
      </c>
      <c r="X772">
        <v>12</v>
      </c>
    </row>
    <row r="773" spans="1:24" x14ac:dyDescent="0.3">
      <c r="A773">
        <v>573</v>
      </c>
      <c r="B773">
        <v>82</v>
      </c>
      <c r="C773">
        <v>-2</v>
      </c>
      <c r="D773" s="1">
        <v>41689</v>
      </c>
      <c r="E773">
        <v>601</v>
      </c>
      <c r="F773">
        <v>102</v>
      </c>
      <c r="G773" t="s">
        <v>40</v>
      </c>
      <c r="H773" t="s">
        <v>23</v>
      </c>
      <c r="I773">
        <v>31</v>
      </c>
      <c r="J773" t="s">
        <v>41</v>
      </c>
      <c r="K773" t="s">
        <v>46</v>
      </c>
      <c r="L773" t="s">
        <v>53</v>
      </c>
      <c r="M773">
        <v>38</v>
      </c>
      <c r="N773">
        <v>184</v>
      </c>
      <c r="O773" t="s">
        <v>59</v>
      </c>
      <c r="P773">
        <v>80</v>
      </c>
      <c r="Q773">
        <v>100</v>
      </c>
      <c r="R773">
        <v>40</v>
      </c>
      <c r="S773">
        <v>180</v>
      </c>
      <c r="T773">
        <v>64</v>
      </c>
      <c r="U773" t="s">
        <v>36</v>
      </c>
      <c r="V773" s="2">
        <v>0.20652173913043478</v>
      </c>
      <c r="W773" s="2">
        <v>0.55434782608695654</v>
      </c>
      <c r="X773">
        <v>33</v>
      </c>
    </row>
    <row r="774" spans="1:24" x14ac:dyDescent="0.3">
      <c r="A774">
        <v>262</v>
      </c>
      <c r="B774">
        <v>94</v>
      </c>
      <c r="C774">
        <v>-14</v>
      </c>
      <c r="D774" s="1">
        <v>41690</v>
      </c>
      <c r="E774">
        <v>694</v>
      </c>
      <c r="F774">
        <v>130</v>
      </c>
      <c r="G774" t="s">
        <v>40</v>
      </c>
      <c r="H774" t="s">
        <v>23</v>
      </c>
      <c r="I774">
        <v>85</v>
      </c>
      <c r="J774" t="s">
        <v>41</v>
      </c>
      <c r="K774" t="s">
        <v>46</v>
      </c>
      <c r="L774" t="s">
        <v>53</v>
      </c>
      <c r="M774">
        <v>16</v>
      </c>
      <c r="N774">
        <v>224</v>
      </c>
      <c r="O774" t="s">
        <v>60</v>
      </c>
      <c r="P774">
        <v>90</v>
      </c>
      <c r="Q774">
        <v>130</v>
      </c>
      <c r="R774">
        <v>30</v>
      </c>
      <c r="S774">
        <v>220</v>
      </c>
      <c r="T774">
        <v>114</v>
      </c>
      <c r="U774" t="s">
        <v>36</v>
      </c>
      <c r="V774" s="2">
        <v>7.1428571428571425E-2</v>
      </c>
      <c r="W774" s="2">
        <v>0.5803571428571429</v>
      </c>
      <c r="X774">
        <v>29</v>
      </c>
    </row>
    <row r="775" spans="1:24" x14ac:dyDescent="0.3">
      <c r="A775">
        <v>314</v>
      </c>
      <c r="B775">
        <v>54</v>
      </c>
      <c r="C775">
        <v>-29</v>
      </c>
      <c r="D775" s="1">
        <v>41691</v>
      </c>
      <c r="E775">
        <v>885</v>
      </c>
      <c r="F775">
        <v>78</v>
      </c>
      <c r="G775" t="s">
        <v>40</v>
      </c>
      <c r="H775" t="s">
        <v>23</v>
      </c>
      <c r="I775">
        <v>15</v>
      </c>
      <c r="J775" t="s">
        <v>41</v>
      </c>
      <c r="K775" t="s">
        <v>42</v>
      </c>
      <c r="L775" t="s">
        <v>54</v>
      </c>
      <c r="M775">
        <v>51</v>
      </c>
      <c r="N775">
        <v>132</v>
      </c>
      <c r="O775" t="s">
        <v>59</v>
      </c>
      <c r="P775">
        <v>60</v>
      </c>
      <c r="Q775">
        <v>100</v>
      </c>
      <c r="R775">
        <v>80</v>
      </c>
      <c r="S775">
        <v>160</v>
      </c>
      <c r="T775">
        <v>27</v>
      </c>
      <c r="U775" t="s">
        <v>36</v>
      </c>
      <c r="V775" s="2">
        <v>0.38636363636363635</v>
      </c>
      <c r="W775" s="2">
        <v>0.59090909090909094</v>
      </c>
      <c r="X775">
        <v>12</v>
      </c>
    </row>
    <row r="776" spans="1:24" x14ac:dyDescent="0.3">
      <c r="A776">
        <v>920</v>
      </c>
      <c r="B776">
        <v>75</v>
      </c>
      <c r="C776">
        <v>-25</v>
      </c>
      <c r="D776" s="1">
        <v>41692</v>
      </c>
      <c r="E776">
        <v>1063</v>
      </c>
      <c r="F776">
        <v>89</v>
      </c>
      <c r="G776" t="s">
        <v>40</v>
      </c>
      <c r="H776" t="s">
        <v>23</v>
      </c>
      <c r="I776">
        <v>23</v>
      </c>
      <c r="J776" t="s">
        <v>41</v>
      </c>
      <c r="K776" t="s">
        <v>42</v>
      </c>
      <c r="L776" t="s">
        <v>54</v>
      </c>
      <c r="M776">
        <v>45</v>
      </c>
      <c r="N776">
        <v>164</v>
      </c>
      <c r="O776" t="s">
        <v>60</v>
      </c>
      <c r="P776">
        <v>90</v>
      </c>
      <c r="Q776">
        <v>110</v>
      </c>
      <c r="R776">
        <v>70</v>
      </c>
      <c r="S776">
        <v>200</v>
      </c>
      <c r="T776">
        <v>44</v>
      </c>
      <c r="U776" t="s">
        <v>36</v>
      </c>
      <c r="V776" s="2">
        <v>0.27439024390243905</v>
      </c>
      <c r="W776" s="2">
        <v>0.54268292682926833</v>
      </c>
      <c r="X776">
        <v>21</v>
      </c>
    </row>
    <row r="777" spans="1:24" x14ac:dyDescent="0.3">
      <c r="A777">
        <v>712</v>
      </c>
      <c r="B777">
        <v>228</v>
      </c>
      <c r="C777">
        <v>16</v>
      </c>
      <c r="D777" s="1">
        <v>41693</v>
      </c>
      <c r="E777">
        <v>1691</v>
      </c>
      <c r="F777">
        <v>304</v>
      </c>
      <c r="G777" t="s">
        <v>40</v>
      </c>
      <c r="H777" t="s">
        <v>23</v>
      </c>
      <c r="I777">
        <v>75</v>
      </c>
      <c r="J777" t="s">
        <v>24</v>
      </c>
      <c r="K777" t="s">
        <v>25</v>
      </c>
      <c r="L777" t="s">
        <v>58</v>
      </c>
      <c r="M777">
        <v>196</v>
      </c>
      <c r="N777">
        <v>532</v>
      </c>
      <c r="O777" t="s">
        <v>44</v>
      </c>
      <c r="P777">
        <v>210</v>
      </c>
      <c r="Q777">
        <v>280</v>
      </c>
      <c r="R777">
        <v>180</v>
      </c>
      <c r="S777">
        <v>490</v>
      </c>
      <c r="T777">
        <v>108</v>
      </c>
      <c r="U777" t="s">
        <v>28</v>
      </c>
      <c r="V777" s="2">
        <v>0.36842105263157893</v>
      </c>
      <c r="W777" s="2">
        <v>0.5714285714285714</v>
      </c>
      <c r="X777">
        <v>33</v>
      </c>
    </row>
    <row r="778" spans="1:24" x14ac:dyDescent="0.3">
      <c r="A778">
        <v>712</v>
      </c>
      <c r="B778">
        <v>113</v>
      </c>
      <c r="C778">
        <v>7</v>
      </c>
      <c r="D778" s="1">
        <v>41694</v>
      </c>
      <c r="E778">
        <v>803</v>
      </c>
      <c r="F778">
        <v>165</v>
      </c>
      <c r="G778" t="s">
        <v>40</v>
      </c>
      <c r="H778" t="s">
        <v>23</v>
      </c>
      <c r="I778">
        <v>36</v>
      </c>
      <c r="J778" t="s">
        <v>24</v>
      </c>
      <c r="K778" t="s">
        <v>25</v>
      </c>
      <c r="L778" t="s">
        <v>26</v>
      </c>
      <c r="M778">
        <v>107</v>
      </c>
      <c r="N778">
        <v>278</v>
      </c>
      <c r="O778" t="s">
        <v>44</v>
      </c>
      <c r="P778">
        <v>100</v>
      </c>
      <c r="Q778">
        <v>150</v>
      </c>
      <c r="R778">
        <v>100</v>
      </c>
      <c r="S778">
        <v>250</v>
      </c>
      <c r="T778">
        <v>58</v>
      </c>
      <c r="U778" t="s">
        <v>28</v>
      </c>
      <c r="V778" s="2">
        <v>0.38489208633093525</v>
      </c>
      <c r="W778" s="2">
        <v>0.59352517985611508</v>
      </c>
      <c r="X778">
        <v>22</v>
      </c>
    </row>
    <row r="779" spans="1:24" x14ac:dyDescent="0.3">
      <c r="A779">
        <v>712</v>
      </c>
      <c r="B779">
        <v>211</v>
      </c>
      <c r="C779">
        <v>19</v>
      </c>
      <c r="D779" s="1">
        <v>41695</v>
      </c>
      <c r="E779">
        <v>1778</v>
      </c>
      <c r="F779">
        <v>212</v>
      </c>
      <c r="G779" t="s">
        <v>40</v>
      </c>
      <c r="H779" t="s">
        <v>23</v>
      </c>
      <c r="I779">
        <v>59</v>
      </c>
      <c r="J779" t="s">
        <v>24</v>
      </c>
      <c r="K779" t="s">
        <v>33</v>
      </c>
      <c r="L779" t="s">
        <v>34</v>
      </c>
      <c r="M779">
        <v>129</v>
      </c>
      <c r="N779">
        <v>423</v>
      </c>
      <c r="O779" t="s">
        <v>44</v>
      </c>
      <c r="P779">
        <v>170</v>
      </c>
      <c r="Q779">
        <v>180</v>
      </c>
      <c r="R779">
        <v>110</v>
      </c>
      <c r="S779">
        <v>350</v>
      </c>
      <c r="T779">
        <v>83</v>
      </c>
      <c r="U779" t="s">
        <v>36</v>
      </c>
      <c r="V779" s="2">
        <v>0.30496453900709219</v>
      </c>
      <c r="W779" s="2">
        <v>0.50118203309692666</v>
      </c>
      <c r="X779">
        <v>24</v>
      </c>
    </row>
    <row r="780" spans="1:24" x14ac:dyDescent="0.3">
      <c r="A780">
        <v>319</v>
      </c>
      <c r="B780">
        <v>245</v>
      </c>
      <c r="C780">
        <v>43</v>
      </c>
      <c r="D780" s="1">
        <v>41696</v>
      </c>
      <c r="E780">
        <v>1784</v>
      </c>
      <c r="F780">
        <v>300</v>
      </c>
      <c r="G780" t="s">
        <v>40</v>
      </c>
      <c r="H780" t="s">
        <v>23</v>
      </c>
      <c r="I780">
        <v>93</v>
      </c>
      <c r="J780" t="s">
        <v>24</v>
      </c>
      <c r="K780" t="s">
        <v>33</v>
      </c>
      <c r="L780" t="s">
        <v>62</v>
      </c>
      <c r="M780">
        <v>173</v>
      </c>
      <c r="N780">
        <v>545</v>
      </c>
      <c r="O780" t="s">
        <v>44</v>
      </c>
      <c r="P780">
        <v>200</v>
      </c>
      <c r="Q780">
        <v>250</v>
      </c>
      <c r="R780">
        <v>130</v>
      </c>
      <c r="S780">
        <v>450</v>
      </c>
      <c r="T780">
        <v>127</v>
      </c>
      <c r="U780" t="s">
        <v>36</v>
      </c>
      <c r="V780" s="2">
        <v>0.31743119266055048</v>
      </c>
      <c r="W780" s="2">
        <v>0.55045871559633031</v>
      </c>
      <c r="X780">
        <v>34</v>
      </c>
    </row>
    <row r="781" spans="1:24" x14ac:dyDescent="0.3">
      <c r="A781">
        <v>720</v>
      </c>
      <c r="B781">
        <v>86</v>
      </c>
      <c r="C781">
        <v>-2</v>
      </c>
      <c r="D781" s="1">
        <v>41697</v>
      </c>
      <c r="E781">
        <v>1003</v>
      </c>
      <c r="F781">
        <v>124</v>
      </c>
      <c r="G781" t="s">
        <v>22</v>
      </c>
      <c r="H781" t="s">
        <v>23</v>
      </c>
      <c r="I781">
        <v>24</v>
      </c>
      <c r="J781" t="s">
        <v>41</v>
      </c>
      <c r="K781" t="s">
        <v>46</v>
      </c>
      <c r="L781" t="s">
        <v>47</v>
      </c>
      <c r="M781">
        <v>88</v>
      </c>
      <c r="N781">
        <v>210</v>
      </c>
      <c r="O781" t="s">
        <v>27</v>
      </c>
      <c r="P781">
        <v>80</v>
      </c>
      <c r="Q781">
        <v>120</v>
      </c>
      <c r="R781">
        <v>90</v>
      </c>
      <c r="S781">
        <v>200</v>
      </c>
      <c r="T781">
        <v>36</v>
      </c>
      <c r="U781" t="s">
        <v>28</v>
      </c>
      <c r="V781" s="2">
        <v>0.41904761904761906</v>
      </c>
      <c r="W781" s="2">
        <v>0.59047619047619049</v>
      </c>
      <c r="X781">
        <v>12</v>
      </c>
    </row>
    <row r="782" spans="1:24" x14ac:dyDescent="0.3">
      <c r="A782">
        <v>630</v>
      </c>
      <c r="B782">
        <v>127</v>
      </c>
      <c r="C782">
        <v>-8</v>
      </c>
      <c r="D782" s="1">
        <v>41698</v>
      </c>
      <c r="E782">
        <v>830</v>
      </c>
      <c r="F782">
        <v>185</v>
      </c>
      <c r="G782" t="s">
        <v>22</v>
      </c>
      <c r="H782" t="s">
        <v>23</v>
      </c>
      <c r="I782">
        <v>40</v>
      </c>
      <c r="J782" t="s">
        <v>41</v>
      </c>
      <c r="K782" t="s">
        <v>46</v>
      </c>
      <c r="L782" t="s">
        <v>47</v>
      </c>
      <c r="M782">
        <v>122</v>
      </c>
      <c r="N782">
        <v>312</v>
      </c>
      <c r="O782" t="s">
        <v>64</v>
      </c>
      <c r="P782">
        <v>120</v>
      </c>
      <c r="Q782">
        <v>180</v>
      </c>
      <c r="R782">
        <v>130</v>
      </c>
      <c r="S782">
        <v>300</v>
      </c>
      <c r="T782">
        <v>63</v>
      </c>
      <c r="U782" t="s">
        <v>28</v>
      </c>
      <c r="V782" s="2">
        <v>0.39102564102564102</v>
      </c>
      <c r="W782" s="2">
        <v>0.59294871794871795</v>
      </c>
      <c r="X782">
        <v>23</v>
      </c>
    </row>
    <row r="783" spans="1:24" x14ac:dyDescent="0.3">
      <c r="A783">
        <v>970</v>
      </c>
      <c r="B783">
        <v>67</v>
      </c>
      <c r="C783">
        <v>-33</v>
      </c>
      <c r="D783" s="1">
        <v>41699</v>
      </c>
      <c r="E783">
        <v>677</v>
      </c>
      <c r="F783">
        <v>101</v>
      </c>
      <c r="G783" t="s">
        <v>22</v>
      </c>
      <c r="H783" t="s">
        <v>23</v>
      </c>
      <c r="I783">
        <v>22</v>
      </c>
      <c r="J783" t="s">
        <v>41</v>
      </c>
      <c r="K783" t="s">
        <v>42</v>
      </c>
      <c r="L783" t="s">
        <v>43</v>
      </c>
      <c r="M783">
        <v>47</v>
      </c>
      <c r="N783">
        <v>168</v>
      </c>
      <c r="O783" t="s">
        <v>27</v>
      </c>
      <c r="P783">
        <v>80</v>
      </c>
      <c r="Q783">
        <v>130</v>
      </c>
      <c r="R783">
        <v>80</v>
      </c>
      <c r="S783">
        <v>210</v>
      </c>
      <c r="T783">
        <v>54</v>
      </c>
      <c r="U783" t="s">
        <v>28</v>
      </c>
      <c r="V783" s="2">
        <v>0.27976190476190477</v>
      </c>
      <c r="W783" s="2">
        <v>0.60119047619047616</v>
      </c>
      <c r="X783">
        <v>32</v>
      </c>
    </row>
    <row r="784" spans="1:24" x14ac:dyDescent="0.3">
      <c r="A784">
        <v>630</v>
      </c>
      <c r="B784">
        <v>250</v>
      </c>
      <c r="C784">
        <v>-83</v>
      </c>
      <c r="D784" s="1">
        <v>41700</v>
      </c>
      <c r="E784">
        <v>1820</v>
      </c>
      <c r="F784">
        <v>251</v>
      </c>
      <c r="G784" t="s">
        <v>22</v>
      </c>
      <c r="H784" t="s">
        <v>23</v>
      </c>
      <c r="I784">
        <v>70</v>
      </c>
      <c r="J784" t="s">
        <v>41</v>
      </c>
      <c r="K784" t="s">
        <v>42</v>
      </c>
      <c r="L784" t="s">
        <v>43</v>
      </c>
      <c r="M784">
        <v>157</v>
      </c>
      <c r="N784">
        <v>501</v>
      </c>
      <c r="O784" t="s">
        <v>64</v>
      </c>
      <c r="P784">
        <v>320</v>
      </c>
      <c r="Q784">
        <v>320</v>
      </c>
      <c r="R784">
        <v>240</v>
      </c>
      <c r="S784">
        <v>640</v>
      </c>
      <c r="T784">
        <v>94</v>
      </c>
      <c r="U784" t="s">
        <v>28</v>
      </c>
      <c r="V784" s="2">
        <v>0.31337325349301398</v>
      </c>
      <c r="W784" s="2">
        <v>0.50099800399201599</v>
      </c>
      <c r="X784">
        <v>24</v>
      </c>
    </row>
    <row r="785" spans="1:24" x14ac:dyDescent="0.3">
      <c r="A785">
        <v>719</v>
      </c>
      <c r="B785">
        <v>123</v>
      </c>
      <c r="C785">
        <v>4</v>
      </c>
      <c r="D785" s="1">
        <v>41701</v>
      </c>
      <c r="E785">
        <v>959</v>
      </c>
      <c r="F785">
        <v>179</v>
      </c>
      <c r="G785" t="s">
        <v>22</v>
      </c>
      <c r="H785" t="s">
        <v>23</v>
      </c>
      <c r="I785">
        <v>34</v>
      </c>
      <c r="J785" t="s">
        <v>41</v>
      </c>
      <c r="K785" t="s">
        <v>46</v>
      </c>
      <c r="L785" t="s">
        <v>51</v>
      </c>
      <c r="M785">
        <v>134</v>
      </c>
      <c r="N785">
        <v>302</v>
      </c>
      <c r="O785" t="s">
        <v>27</v>
      </c>
      <c r="P785">
        <v>120</v>
      </c>
      <c r="Q785">
        <v>170</v>
      </c>
      <c r="R785">
        <v>130</v>
      </c>
      <c r="S785">
        <v>290</v>
      </c>
      <c r="T785">
        <v>45</v>
      </c>
      <c r="U785" t="s">
        <v>36</v>
      </c>
      <c r="V785" s="2">
        <v>0.44370860927152317</v>
      </c>
      <c r="W785" s="2">
        <v>0.5927152317880795</v>
      </c>
      <c r="X785">
        <v>11</v>
      </c>
    </row>
    <row r="786" spans="1:24" x14ac:dyDescent="0.3">
      <c r="A786">
        <v>847</v>
      </c>
      <c r="B786">
        <v>224</v>
      </c>
      <c r="C786">
        <v>4</v>
      </c>
      <c r="D786" s="1">
        <v>41702</v>
      </c>
      <c r="E786">
        <v>1191</v>
      </c>
      <c r="F786">
        <v>310</v>
      </c>
      <c r="G786" t="s">
        <v>22</v>
      </c>
      <c r="H786" t="s">
        <v>23</v>
      </c>
      <c r="I786">
        <v>73</v>
      </c>
      <c r="J786" t="s">
        <v>41</v>
      </c>
      <c r="K786" t="s">
        <v>46</v>
      </c>
      <c r="L786" t="s">
        <v>53</v>
      </c>
      <c r="M786">
        <v>194</v>
      </c>
      <c r="N786">
        <v>534</v>
      </c>
      <c r="O786" t="s">
        <v>64</v>
      </c>
      <c r="P786">
        <v>220</v>
      </c>
      <c r="Q786">
        <v>300</v>
      </c>
      <c r="R786">
        <v>190</v>
      </c>
      <c r="S786">
        <v>520</v>
      </c>
      <c r="T786">
        <v>116</v>
      </c>
      <c r="U786" t="s">
        <v>36</v>
      </c>
      <c r="V786" s="2">
        <v>0.36329588014981273</v>
      </c>
      <c r="W786" s="2">
        <v>0.58052434456928836</v>
      </c>
      <c r="X786">
        <v>43</v>
      </c>
    </row>
    <row r="787" spans="1:24" x14ac:dyDescent="0.3">
      <c r="A787">
        <v>970</v>
      </c>
      <c r="B787">
        <v>54</v>
      </c>
      <c r="C787">
        <v>-37</v>
      </c>
      <c r="D787" s="1">
        <v>41703</v>
      </c>
      <c r="E787">
        <v>601</v>
      </c>
      <c r="F787">
        <v>79</v>
      </c>
      <c r="G787" t="s">
        <v>22</v>
      </c>
      <c r="H787" t="s">
        <v>23</v>
      </c>
      <c r="I787">
        <v>15</v>
      </c>
      <c r="J787" t="s">
        <v>41</v>
      </c>
      <c r="K787" t="s">
        <v>42</v>
      </c>
      <c r="L787" t="s">
        <v>54</v>
      </c>
      <c r="M787">
        <v>53</v>
      </c>
      <c r="N787">
        <v>133</v>
      </c>
      <c r="O787" t="s">
        <v>27</v>
      </c>
      <c r="P787">
        <v>60</v>
      </c>
      <c r="Q787">
        <v>110</v>
      </c>
      <c r="R787">
        <v>90</v>
      </c>
      <c r="S787">
        <v>170</v>
      </c>
      <c r="T787">
        <v>26</v>
      </c>
      <c r="U787" t="s">
        <v>36</v>
      </c>
      <c r="V787" s="2">
        <v>0.39849624060150374</v>
      </c>
      <c r="W787" s="2">
        <v>0.59398496240601506</v>
      </c>
      <c r="X787">
        <v>11</v>
      </c>
    </row>
    <row r="788" spans="1:24" x14ac:dyDescent="0.3">
      <c r="A788">
        <v>815</v>
      </c>
      <c r="B788">
        <v>247</v>
      </c>
      <c r="C788">
        <v>-104</v>
      </c>
      <c r="D788" s="1">
        <v>41704</v>
      </c>
      <c r="E788">
        <v>1744</v>
      </c>
      <c r="F788">
        <v>329</v>
      </c>
      <c r="G788" t="s">
        <v>22</v>
      </c>
      <c r="H788" t="s">
        <v>23</v>
      </c>
      <c r="I788">
        <v>81</v>
      </c>
      <c r="J788" t="s">
        <v>41</v>
      </c>
      <c r="K788" t="s">
        <v>42</v>
      </c>
      <c r="L788" t="s">
        <v>54</v>
      </c>
      <c r="M788">
        <v>216</v>
      </c>
      <c r="N788">
        <v>576</v>
      </c>
      <c r="O788" t="s">
        <v>64</v>
      </c>
      <c r="P788">
        <v>310</v>
      </c>
      <c r="Q788">
        <v>420</v>
      </c>
      <c r="R788">
        <v>320</v>
      </c>
      <c r="S788">
        <v>730</v>
      </c>
      <c r="T788">
        <v>113</v>
      </c>
      <c r="U788" t="s">
        <v>36</v>
      </c>
      <c r="V788" s="2">
        <v>0.375</v>
      </c>
      <c r="W788" s="2">
        <v>0.57118055555555558</v>
      </c>
      <c r="X788">
        <v>32</v>
      </c>
    </row>
    <row r="789" spans="1:24" x14ac:dyDescent="0.3">
      <c r="A789">
        <v>740</v>
      </c>
      <c r="B789">
        <v>153</v>
      </c>
      <c r="C789">
        <v>-53</v>
      </c>
      <c r="D789" s="1">
        <v>41705</v>
      </c>
      <c r="E789">
        <v>1319</v>
      </c>
      <c r="F789">
        <v>153</v>
      </c>
      <c r="G789" t="s">
        <v>22</v>
      </c>
      <c r="H789" t="s">
        <v>23</v>
      </c>
      <c r="I789">
        <v>42</v>
      </c>
      <c r="J789" t="s">
        <v>41</v>
      </c>
      <c r="K789" t="s">
        <v>42</v>
      </c>
      <c r="L789" t="s">
        <v>54</v>
      </c>
      <c r="M789">
        <v>87</v>
      </c>
      <c r="N789">
        <v>306</v>
      </c>
      <c r="O789" t="s">
        <v>66</v>
      </c>
      <c r="P789">
        <v>190</v>
      </c>
      <c r="Q789">
        <v>200</v>
      </c>
      <c r="R789">
        <v>140</v>
      </c>
      <c r="S789">
        <v>390</v>
      </c>
      <c r="T789">
        <v>66</v>
      </c>
      <c r="U789" t="s">
        <v>36</v>
      </c>
      <c r="V789" s="2">
        <v>0.28431372549019607</v>
      </c>
      <c r="W789" s="2">
        <v>0.5</v>
      </c>
      <c r="X789">
        <v>24</v>
      </c>
    </row>
    <row r="790" spans="1:24" x14ac:dyDescent="0.3">
      <c r="A790">
        <v>303</v>
      </c>
      <c r="B790">
        <v>153</v>
      </c>
      <c r="C790">
        <v>7</v>
      </c>
      <c r="D790" s="1">
        <v>41706</v>
      </c>
      <c r="E790">
        <v>1319</v>
      </c>
      <c r="F790">
        <v>153</v>
      </c>
      <c r="G790" t="s">
        <v>22</v>
      </c>
      <c r="H790" t="s">
        <v>23</v>
      </c>
      <c r="I790">
        <v>42</v>
      </c>
      <c r="J790" t="s">
        <v>24</v>
      </c>
      <c r="K790" t="s">
        <v>25</v>
      </c>
      <c r="L790" t="s">
        <v>58</v>
      </c>
      <c r="M790">
        <v>87</v>
      </c>
      <c r="N790">
        <v>306</v>
      </c>
      <c r="O790" t="s">
        <v>27</v>
      </c>
      <c r="P790">
        <v>140</v>
      </c>
      <c r="Q790">
        <v>140</v>
      </c>
      <c r="R790">
        <v>80</v>
      </c>
      <c r="S790">
        <v>280</v>
      </c>
      <c r="T790">
        <v>66</v>
      </c>
      <c r="U790" t="s">
        <v>28</v>
      </c>
      <c r="V790" s="2">
        <v>0.28431372549019607</v>
      </c>
      <c r="W790" s="2">
        <v>0.5</v>
      </c>
      <c r="X790">
        <v>24</v>
      </c>
    </row>
    <row r="791" spans="1:24" x14ac:dyDescent="0.3">
      <c r="A791">
        <v>309</v>
      </c>
      <c r="B791">
        <v>123</v>
      </c>
      <c r="C791">
        <v>3</v>
      </c>
      <c r="D791" s="1">
        <v>41707</v>
      </c>
      <c r="E791">
        <v>959</v>
      </c>
      <c r="F791">
        <v>179</v>
      </c>
      <c r="G791" t="s">
        <v>22</v>
      </c>
      <c r="H791" t="s">
        <v>23</v>
      </c>
      <c r="I791">
        <v>34</v>
      </c>
      <c r="J791" t="s">
        <v>24</v>
      </c>
      <c r="K791" t="s">
        <v>25</v>
      </c>
      <c r="L791" t="s">
        <v>58</v>
      </c>
      <c r="M791">
        <v>133</v>
      </c>
      <c r="N791">
        <v>302</v>
      </c>
      <c r="O791" t="s">
        <v>64</v>
      </c>
      <c r="P791">
        <v>110</v>
      </c>
      <c r="Q791">
        <v>170</v>
      </c>
      <c r="R791">
        <v>130</v>
      </c>
      <c r="S791">
        <v>280</v>
      </c>
      <c r="T791">
        <v>46</v>
      </c>
      <c r="U791" t="s">
        <v>28</v>
      </c>
      <c r="V791" s="2">
        <v>0.44039735099337746</v>
      </c>
      <c r="W791" s="2">
        <v>0.5927152317880795</v>
      </c>
      <c r="X791">
        <v>12</v>
      </c>
    </row>
    <row r="792" spans="1:24" x14ac:dyDescent="0.3">
      <c r="A792">
        <v>630</v>
      </c>
      <c r="B792">
        <v>86</v>
      </c>
      <c r="C792">
        <v>8</v>
      </c>
      <c r="D792" s="1">
        <v>41708</v>
      </c>
      <c r="E792">
        <v>1003</v>
      </c>
      <c r="F792">
        <v>124</v>
      </c>
      <c r="G792" t="s">
        <v>22</v>
      </c>
      <c r="H792" t="s">
        <v>23</v>
      </c>
      <c r="I792">
        <v>24</v>
      </c>
      <c r="J792" t="s">
        <v>24</v>
      </c>
      <c r="K792" t="s">
        <v>25</v>
      </c>
      <c r="L792" t="s">
        <v>29</v>
      </c>
      <c r="M792">
        <v>88</v>
      </c>
      <c r="N792">
        <v>210</v>
      </c>
      <c r="O792" t="s">
        <v>64</v>
      </c>
      <c r="P792">
        <v>80</v>
      </c>
      <c r="Q792">
        <v>110</v>
      </c>
      <c r="R792">
        <v>80</v>
      </c>
      <c r="S792">
        <v>190</v>
      </c>
      <c r="T792">
        <v>36</v>
      </c>
      <c r="U792" t="s">
        <v>28</v>
      </c>
      <c r="V792" s="2">
        <v>0.41904761904761906</v>
      </c>
      <c r="W792" s="2">
        <v>0.59047619047619049</v>
      </c>
      <c r="X792">
        <v>12</v>
      </c>
    </row>
    <row r="793" spans="1:24" x14ac:dyDescent="0.3">
      <c r="A793">
        <v>513</v>
      </c>
      <c r="B793">
        <v>88</v>
      </c>
      <c r="C793">
        <v>2</v>
      </c>
      <c r="D793" s="1">
        <v>41709</v>
      </c>
      <c r="E793">
        <v>817</v>
      </c>
      <c r="F793">
        <v>133</v>
      </c>
      <c r="G793" t="s">
        <v>22</v>
      </c>
      <c r="H793" t="s">
        <v>23</v>
      </c>
      <c r="I793">
        <v>29</v>
      </c>
      <c r="J793" t="s">
        <v>24</v>
      </c>
      <c r="K793" t="s">
        <v>33</v>
      </c>
      <c r="L793" t="s">
        <v>34</v>
      </c>
      <c r="M793">
        <v>72</v>
      </c>
      <c r="N793">
        <v>221</v>
      </c>
      <c r="O793" t="s">
        <v>66</v>
      </c>
      <c r="P793">
        <v>70</v>
      </c>
      <c r="Q793">
        <v>110</v>
      </c>
      <c r="R793">
        <v>70</v>
      </c>
      <c r="S793">
        <v>180</v>
      </c>
      <c r="T793">
        <v>61</v>
      </c>
      <c r="U793" t="s">
        <v>36</v>
      </c>
      <c r="V793" s="2">
        <v>0.32579185520361992</v>
      </c>
      <c r="W793" s="2">
        <v>0.60180995475113119</v>
      </c>
      <c r="X793">
        <v>32</v>
      </c>
    </row>
    <row r="794" spans="1:24" x14ac:dyDescent="0.3">
      <c r="A794">
        <v>740</v>
      </c>
      <c r="B794">
        <v>134</v>
      </c>
      <c r="C794">
        <v>31</v>
      </c>
      <c r="D794" s="1">
        <v>41710</v>
      </c>
      <c r="E794">
        <v>690</v>
      </c>
      <c r="F794">
        <v>186</v>
      </c>
      <c r="G794" t="s">
        <v>22</v>
      </c>
      <c r="H794" t="s">
        <v>23</v>
      </c>
      <c r="I794">
        <v>41</v>
      </c>
      <c r="J794" t="s">
        <v>24</v>
      </c>
      <c r="K794" t="s">
        <v>33</v>
      </c>
      <c r="L794" t="s">
        <v>62</v>
      </c>
      <c r="M794">
        <v>121</v>
      </c>
      <c r="N794">
        <v>320</v>
      </c>
      <c r="O794" t="s">
        <v>66</v>
      </c>
      <c r="P794">
        <v>110</v>
      </c>
      <c r="Q794">
        <v>150</v>
      </c>
      <c r="R794">
        <v>90</v>
      </c>
      <c r="S794">
        <v>260</v>
      </c>
      <c r="T794">
        <v>65</v>
      </c>
      <c r="U794" t="s">
        <v>36</v>
      </c>
      <c r="V794" s="2">
        <v>0.37812499999999999</v>
      </c>
      <c r="W794" s="2">
        <v>0.58125000000000004</v>
      </c>
      <c r="X794">
        <v>24</v>
      </c>
    </row>
    <row r="795" spans="1:24" x14ac:dyDescent="0.3">
      <c r="A795">
        <v>719</v>
      </c>
      <c r="B795">
        <v>81</v>
      </c>
      <c r="C795">
        <v>6</v>
      </c>
      <c r="D795" s="1">
        <v>41711</v>
      </c>
      <c r="E795">
        <v>551</v>
      </c>
      <c r="F795">
        <v>104</v>
      </c>
      <c r="G795" t="s">
        <v>22</v>
      </c>
      <c r="H795" t="s">
        <v>23</v>
      </c>
      <c r="I795">
        <v>26</v>
      </c>
      <c r="J795" t="s">
        <v>24</v>
      </c>
      <c r="K795" t="s">
        <v>33</v>
      </c>
      <c r="L795" t="s">
        <v>38</v>
      </c>
      <c r="M795">
        <v>66</v>
      </c>
      <c r="N795">
        <v>185</v>
      </c>
      <c r="O795" t="s">
        <v>27</v>
      </c>
      <c r="P795">
        <v>60</v>
      </c>
      <c r="Q795">
        <v>90</v>
      </c>
      <c r="R795">
        <v>60</v>
      </c>
      <c r="S795">
        <v>150</v>
      </c>
      <c r="T795">
        <v>38</v>
      </c>
      <c r="U795" t="s">
        <v>36</v>
      </c>
      <c r="V795" s="2">
        <v>0.35675675675675678</v>
      </c>
      <c r="W795" s="2">
        <v>0.56216216216216219</v>
      </c>
      <c r="X795">
        <v>12</v>
      </c>
    </row>
    <row r="796" spans="1:24" x14ac:dyDescent="0.3">
      <c r="A796">
        <v>319</v>
      </c>
      <c r="B796">
        <v>10</v>
      </c>
      <c r="C796">
        <v>-11</v>
      </c>
      <c r="D796" s="1">
        <v>41712</v>
      </c>
      <c r="E796">
        <v>594</v>
      </c>
      <c r="F796">
        <v>14</v>
      </c>
      <c r="G796" t="s">
        <v>40</v>
      </c>
      <c r="H796" t="s">
        <v>23</v>
      </c>
      <c r="I796">
        <v>3</v>
      </c>
      <c r="J796" t="s">
        <v>41</v>
      </c>
      <c r="K796" t="s">
        <v>46</v>
      </c>
      <c r="L796" t="s">
        <v>47</v>
      </c>
      <c r="M796">
        <v>-1</v>
      </c>
      <c r="N796">
        <v>24</v>
      </c>
      <c r="O796" t="s">
        <v>44</v>
      </c>
      <c r="P796">
        <v>0</v>
      </c>
      <c r="Q796">
        <v>20</v>
      </c>
      <c r="R796">
        <v>10</v>
      </c>
      <c r="S796">
        <v>20</v>
      </c>
      <c r="T796">
        <v>15</v>
      </c>
      <c r="U796" t="s">
        <v>28</v>
      </c>
      <c r="V796" s="2">
        <v>-4.1666666666666664E-2</v>
      </c>
      <c r="W796" s="2">
        <v>0.58333333333333337</v>
      </c>
      <c r="X796">
        <v>12</v>
      </c>
    </row>
    <row r="797" spans="1:24" x14ac:dyDescent="0.3">
      <c r="A797">
        <v>715</v>
      </c>
      <c r="B797">
        <v>83</v>
      </c>
      <c r="C797">
        <v>-13</v>
      </c>
      <c r="D797" s="1">
        <v>41713</v>
      </c>
      <c r="E797">
        <v>575</v>
      </c>
      <c r="F797">
        <v>112</v>
      </c>
      <c r="G797" t="s">
        <v>40</v>
      </c>
      <c r="H797" t="s">
        <v>23</v>
      </c>
      <c r="I797">
        <v>27</v>
      </c>
      <c r="J797" t="s">
        <v>41</v>
      </c>
      <c r="K797" t="s">
        <v>46</v>
      </c>
      <c r="L797" t="s">
        <v>47</v>
      </c>
      <c r="M797">
        <v>57</v>
      </c>
      <c r="N797">
        <v>195</v>
      </c>
      <c r="O797" t="s">
        <v>60</v>
      </c>
      <c r="P797">
        <v>80</v>
      </c>
      <c r="Q797">
        <v>110</v>
      </c>
      <c r="R797">
        <v>70</v>
      </c>
      <c r="S797">
        <v>190</v>
      </c>
      <c r="T797">
        <v>55</v>
      </c>
      <c r="U797" t="s">
        <v>28</v>
      </c>
      <c r="V797" s="2">
        <v>0.29230769230769232</v>
      </c>
      <c r="W797" s="2">
        <v>0.57435897435897432</v>
      </c>
      <c r="X797">
        <v>28</v>
      </c>
    </row>
    <row r="798" spans="1:24" x14ac:dyDescent="0.3">
      <c r="A798">
        <v>573</v>
      </c>
      <c r="B798">
        <v>68</v>
      </c>
      <c r="C798">
        <v>-14</v>
      </c>
      <c r="D798" s="1">
        <v>41714</v>
      </c>
      <c r="E798">
        <v>619</v>
      </c>
      <c r="F798">
        <v>85</v>
      </c>
      <c r="G798" t="s">
        <v>40</v>
      </c>
      <c r="H798" t="s">
        <v>23</v>
      </c>
      <c r="I798">
        <v>25</v>
      </c>
      <c r="J798" t="s">
        <v>41</v>
      </c>
      <c r="K798" t="s">
        <v>46</v>
      </c>
      <c r="L798" t="s">
        <v>53</v>
      </c>
      <c r="M798">
        <v>26</v>
      </c>
      <c r="N798">
        <v>153</v>
      </c>
      <c r="O798" t="s">
        <v>59</v>
      </c>
      <c r="P798">
        <v>60</v>
      </c>
      <c r="Q798">
        <v>90</v>
      </c>
      <c r="R798">
        <v>40</v>
      </c>
      <c r="S798">
        <v>150</v>
      </c>
      <c r="T798">
        <v>59</v>
      </c>
      <c r="U798" t="s">
        <v>36</v>
      </c>
      <c r="V798" s="2">
        <v>0.16993464052287582</v>
      </c>
      <c r="W798" s="2">
        <v>0.55555555555555558</v>
      </c>
      <c r="X798">
        <v>34</v>
      </c>
    </row>
    <row r="799" spans="1:24" x14ac:dyDescent="0.3">
      <c r="A799">
        <v>715</v>
      </c>
      <c r="B799">
        <v>105</v>
      </c>
      <c r="C799">
        <v>-10</v>
      </c>
      <c r="D799" s="1">
        <v>41715</v>
      </c>
      <c r="E799">
        <v>716</v>
      </c>
      <c r="F799">
        <v>145</v>
      </c>
      <c r="G799" t="s">
        <v>40</v>
      </c>
      <c r="H799" t="s">
        <v>23</v>
      </c>
      <c r="I799">
        <v>95</v>
      </c>
      <c r="J799" t="s">
        <v>41</v>
      </c>
      <c r="K799" t="s">
        <v>46</v>
      </c>
      <c r="L799" t="s">
        <v>53</v>
      </c>
      <c r="M799">
        <v>20</v>
      </c>
      <c r="N799">
        <v>250</v>
      </c>
      <c r="O799" t="s">
        <v>60</v>
      </c>
      <c r="P799">
        <v>100</v>
      </c>
      <c r="Q799">
        <v>140</v>
      </c>
      <c r="R799">
        <v>30</v>
      </c>
      <c r="S799">
        <v>240</v>
      </c>
      <c r="T799">
        <v>125</v>
      </c>
      <c r="U799" t="s">
        <v>36</v>
      </c>
      <c r="V799" s="2">
        <v>0.08</v>
      </c>
      <c r="W799" s="2">
        <v>0.57999999999999996</v>
      </c>
      <c r="X799">
        <v>30</v>
      </c>
    </row>
    <row r="800" spans="1:24" x14ac:dyDescent="0.3">
      <c r="A800">
        <v>314</v>
      </c>
      <c r="B800">
        <v>50</v>
      </c>
      <c r="C800">
        <v>-22</v>
      </c>
      <c r="D800" s="1">
        <v>41716</v>
      </c>
      <c r="E800">
        <v>898</v>
      </c>
      <c r="F800">
        <v>73</v>
      </c>
      <c r="G800" t="s">
        <v>40</v>
      </c>
      <c r="H800" t="s">
        <v>23</v>
      </c>
      <c r="I800">
        <v>14</v>
      </c>
      <c r="J800" t="s">
        <v>41</v>
      </c>
      <c r="K800" t="s">
        <v>42</v>
      </c>
      <c r="L800" t="s">
        <v>54</v>
      </c>
      <c r="M800">
        <v>48</v>
      </c>
      <c r="N800">
        <v>123</v>
      </c>
      <c r="O800" t="s">
        <v>59</v>
      </c>
      <c r="P800">
        <v>60</v>
      </c>
      <c r="Q800">
        <v>90</v>
      </c>
      <c r="R800">
        <v>70</v>
      </c>
      <c r="S800">
        <v>150</v>
      </c>
      <c r="T800">
        <v>25</v>
      </c>
      <c r="U800" t="s">
        <v>36</v>
      </c>
      <c r="V800" s="2">
        <v>0.3902439024390244</v>
      </c>
      <c r="W800" s="2">
        <v>0.5934959349593496</v>
      </c>
      <c r="X800">
        <v>11</v>
      </c>
    </row>
    <row r="801" spans="1:24" x14ac:dyDescent="0.3">
      <c r="A801">
        <v>715</v>
      </c>
      <c r="B801">
        <v>80</v>
      </c>
      <c r="C801">
        <v>-30</v>
      </c>
      <c r="D801" s="1">
        <v>41717</v>
      </c>
      <c r="E801">
        <v>1079</v>
      </c>
      <c r="F801">
        <v>96</v>
      </c>
      <c r="G801" t="s">
        <v>40</v>
      </c>
      <c r="H801" t="s">
        <v>23</v>
      </c>
      <c r="I801">
        <v>24</v>
      </c>
      <c r="J801" t="s">
        <v>41</v>
      </c>
      <c r="K801" t="s">
        <v>42</v>
      </c>
      <c r="L801" t="s">
        <v>54</v>
      </c>
      <c r="M801">
        <v>50</v>
      </c>
      <c r="N801">
        <v>176</v>
      </c>
      <c r="O801" t="s">
        <v>60</v>
      </c>
      <c r="P801">
        <v>100</v>
      </c>
      <c r="Q801">
        <v>120</v>
      </c>
      <c r="R801">
        <v>80</v>
      </c>
      <c r="S801">
        <v>220</v>
      </c>
      <c r="T801">
        <v>46</v>
      </c>
      <c r="U801" t="s">
        <v>36</v>
      </c>
      <c r="V801" s="2">
        <v>0.28409090909090912</v>
      </c>
      <c r="W801" s="2">
        <v>0.54545454545454541</v>
      </c>
      <c r="X801">
        <v>22</v>
      </c>
    </row>
    <row r="802" spans="1:24" x14ac:dyDescent="0.3">
      <c r="A802">
        <v>641</v>
      </c>
      <c r="B802">
        <v>247</v>
      </c>
      <c r="C802">
        <v>16</v>
      </c>
      <c r="D802" s="1">
        <v>41718</v>
      </c>
      <c r="E802">
        <v>1744</v>
      </c>
      <c r="F802">
        <v>329</v>
      </c>
      <c r="G802" t="s">
        <v>40</v>
      </c>
      <c r="H802" t="s">
        <v>23</v>
      </c>
      <c r="I802">
        <v>81</v>
      </c>
      <c r="J802" t="s">
        <v>24</v>
      </c>
      <c r="K802" t="s">
        <v>25</v>
      </c>
      <c r="L802" t="s">
        <v>58</v>
      </c>
      <c r="M802">
        <v>216</v>
      </c>
      <c r="N802">
        <v>576</v>
      </c>
      <c r="O802" t="s">
        <v>44</v>
      </c>
      <c r="P802">
        <v>230</v>
      </c>
      <c r="Q802">
        <v>300</v>
      </c>
      <c r="R802">
        <v>200</v>
      </c>
      <c r="S802">
        <v>530</v>
      </c>
      <c r="T802">
        <v>113</v>
      </c>
      <c r="U802" t="s">
        <v>28</v>
      </c>
      <c r="V802" s="2">
        <v>0.375</v>
      </c>
      <c r="W802" s="2">
        <v>0.57118055555555558</v>
      </c>
      <c r="X802">
        <v>32</v>
      </c>
    </row>
    <row r="803" spans="1:24" x14ac:dyDescent="0.3">
      <c r="A803">
        <v>319</v>
      </c>
      <c r="B803">
        <v>127</v>
      </c>
      <c r="C803">
        <v>3</v>
      </c>
      <c r="D803" s="1">
        <v>41719</v>
      </c>
      <c r="E803">
        <v>830</v>
      </c>
      <c r="F803">
        <v>185</v>
      </c>
      <c r="G803" t="s">
        <v>40</v>
      </c>
      <c r="H803" t="s">
        <v>23</v>
      </c>
      <c r="I803">
        <v>40</v>
      </c>
      <c r="J803" t="s">
        <v>24</v>
      </c>
      <c r="K803" t="s">
        <v>25</v>
      </c>
      <c r="L803" t="s">
        <v>26</v>
      </c>
      <c r="M803">
        <v>123</v>
      </c>
      <c r="N803">
        <v>312</v>
      </c>
      <c r="O803" t="s">
        <v>44</v>
      </c>
      <c r="P803">
        <v>120</v>
      </c>
      <c r="Q803">
        <v>170</v>
      </c>
      <c r="R803">
        <v>120</v>
      </c>
      <c r="S803">
        <v>290</v>
      </c>
      <c r="T803">
        <v>62</v>
      </c>
      <c r="U803" t="s">
        <v>28</v>
      </c>
      <c r="V803" s="2">
        <v>0.39423076923076922</v>
      </c>
      <c r="W803" s="2">
        <v>0.59294871794871795</v>
      </c>
      <c r="X803">
        <v>22</v>
      </c>
    </row>
    <row r="804" spans="1:24" x14ac:dyDescent="0.3">
      <c r="A804">
        <v>641</v>
      </c>
      <c r="B804">
        <v>250</v>
      </c>
      <c r="C804">
        <v>36</v>
      </c>
      <c r="D804" s="1">
        <v>41720</v>
      </c>
      <c r="E804">
        <v>1820</v>
      </c>
      <c r="F804">
        <v>251</v>
      </c>
      <c r="G804" t="s">
        <v>40</v>
      </c>
      <c r="H804" t="s">
        <v>23</v>
      </c>
      <c r="I804">
        <v>70</v>
      </c>
      <c r="J804" t="s">
        <v>24</v>
      </c>
      <c r="K804" t="s">
        <v>33</v>
      </c>
      <c r="L804" t="s">
        <v>34</v>
      </c>
      <c r="M804">
        <v>156</v>
      </c>
      <c r="N804">
        <v>501</v>
      </c>
      <c r="O804" t="s">
        <v>44</v>
      </c>
      <c r="P804">
        <v>210</v>
      </c>
      <c r="Q804">
        <v>200</v>
      </c>
      <c r="R804">
        <v>120</v>
      </c>
      <c r="S804">
        <v>410</v>
      </c>
      <c r="T804">
        <v>95</v>
      </c>
      <c r="U804" t="s">
        <v>36</v>
      </c>
      <c r="V804" s="2">
        <v>0.31137724550898205</v>
      </c>
      <c r="W804" s="2">
        <v>0.50099800399201599</v>
      </c>
      <c r="X804">
        <v>25</v>
      </c>
    </row>
    <row r="805" spans="1:24" x14ac:dyDescent="0.3">
      <c r="A805">
        <v>641</v>
      </c>
      <c r="B805">
        <v>294</v>
      </c>
      <c r="C805">
        <v>46</v>
      </c>
      <c r="D805" s="1">
        <v>41721</v>
      </c>
      <c r="E805">
        <v>1838</v>
      </c>
      <c r="F805">
        <v>360</v>
      </c>
      <c r="G805" t="s">
        <v>40</v>
      </c>
      <c r="H805" t="s">
        <v>23</v>
      </c>
      <c r="I805">
        <v>111</v>
      </c>
      <c r="J805" t="s">
        <v>24</v>
      </c>
      <c r="K805" t="s">
        <v>33</v>
      </c>
      <c r="L805" t="s">
        <v>62</v>
      </c>
      <c r="M805">
        <v>216</v>
      </c>
      <c r="N805">
        <v>654</v>
      </c>
      <c r="O805" t="s">
        <v>44</v>
      </c>
      <c r="P805">
        <v>240</v>
      </c>
      <c r="Q805">
        <v>300</v>
      </c>
      <c r="R805">
        <v>170</v>
      </c>
      <c r="S805">
        <v>540</v>
      </c>
      <c r="T805">
        <v>144</v>
      </c>
      <c r="U805" t="s">
        <v>36</v>
      </c>
      <c r="V805" s="2">
        <v>0.33027522935779818</v>
      </c>
      <c r="W805" s="2">
        <v>0.55045871559633031</v>
      </c>
      <c r="X805">
        <v>33</v>
      </c>
    </row>
    <row r="806" spans="1:24" x14ac:dyDescent="0.3">
      <c r="A806">
        <v>573</v>
      </c>
      <c r="B806">
        <v>20</v>
      </c>
      <c r="C806">
        <v>-6</v>
      </c>
      <c r="D806" s="1">
        <v>41722</v>
      </c>
      <c r="E806">
        <v>218</v>
      </c>
      <c r="F806">
        <v>25</v>
      </c>
      <c r="G806" t="s">
        <v>40</v>
      </c>
      <c r="H806" t="s">
        <v>23</v>
      </c>
      <c r="I806">
        <v>7</v>
      </c>
      <c r="J806" t="s">
        <v>24</v>
      </c>
      <c r="K806" t="s">
        <v>33</v>
      </c>
      <c r="L806" t="s">
        <v>62</v>
      </c>
      <c r="M806">
        <v>-16</v>
      </c>
      <c r="N806">
        <v>45</v>
      </c>
      <c r="O806" t="s">
        <v>59</v>
      </c>
      <c r="P806">
        <v>10</v>
      </c>
      <c r="Q806">
        <v>20</v>
      </c>
      <c r="R806">
        <v>-10</v>
      </c>
      <c r="S806">
        <v>30</v>
      </c>
      <c r="T806">
        <v>41</v>
      </c>
      <c r="U806" t="s">
        <v>36</v>
      </c>
      <c r="V806" s="2">
        <v>-0.35555555555555557</v>
      </c>
      <c r="W806" s="2">
        <v>0.55555555555555558</v>
      </c>
      <c r="X806">
        <v>34</v>
      </c>
    </row>
    <row r="807" spans="1:24" x14ac:dyDescent="0.3">
      <c r="A807">
        <v>719</v>
      </c>
      <c r="B807">
        <v>108</v>
      </c>
      <c r="C807">
        <v>22</v>
      </c>
      <c r="D807" s="1">
        <v>41723</v>
      </c>
      <c r="E807">
        <v>971</v>
      </c>
      <c r="F807">
        <v>157</v>
      </c>
      <c r="G807" t="s">
        <v>22</v>
      </c>
      <c r="H807" t="s">
        <v>23</v>
      </c>
      <c r="I807">
        <v>30</v>
      </c>
      <c r="J807" t="s">
        <v>41</v>
      </c>
      <c r="K807" t="s">
        <v>46</v>
      </c>
      <c r="L807" t="s">
        <v>47</v>
      </c>
      <c r="M807">
        <v>172</v>
      </c>
      <c r="N807">
        <v>282</v>
      </c>
      <c r="O807" t="s">
        <v>27</v>
      </c>
      <c r="P807">
        <v>100</v>
      </c>
      <c r="Q807">
        <v>160</v>
      </c>
      <c r="R807">
        <v>150</v>
      </c>
      <c r="S807">
        <v>260</v>
      </c>
      <c r="T807">
        <v>41</v>
      </c>
      <c r="U807" t="s">
        <v>28</v>
      </c>
      <c r="V807" s="2">
        <v>0.60992907801418439</v>
      </c>
      <c r="W807" s="2">
        <v>0.61702127659574468</v>
      </c>
      <c r="X807">
        <v>11</v>
      </c>
    </row>
    <row r="808" spans="1:24" x14ac:dyDescent="0.3">
      <c r="A808">
        <v>815</v>
      </c>
      <c r="B808">
        <v>122</v>
      </c>
      <c r="C808">
        <v>11</v>
      </c>
      <c r="D808" s="1">
        <v>41724</v>
      </c>
      <c r="E808">
        <v>789</v>
      </c>
      <c r="F808">
        <v>176</v>
      </c>
      <c r="G808" t="s">
        <v>22</v>
      </c>
      <c r="H808" t="s">
        <v>23</v>
      </c>
      <c r="I808">
        <v>39</v>
      </c>
      <c r="J808" t="s">
        <v>41</v>
      </c>
      <c r="K808" t="s">
        <v>46</v>
      </c>
      <c r="L808" t="s">
        <v>47</v>
      </c>
      <c r="M808">
        <v>171</v>
      </c>
      <c r="N808">
        <v>318</v>
      </c>
      <c r="O808" t="s">
        <v>64</v>
      </c>
      <c r="P808">
        <v>110</v>
      </c>
      <c r="Q808">
        <v>190</v>
      </c>
      <c r="R808">
        <v>160</v>
      </c>
      <c r="S808">
        <v>300</v>
      </c>
      <c r="T808">
        <v>61</v>
      </c>
      <c r="U808" t="s">
        <v>28</v>
      </c>
      <c r="V808" s="2">
        <v>0.53773584905660377</v>
      </c>
      <c r="W808" s="2">
        <v>0.61635220125786161</v>
      </c>
      <c r="X808">
        <v>22</v>
      </c>
    </row>
    <row r="809" spans="1:24" x14ac:dyDescent="0.3">
      <c r="A809">
        <v>970</v>
      </c>
      <c r="B809">
        <v>72</v>
      </c>
      <c r="C809">
        <v>-47</v>
      </c>
      <c r="D809" s="1">
        <v>41725</v>
      </c>
      <c r="E809">
        <v>650</v>
      </c>
      <c r="F809">
        <v>110</v>
      </c>
      <c r="G809" t="s">
        <v>22</v>
      </c>
      <c r="H809" t="s">
        <v>23</v>
      </c>
      <c r="I809">
        <v>23</v>
      </c>
      <c r="J809" t="s">
        <v>41</v>
      </c>
      <c r="K809" t="s">
        <v>42</v>
      </c>
      <c r="L809" t="s">
        <v>43</v>
      </c>
      <c r="M809">
        <v>83</v>
      </c>
      <c r="N809">
        <v>194</v>
      </c>
      <c r="O809" t="s">
        <v>27</v>
      </c>
      <c r="P809">
        <v>100</v>
      </c>
      <c r="Q809">
        <v>160</v>
      </c>
      <c r="R809">
        <v>130</v>
      </c>
      <c r="S809">
        <v>260</v>
      </c>
      <c r="T809">
        <v>54</v>
      </c>
      <c r="U809" t="s">
        <v>28</v>
      </c>
      <c r="V809" s="2">
        <v>0.42783505154639173</v>
      </c>
      <c r="W809" s="2">
        <v>0.62886597938144329</v>
      </c>
      <c r="X809">
        <v>31</v>
      </c>
    </row>
    <row r="810" spans="1:24" x14ac:dyDescent="0.3">
      <c r="A810">
        <v>773</v>
      </c>
      <c r="B810">
        <v>239</v>
      </c>
      <c r="C810">
        <v>-79</v>
      </c>
      <c r="D810" s="1">
        <v>41726</v>
      </c>
      <c r="E810">
        <v>1755</v>
      </c>
      <c r="F810">
        <v>239</v>
      </c>
      <c r="G810" t="s">
        <v>22</v>
      </c>
      <c r="H810" t="s">
        <v>23</v>
      </c>
      <c r="I810">
        <v>66</v>
      </c>
      <c r="J810" t="s">
        <v>41</v>
      </c>
      <c r="K810" t="s">
        <v>42</v>
      </c>
      <c r="L810" t="s">
        <v>43</v>
      </c>
      <c r="M810">
        <v>221</v>
      </c>
      <c r="N810">
        <v>509</v>
      </c>
      <c r="O810" t="s">
        <v>64</v>
      </c>
      <c r="P810">
        <v>340</v>
      </c>
      <c r="Q810">
        <v>370</v>
      </c>
      <c r="R810">
        <v>300</v>
      </c>
      <c r="S810">
        <v>710</v>
      </c>
      <c r="T810">
        <v>90</v>
      </c>
      <c r="U810" t="s">
        <v>28</v>
      </c>
      <c r="V810" s="2">
        <v>0.43418467583497056</v>
      </c>
      <c r="W810" s="2">
        <v>0.53045186640471509</v>
      </c>
      <c r="X810">
        <v>24</v>
      </c>
    </row>
    <row r="811" spans="1:24" x14ac:dyDescent="0.3">
      <c r="A811">
        <v>419</v>
      </c>
      <c r="B811">
        <v>54</v>
      </c>
      <c r="C811">
        <v>-52</v>
      </c>
      <c r="D811" s="1">
        <v>41727</v>
      </c>
      <c r="E811">
        <v>404</v>
      </c>
      <c r="F811">
        <v>66</v>
      </c>
      <c r="G811" t="s">
        <v>22</v>
      </c>
      <c r="H811" t="s">
        <v>23</v>
      </c>
      <c r="I811">
        <v>20</v>
      </c>
      <c r="J811" t="s">
        <v>41</v>
      </c>
      <c r="K811" t="s">
        <v>42</v>
      </c>
      <c r="L811" t="s">
        <v>43</v>
      </c>
      <c r="M811">
        <v>18</v>
      </c>
      <c r="N811">
        <v>128</v>
      </c>
      <c r="O811" t="s">
        <v>66</v>
      </c>
      <c r="P811">
        <v>70</v>
      </c>
      <c r="Q811">
        <v>100</v>
      </c>
      <c r="R811">
        <v>70</v>
      </c>
      <c r="S811">
        <v>170</v>
      </c>
      <c r="T811">
        <v>54</v>
      </c>
      <c r="U811" t="s">
        <v>28</v>
      </c>
      <c r="V811" s="2">
        <v>0.140625</v>
      </c>
      <c r="W811" s="2">
        <v>0.578125</v>
      </c>
      <c r="X811">
        <v>34</v>
      </c>
    </row>
    <row r="812" spans="1:24" x14ac:dyDescent="0.3">
      <c r="A812">
        <v>719</v>
      </c>
      <c r="B812">
        <v>123</v>
      </c>
      <c r="C812">
        <v>37</v>
      </c>
      <c r="D812" s="1">
        <v>41728</v>
      </c>
      <c r="E812">
        <v>915</v>
      </c>
      <c r="F812">
        <v>179</v>
      </c>
      <c r="G812" t="s">
        <v>22</v>
      </c>
      <c r="H812" t="s">
        <v>23</v>
      </c>
      <c r="I812">
        <v>34</v>
      </c>
      <c r="J812" t="s">
        <v>41</v>
      </c>
      <c r="K812" t="s">
        <v>46</v>
      </c>
      <c r="L812" t="s">
        <v>51</v>
      </c>
      <c r="M812">
        <v>197</v>
      </c>
      <c r="N812">
        <v>322</v>
      </c>
      <c r="O812" t="s">
        <v>27</v>
      </c>
      <c r="P812">
        <v>120</v>
      </c>
      <c r="Q812">
        <v>180</v>
      </c>
      <c r="R812">
        <v>160</v>
      </c>
      <c r="S812">
        <v>300</v>
      </c>
      <c r="T812">
        <v>46</v>
      </c>
      <c r="U812" t="s">
        <v>36</v>
      </c>
      <c r="V812" s="2">
        <v>0.61180124223602483</v>
      </c>
      <c r="W812" s="2">
        <v>0.61801242236024845</v>
      </c>
      <c r="X812">
        <v>12</v>
      </c>
    </row>
    <row r="813" spans="1:24" x14ac:dyDescent="0.3">
      <c r="A813">
        <v>815</v>
      </c>
      <c r="B813">
        <v>154</v>
      </c>
      <c r="C813">
        <v>18</v>
      </c>
      <c r="D813" s="1">
        <v>41729</v>
      </c>
      <c r="E813">
        <v>1132</v>
      </c>
      <c r="F813">
        <v>213</v>
      </c>
      <c r="G813" t="s">
        <v>22</v>
      </c>
      <c r="H813" t="s">
        <v>23</v>
      </c>
      <c r="I813">
        <v>50</v>
      </c>
      <c r="J813" t="s">
        <v>41</v>
      </c>
      <c r="K813" t="s">
        <v>46</v>
      </c>
      <c r="L813" t="s">
        <v>53</v>
      </c>
      <c r="M813">
        <v>178</v>
      </c>
      <c r="N813">
        <v>391</v>
      </c>
      <c r="O813" t="s">
        <v>64</v>
      </c>
      <c r="P813">
        <v>150</v>
      </c>
      <c r="Q813">
        <v>220</v>
      </c>
      <c r="R813">
        <v>160</v>
      </c>
      <c r="S813">
        <v>370</v>
      </c>
      <c r="T813">
        <v>93</v>
      </c>
      <c r="U813" t="s">
        <v>36</v>
      </c>
      <c r="V813" s="2">
        <v>0.45524296675191817</v>
      </c>
      <c r="W813" s="2">
        <v>0.60613810741687979</v>
      </c>
      <c r="X813">
        <v>43</v>
      </c>
    </row>
    <row r="814" spans="1:24" x14ac:dyDescent="0.3">
      <c r="A814">
        <v>970</v>
      </c>
      <c r="B814">
        <v>76</v>
      </c>
      <c r="C814">
        <v>-53</v>
      </c>
      <c r="D814" s="1">
        <v>41730</v>
      </c>
      <c r="E814">
        <v>580</v>
      </c>
      <c r="F814">
        <v>111</v>
      </c>
      <c r="G814" t="s">
        <v>22</v>
      </c>
      <c r="H814" t="s">
        <v>23</v>
      </c>
      <c r="I814">
        <v>21</v>
      </c>
      <c r="J814" t="s">
        <v>41</v>
      </c>
      <c r="K814" t="s">
        <v>42</v>
      </c>
      <c r="L814" t="s">
        <v>54</v>
      </c>
      <c r="M814">
        <v>117</v>
      </c>
      <c r="N814">
        <v>199</v>
      </c>
      <c r="O814" t="s">
        <v>27</v>
      </c>
      <c r="P814">
        <v>100</v>
      </c>
      <c r="Q814">
        <v>180</v>
      </c>
      <c r="R814">
        <v>170</v>
      </c>
      <c r="S814">
        <v>280</v>
      </c>
      <c r="T814">
        <v>32</v>
      </c>
      <c r="U814" t="s">
        <v>36</v>
      </c>
      <c r="V814" s="2">
        <v>0.5879396984924623</v>
      </c>
      <c r="W814" s="2">
        <v>0.61809045226130654</v>
      </c>
      <c r="X814">
        <v>11</v>
      </c>
    </row>
    <row r="815" spans="1:24" x14ac:dyDescent="0.3">
      <c r="A815">
        <v>312</v>
      </c>
      <c r="B815">
        <v>257</v>
      </c>
      <c r="C815">
        <v>-88</v>
      </c>
      <c r="D815" s="1">
        <v>41731</v>
      </c>
      <c r="E815">
        <v>1662</v>
      </c>
      <c r="F815">
        <v>341</v>
      </c>
      <c r="G815" t="s">
        <v>22</v>
      </c>
      <c r="H815" t="s">
        <v>23</v>
      </c>
      <c r="I815">
        <v>84</v>
      </c>
      <c r="J815" t="s">
        <v>41</v>
      </c>
      <c r="K815" t="s">
        <v>42</v>
      </c>
      <c r="L815" t="s">
        <v>54</v>
      </c>
      <c r="M815">
        <v>332</v>
      </c>
      <c r="N815">
        <v>637</v>
      </c>
      <c r="O815" t="s">
        <v>64</v>
      </c>
      <c r="P815">
        <v>370</v>
      </c>
      <c r="Q815">
        <v>520</v>
      </c>
      <c r="R815">
        <v>420</v>
      </c>
      <c r="S815">
        <v>890</v>
      </c>
      <c r="T815">
        <v>117</v>
      </c>
      <c r="U815" t="s">
        <v>36</v>
      </c>
      <c r="V815" s="2">
        <v>0.52119309262166402</v>
      </c>
      <c r="W815" s="2">
        <v>0.59654631083202514</v>
      </c>
      <c r="X815">
        <v>33</v>
      </c>
    </row>
    <row r="816" spans="1:24" x14ac:dyDescent="0.3">
      <c r="A816">
        <v>513</v>
      </c>
      <c r="B816">
        <v>161</v>
      </c>
      <c r="C816">
        <v>-53</v>
      </c>
      <c r="D816" s="1">
        <v>41732</v>
      </c>
      <c r="E816">
        <v>1267</v>
      </c>
      <c r="F816">
        <v>161</v>
      </c>
      <c r="G816" t="s">
        <v>22</v>
      </c>
      <c r="H816" t="s">
        <v>23</v>
      </c>
      <c r="I816">
        <v>45</v>
      </c>
      <c r="J816" t="s">
        <v>41</v>
      </c>
      <c r="K816" t="s">
        <v>42</v>
      </c>
      <c r="L816" t="s">
        <v>54</v>
      </c>
      <c r="M816">
        <v>137</v>
      </c>
      <c r="N816">
        <v>343</v>
      </c>
      <c r="O816" t="s">
        <v>66</v>
      </c>
      <c r="P816">
        <v>230</v>
      </c>
      <c r="Q816">
        <v>240</v>
      </c>
      <c r="R816">
        <v>190</v>
      </c>
      <c r="S816">
        <v>470</v>
      </c>
      <c r="T816">
        <v>69</v>
      </c>
      <c r="U816" t="s">
        <v>36</v>
      </c>
      <c r="V816" s="2">
        <v>0.39941690962099125</v>
      </c>
      <c r="W816" s="2">
        <v>0.53061224489795922</v>
      </c>
      <c r="X816">
        <v>24</v>
      </c>
    </row>
    <row r="817" spans="1:24" x14ac:dyDescent="0.3">
      <c r="A817">
        <v>720</v>
      </c>
      <c r="B817">
        <v>161</v>
      </c>
      <c r="C817">
        <v>27</v>
      </c>
      <c r="D817" s="1">
        <v>41733</v>
      </c>
      <c r="E817">
        <v>1267</v>
      </c>
      <c r="F817">
        <v>161</v>
      </c>
      <c r="G817" t="s">
        <v>22</v>
      </c>
      <c r="H817" t="s">
        <v>23</v>
      </c>
      <c r="I817">
        <v>45</v>
      </c>
      <c r="J817" t="s">
        <v>24</v>
      </c>
      <c r="K817" t="s">
        <v>25</v>
      </c>
      <c r="L817" t="s">
        <v>58</v>
      </c>
      <c r="M817">
        <v>137</v>
      </c>
      <c r="N817">
        <v>343</v>
      </c>
      <c r="O817" t="s">
        <v>27</v>
      </c>
      <c r="P817">
        <v>120</v>
      </c>
      <c r="Q817">
        <v>140</v>
      </c>
      <c r="R817">
        <v>110</v>
      </c>
      <c r="S817">
        <v>260</v>
      </c>
      <c r="T817">
        <v>69</v>
      </c>
      <c r="U817" t="s">
        <v>28</v>
      </c>
      <c r="V817" s="2">
        <v>0.39941690962099125</v>
      </c>
      <c r="W817" s="2">
        <v>0.53061224489795922</v>
      </c>
      <c r="X817">
        <v>24</v>
      </c>
    </row>
    <row r="818" spans="1:24" x14ac:dyDescent="0.3">
      <c r="A818">
        <v>708</v>
      </c>
      <c r="B818">
        <v>123</v>
      </c>
      <c r="C818">
        <v>57</v>
      </c>
      <c r="D818" s="1">
        <v>41734</v>
      </c>
      <c r="E818">
        <v>915</v>
      </c>
      <c r="F818">
        <v>179</v>
      </c>
      <c r="G818" t="s">
        <v>22</v>
      </c>
      <c r="H818" t="s">
        <v>23</v>
      </c>
      <c r="I818">
        <v>34</v>
      </c>
      <c r="J818" t="s">
        <v>24</v>
      </c>
      <c r="K818" t="s">
        <v>25</v>
      </c>
      <c r="L818" t="s">
        <v>58</v>
      </c>
      <c r="M818">
        <v>197</v>
      </c>
      <c r="N818">
        <v>322</v>
      </c>
      <c r="O818" t="s">
        <v>64</v>
      </c>
      <c r="P818">
        <v>90</v>
      </c>
      <c r="Q818">
        <v>150</v>
      </c>
      <c r="R818">
        <v>140</v>
      </c>
      <c r="S818">
        <v>240</v>
      </c>
      <c r="T818">
        <v>46</v>
      </c>
      <c r="U818" t="s">
        <v>28</v>
      </c>
      <c r="V818" s="2">
        <v>0.61180124223602483</v>
      </c>
      <c r="W818" s="2">
        <v>0.61801242236024845</v>
      </c>
      <c r="X818">
        <v>12</v>
      </c>
    </row>
    <row r="819" spans="1:24" x14ac:dyDescent="0.3">
      <c r="A819">
        <v>815</v>
      </c>
      <c r="B819">
        <v>108</v>
      </c>
      <c r="C819">
        <v>52</v>
      </c>
      <c r="D819" s="1">
        <v>41735</v>
      </c>
      <c r="E819">
        <v>971</v>
      </c>
      <c r="F819">
        <v>157</v>
      </c>
      <c r="G819" t="s">
        <v>22</v>
      </c>
      <c r="H819" t="s">
        <v>23</v>
      </c>
      <c r="I819">
        <v>30</v>
      </c>
      <c r="J819" t="s">
        <v>24</v>
      </c>
      <c r="K819" t="s">
        <v>25</v>
      </c>
      <c r="L819" t="s">
        <v>29</v>
      </c>
      <c r="M819">
        <v>172</v>
      </c>
      <c r="N819">
        <v>282</v>
      </c>
      <c r="O819" t="s">
        <v>64</v>
      </c>
      <c r="P819">
        <v>80</v>
      </c>
      <c r="Q819">
        <v>130</v>
      </c>
      <c r="R819">
        <v>120</v>
      </c>
      <c r="S819">
        <v>210</v>
      </c>
      <c r="T819">
        <v>41</v>
      </c>
      <c r="U819" t="s">
        <v>28</v>
      </c>
      <c r="V819" s="2">
        <v>0.60992907801418439</v>
      </c>
      <c r="W819" s="2">
        <v>0.61702127659574468</v>
      </c>
      <c r="X819">
        <v>11</v>
      </c>
    </row>
    <row r="820" spans="1:24" x14ac:dyDescent="0.3">
      <c r="A820">
        <v>419</v>
      </c>
      <c r="B820">
        <v>82</v>
      </c>
      <c r="C820">
        <v>36</v>
      </c>
      <c r="D820" s="1">
        <v>41736</v>
      </c>
      <c r="E820">
        <v>788</v>
      </c>
      <c r="F820">
        <v>123</v>
      </c>
      <c r="G820" t="s">
        <v>22</v>
      </c>
      <c r="H820" t="s">
        <v>23</v>
      </c>
      <c r="I820">
        <v>27</v>
      </c>
      <c r="J820" t="s">
        <v>24</v>
      </c>
      <c r="K820" t="s">
        <v>33</v>
      </c>
      <c r="L820" t="s">
        <v>34</v>
      </c>
      <c r="M820">
        <v>96</v>
      </c>
      <c r="N820">
        <v>218</v>
      </c>
      <c r="O820" t="s">
        <v>66</v>
      </c>
      <c r="P820">
        <v>50</v>
      </c>
      <c r="Q820">
        <v>90</v>
      </c>
      <c r="R820">
        <v>60</v>
      </c>
      <c r="S820">
        <v>140</v>
      </c>
      <c r="T820">
        <v>58</v>
      </c>
      <c r="U820" t="s">
        <v>36</v>
      </c>
      <c r="V820" s="2">
        <v>0.44036697247706424</v>
      </c>
      <c r="W820" s="2">
        <v>0.62385321100917435</v>
      </c>
      <c r="X820">
        <v>31</v>
      </c>
    </row>
    <row r="821" spans="1:24" x14ac:dyDescent="0.3">
      <c r="A821">
        <v>419</v>
      </c>
      <c r="B821">
        <v>91</v>
      </c>
      <c r="C821">
        <v>33</v>
      </c>
      <c r="D821" s="1">
        <v>41737</v>
      </c>
      <c r="E821">
        <v>656</v>
      </c>
      <c r="F821">
        <v>127</v>
      </c>
      <c r="G821" t="s">
        <v>22</v>
      </c>
      <c r="H821" t="s">
        <v>23</v>
      </c>
      <c r="I821">
        <v>28</v>
      </c>
      <c r="J821" t="s">
        <v>24</v>
      </c>
      <c r="K821" t="s">
        <v>33</v>
      </c>
      <c r="L821" t="s">
        <v>62</v>
      </c>
      <c r="M821">
        <v>113</v>
      </c>
      <c r="N821">
        <v>232</v>
      </c>
      <c r="O821" t="s">
        <v>66</v>
      </c>
      <c r="P821">
        <v>50</v>
      </c>
      <c r="Q821">
        <v>100</v>
      </c>
      <c r="R821">
        <v>80</v>
      </c>
      <c r="S821">
        <v>150</v>
      </c>
      <c r="T821">
        <v>51</v>
      </c>
      <c r="U821" t="s">
        <v>36</v>
      </c>
      <c r="V821" s="2">
        <v>0.48706896551724138</v>
      </c>
      <c r="W821" s="2">
        <v>0.60775862068965514</v>
      </c>
      <c r="X821">
        <v>23</v>
      </c>
    </row>
    <row r="822" spans="1:24" x14ac:dyDescent="0.3">
      <c r="A822">
        <v>970</v>
      </c>
      <c r="B822">
        <v>90</v>
      </c>
      <c r="C822">
        <v>30</v>
      </c>
      <c r="D822" s="1">
        <v>41738</v>
      </c>
      <c r="E822">
        <v>572</v>
      </c>
      <c r="F822">
        <v>115</v>
      </c>
      <c r="G822" t="s">
        <v>22</v>
      </c>
      <c r="H822" t="s">
        <v>23</v>
      </c>
      <c r="I822">
        <v>29</v>
      </c>
      <c r="J822" t="s">
        <v>24</v>
      </c>
      <c r="K822" t="s">
        <v>33</v>
      </c>
      <c r="L822" t="s">
        <v>38</v>
      </c>
      <c r="M822">
        <v>110</v>
      </c>
      <c r="N822">
        <v>218</v>
      </c>
      <c r="O822" t="s">
        <v>27</v>
      </c>
      <c r="P822">
        <v>50</v>
      </c>
      <c r="Q822">
        <v>90</v>
      </c>
      <c r="R822">
        <v>80</v>
      </c>
      <c r="S822">
        <v>140</v>
      </c>
      <c r="T822">
        <v>41</v>
      </c>
      <c r="U822" t="s">
        <v>36</v>
      </c>
      <c r="V822" s="2">
        <v>0.50458715596330272</v>
      </c>
      <c r="W822" s="2">
        <v>0.58715596330275233</v>
      </c>
      <c r="X822">
        <v>12</v>
      </c>
    </row>
    <row r="823" spans="1:24" x14ac:dyDescent="0.3">
      <c r="A823">
        <v>641</v>
      </c>
      <c r="B823">
        <v>10</v>
      </c>
      <c r="C823">
        <v>-13</v>
      </c>
      <c r="D823" s="1">
        <v>41739</v>
      </c>
      <c r="E823">
        <v>598</v>
      </c>
      <c r="F823">
        <v>13</v>
      </c>
      <c r="G823" t="s">
        <v>40</v>
      </c>
      <c r="H823" t="s">
        <v>23</v>
      </c>
      <c r="I823">
        <v>3</v>
      </c>
      <c r="J823" t="s">
        <v>41</v>
      </c>
      <c r="K823" t="s">
        <v>46</v>
      </c>
      <c r="L823" t="s">
        <v>47</v>
      </c>
      <c r="M823">
        <v>-3</v>
      </c>
      <c r="N823">
        <v>25</v>
      </c>
      <c r="O823" t="s">
        <v>44</v>
      </c>
      <c r="P823">
        <v>0</v>
      </c>
      <c r="Q823">
        <v>10</v>
      </c>
      <c r="R823">
        <v>10</v>
      </c>
      <c r="S823">
        <v>10</v>
      </c>
      <c r="T823">
        <v>15</v>
      </c>
      <c r="U823" t="s">
        <v>28</v>
      </c>
      <c r="V823" s="2">
        <v>-0.12</v>
      </c>
      <c r="W823" s="2">
        <v>0.6</v>
      </c>
      <c r="X823">
        <v>12</v>
      </c>
    </row>
    <row r="824" spans="1:24" x14ac:dyDescent="0.3">
      <c r="A824">
        <v>920</v>
      </c>
      <c r="B824">
        <v>86</v>
      </c>
      <c r="C824">
        <v>-9</v>
      </c>
      <c r="D824" s="1">
        <v>41740</v>
      </c>
      <c r="E824">
        <v>547</v>
      </c>
      <c r="F824">
        <v>116</v>
      </c>
      <c r="G824" t="s">
        <v>40</v>
      </c>
      <c r="H824" t="s">
        <v>23</v>
      </c>
      <c r="I824">
        <v>28</v>
      </c>
      <c r="J824" t="s">
        <v>41</v>
      </c>
      <c r="K824" t="s">
        <v>46</v>
      </c>
      <c r="L824" t="s">
        <v>47</v>
      </c>
      <c r="M824">
        <v>91</v>
      </c>
      <c r="N824">
        <v>215</v>
      </c>
      <c r="O824" t="s">
        <v>60</v>
      </c>
      <c r="P824">
        <v>80</v>
      </c>
      <c r="Q824">
        <v>120</v>
      </c>
      <c r="R824">
        <v>100</v>
      </c>
      <c r="S824">
        <v>200</v>
      </c>
      <c r="T824">
        <v>55</v>
      </c>
      <c r="U824" t="s">
        <v>28</v>
      </c>
      <c r="V824" s="2">
        <v>0.42325581395348838</v>
      </c>
      <c r="W824" s="2">
        <v>0.6</v>
      </c>
      <c r="X824">
        <v>27</v>
      </c>
    </row>
    <row r="825" spans="1:24" x14ac:dyDescent="0.3">
      <c r="A825">
        <v>573</v>
      </c>
      <c r="B825">
        <v>79</v>
      </c>
      <c r="C825">
        <v>-18</v>
      </c>
      <c r="D825" s="1">
        <v>41741</v>
      </c>
      <c r="E825">
        <v>593</v>
      </c>
      <c r="F825">
        <v>98</v>
      </c>
      <c r="G825" t="s">
        <v>40</v>
      </c>
      <c r="H825" t="s">
        <v>23</v>
      </c>
      <c r="I825">
        <v>30</v>
      </c>
      <c r="J825" t="s">
        <v>41</v>
      </c>
      <c r="K825" t="s">
        <v>46</v>
      </c>
      <c r="L825" t="s">
        <v>53</v>
      </c>
      <c r="M825">
        <v>52</v>
      </c>
      <c r="N825">
        <v>189</v>
      </c>
      <c r="O825" t="s">
        <v>59</v>
      </c>
      <c r="P825">
        <v>70</v>
      </c>
      <c r="Q825">
        <v>100</v>
      </c>
      <c r="R825">
        <v>70</v>
      </c>
      <c r="S825">
        <v>170</v>
      </c>
      <c r="T825">
        <v>63</v>
      </c>
      <c r="U825" t="s">
        <v>36</v>
      </c>
      <c r="V825" s="2">
        <v>0.27513227513227512</v>
      </c>
      <c r="W825" s="2">
        <v>0.58201058201058198</v>
      </c>
      <c r="X825">
        <v>33</v>
      </c>
    </row>
    <row r="826" spans="1:24" x14ac:dyDescent="0.3">
      <c r="A826">
        <v>414</v>
      </c>
      <c r="B826">
        <v>96</v>
      </c>
      <c r="C826">
        <v>-33</v>
      </c>
      <c r="D826" s="1">
        <v>41742</v>
      </c>
      <c r="E826">
        <v>683</v>
      </c>
      <c r="F826">
        <v>134</v>
      </c>
      <c r="G826" t="s">
        <v>40</v>
      </c>
      <c r="H826" t="s">
        <v>23</v>
      </c>
      <c r="I826">
        <v>87</v>
      </c>
      <c r="J826" t="s">
        <v>41</v>
      </c>
      <c r="K826" t="s">
        <v>46</v>
      </c>
      <c r="L826" t="s">
        <v>53</v>
      </c>
      <c r="M826">
        <v>27</v>
      </c>
      <c r="N826">
        <v>245</v>
      </c>
      <c r="O826" t="s">
        <v>60</v>
      </c>
      <c r="P826">
        <v>90</v>
      </c>
      <c r="Q826">
        <v>140</v>
      </c>
      <c r="R826">
        <v>60</v>
      </c>
      <c r="S826">
        <v>230</v>
      </c>
      <c r="T826">
        <v>116</v>
      </c>
      <c r="U826" t="s">
        <v>36</v>
      </c>
      <c r="V826" s="2">
        <v>0.11020408163265306</v>
      </c>
      <c r="W826" s="2">
        <v>0.60816326530612241</v>
      </c>
      <c r="X826">
        <v>29</v>
      </c>
    </row>
    <row r="827" spans="1:24" x14ac:dyDescent="0.3">
      <c r="A827">
        <v>573</v>
      </c>
      <c r="B827">
        <v>40</v>
      </c>
      <c r="C827">
        <v>-37</v>
      </c>
      <c r="D827" s="1">
        <v>41743</v>
      </c>
      <c r="E827">
        <v>881</v>
      </c>
      <c r="F827">
        <v>59</v>
      </c>
      <c r="G827" t="s">
        <v>40</v>
      </c>
      <c r="H827" t="s">
        <v>23</v>
      </c>
      <c r="I827">
        <v>11</v>
      </c>
      <c r="J827" t="s">
        <v>41</v>
      </c>
      <c r="K827" t="s">
        <v>42</v>
      </c>
      <c r="L827" t="s">
        <v>54</v>
      </c>
      <c r="M827">
        <v>53</v>
      </c>
      <c r="N827">
        <v>106</v>
      </c>
      <c r="O827" t="s">
        <v>59</v>
      </c>
      <c r="P827">
        <v>50</v>
      </c>
      <c r="Q827">
        <v>90</v>
      </c>
      <c r="R827">
        <v>90</v>
      </c>
      <c r="S827">
        <v>140</v>
      </c>
      <c r="T827">
        <v>23</v>
      </c>
      <c r="U827" t="s">
        <v>36</v>
      </c>
      <c r="V827" s="2">
        <v>0.5</v>
      </c>
      <c r="W827" s="2">
        <v>0.62264150943396224</v>
      </c>
      <c r="X827">
        <v>12</v>
      </c>
    </row>
    <row r="828" spans="1:24" x14ac:dyDescent="0.3">
      <c r="A828">
        <v>262</v>
      </c>
      <c r="B828">
        <v>80</v>
      </c>
      <c r="C828">
        <v>-49</v>
      </c>
      <c r="D828" s="1">
        <v>41744</v>
      </c>
      <c r="E828">
        <v>1055</v>
      </c>
      <c r="F828">
        <v>94</v>
      </c>
      <c r="G828" t="s">
        <v>40</v>
      </c>
      <c r="H828" t="s">
        <v>23</v>
      </c>
      <c r="I828">
        <v>24</v>
      </c>
      <c r="J828" t="s">
        <v>41</v>
      </c>
      <c r="K828" t="s">
        <v>42</v>
      </c>
      <c r="L828" t="s">
        <v>54</v>
      </c>
      <c r="M828">
        <v>71</v>
      </c>
      <c r="N828">
        <v>185</v>
      </c>
      <c r="O828" t="s">
        <v>60</v>
      </c>
      <c r="P828">
        <v>110</v>
      </c>
      <c r="Q828">
        <v>140</v>
      </c>
      <c r="R828">
        <v>120</v>
      </c>
      <c r="S828">
        <v>250</v>
      </c>
      <c r="T828">
        <v>46</v>
      </c>
      <c r="U828" t="s">
        <v>36</v>
      </c>
      <c r="V828" s="2">
        <v>0.38378378378378381</v>
      </c>
      <c r="W828" s="2">
        <v>0.56756756756756754</v>
      </c>
      <c r="X828">
        <v>22</v>
      </c>
    </row>
    <row r="829" spans="1:24" x14ac:dyDescent="0.3">
      <c r="A829">
        <v>319</v>
      </c>
      <c r="B829">
        <v>257</v>
      </c>
      <c r="C829">
        <v>122</v>
      </c>
      <c r="D829" s="1">
        <v>41745</v>
      </c>
      <c r="E829">
        <v>1662</v>
      </c>
      <c r="F829">
        <v>341</v>
      </c>
      <c r="G829" t="s">
        <v>40</v>
      </c>
      <c r="H829" t="s">
        <v>23</v>
      </c>
      <c r="I829">
        <v>84</v>
      </c>
      <c r="J829" t="s">
        <v>24</v>
      </c>
      <c r="K829" t="s">
        <v>25</v>
      </c>
      <c r="L829" t="s">
        <v>58</v>
      </c>
      <c r="M829">
        <v>332</v>
      </c>
      <c r="N829">
        <v>637</v>
      </c>
      <c r="O829" t="s">
        <v>44</v>
      </c>
      <c r="P829">
        <v>200</v>
      </c>
      <c r="Q829">
        <v>280</v>
      </c>
      <c r="R829">
        <v>210</v>
      </c>
      <c r="S829">
        <v>480</v>
      </c>
      <c r="T829">
        <v>117</v>
      </c>
      <c r="U829" t="s">
        <v>28</v>
      </c>
      <c r="V829" s="2">
        <v>0.52119309262166402</v>
      </c>
      <c r="W829" s="2">
        <v>0.59654631083202514</v>
      </c>
      <c r="X829">
        <v>33</v>
      </c>
    </row>
    <row r="830" spans="1:24" x14ac:dyDescent="0.3">
      <c r="A830">
        <v>515</v>
      </c>
      <c r="B830">
        <v>122</v>
      </c>
      <c r="C830">
        <v>39</v>
      </c>
      <c r="D830" s="1">
        <v>41746</v>
      </c>
      <c r="E830">
        <v>789</v>
      </c>
      <c r="F830">
        <v>176</v>
      </c>
      <c r="G830" t="s">
        <v>40</v>
      </c>
      <c r="H830" t="s">
        <v>23</v>
      </c>
      <c r="I830">
        <v>39</v>
      </c>
      <c r="J830" t="s">
        <v>24</v>
      </c>
      <c r="K830" t="s">
        <v>25</v>
      </c>
      <c r="L830" t="s">
        <v>26</v>
      </c>
      <c r="M830">
        <v>169</v>
      </c>
      <c r="N830">
        <v>318</v>
      </c>
      <c r="O830" t="s">
        <v>44</v>
      </c>
      <c r="P830">
        <v>90</v>
      </c>
      <c r="Q830">
        <v>150</v>
      </c>
      <c r="R830">
        <v>130</v>
      </c>
      <c r="S830">
        <v>240</v>
      </c>
      <c r="T830">
        <v>62</v>
      </c>
      <c r="U830" t="s">
        <v>28</v>
      </c>
      <c r="V830" s="2">
        <v>0.53144654088050314</v>
      </c>
      <c r="W830" s="2">
        <v>0.61635220125786161</v>
      </c>
      <c r="X830">
        <v>23</v>
      </c>
    </row>
    <row r="831" spans="1:24" x14ac:dyDescent="0.3">
      <c r="A831">
        <v>417</v>
      </c>
      <c r="B831">
        <v>86</v>
      </c>
      <c r="C831">
        <v>-49</v>
      </c>
      <c r="D831" s="1">
        <v>41747</v>
      </c>
      <c r="E831">
        <v>1698</v>
      </c>
      <c r="F831">
        <v>23</v>
      </c>
      <c r="G831" t="s">
        <v>40</v>
      </c>
      <c r="H831" t="s">
        <v>23</v>
      </c>
      <c r="I831">
        <v>26</v>
      </c>
      <c r="J831" t="s">
        <v>24</v>
      </c>
      <c r="K831" t="s">
        <v>25</v>
      </c>
      <c r="L831" t="s">
        <v>26</v>
      </c>
      <c r="M831">
        <v>-39</v>
      </c>
      <c r="N831">
        <v>116</v>
      </c>
      <c r="O831" t="s">
        <v>59</v>
      </c>
      <c r="P831">
        <v>60</v>
      </c>
      <c r="Q831">
        <v>20</v>
      </c>
      <c r="R831">
        <v>10</v>
      </c>
      <c r="S831">
        <v>80</v>
      </c>
      <c r="T831">
        <v>49</v>
      </c>
      <c r="U831" t="s">
        <v>28</v>
      </c>
      <c r="V831" s="2">
        <v>-0.33620689655172414</v>
      </c>
      <c r="W831" s="2">
        <v>0.25862068965517243</v>
      </c>
      <c r="X831">
        <v>23</v>
      </c>
    </row>
    <row r="832" spans="1:24" x14ac:dyDescent="0.3">
      <c r="A832">
        <v>515</v>
      </c>
      <c r="B832">
        <v>239</v>
      </c>
      <c r="C832">
        <v>111</v>
      </c>
      <c r="D832" s="1">
        <v>41748</v>
      </c>
      <c r="E832">
        <v>1755</v>
      </c>
      <c r="F832">
        <v>239</v>
      </c>
      <c r="G832" t="s">
        <v>40</v>
      </c>
      <c r="H832" t="s">
        <v>23</v>
      </c>
      <c r="I832">
        <v>66</v>
      </c>
      <c r="J832" t="s">
        <v>24</v>
      </c>
      <c r="K832" t="s">
        <v>33</v>
      </c>
      <c r="L832" t="s">
        <v>34</v>
      </c>
      <c r="M832">
        <v>221</v>
      </c>
      <c r="N832">
        <v>509</v>
      </c>
      <c r="O832" t="s">
        <v>44</v>
      </c>
      <c r="P832">
        <v>170</v>
      </c>
      <c r="Q832">
        <v>170</v>
      </c>
      <c r="R832">
        <v>110</v>
      </c>
      <c r="S832">
        <v>340</v>
      </c>
      <c r="T832">
        <v>90</v>
      </c>
      <c r="U832" t="s">
        <v>36</v>
      </c>
      <c r="V832" s="2">
        <v>0.43418467583497056</v>
      </c>
      <c r="W832" s="2">
        <v>0.53045186640471509</v>
      </c>
      <c r="X832">
        <v>24</v>
      </c>
    </row>
    <row r="833" spans="1:24" x14ac:dyDescent="0.3">
      <c r="A833">
        <v>515</v>
      </c>
      <c r="B833">
        <v>255</v>
      </c>
      <c r="C833">
        <v>142</v>
      </c>
      <c r="D833" s="1">
        <v>41749</v>
      </c>
      <c r="E833">
        <v>1756</v>
      </c>
      <c r="F833">
        <v>312</v>
      </c>
      <c r="G833" t="s">
        <v>40</v>
      </c>
      <c r="H833" t="s">
        <v>23</v>
      </c>
      <c r="I833">
        <v>96</v>
      </c>
      <c r="J833" t="s">
        <v>24</v>
      </c>
      <c r="K833" t="s">
        <v>33</v>
      </c>
      <c r="L833" t="s">
        <v>62</v>
      </c>
      <c r="M833">
        <v>272</v>
      </c>
      <c r="N833">
        <v>604</v>
      </c>
      <c r="O833" t="s">
        <v>44</v>
      </c>
      <c r="P833">
        <v>170</v>
      </c>
      <c r="Q833">
        <v>230</v>
      </c>
      <c r="R833">
        <v>130</v>
      </c>
      <c r="S833">
        <v>400</v>
      </c>
      <c r="T833">
        <v>129</v>
      </c>
      <c r="U833" t="s">
        <v>36</v>
      </c>
      <c r="V833" s="2">
        <v>0.45033112582781459</v>
      </c>
      <c r="W833" s="2">
        <v>0.57781456953642385</v>
      </c>
      <c r="X833">
        <v>33</v>
      </c>
    </row>
    <row r="834" spans="1:24" x14ac:dyDescent="0.3">
      <c r="A834">
        <v>573</v>
      </c>
      <c r="B834">
        <v>25</v>
      </c>
      <c r="C834">
        <v>-16</v>
      </c>
      <c r="D834" s="1">
        <v>41750</v>
      </c>
      <c r="E834">
        <v>209</v>
      </c>
      <c r="F834">
        <v>31</v>
      </c>
      <c r="G834" t="s">
        <v>40</v>
      </c>
      <c r="H834" t="s">
        <v>23</v>
      </c>
      <c r="I834">
        <v>9</v>
      </c>
      <c r="J834" t="s">
        <v>24</v>
      </c>
      <c r="K834" t="s">
        <v>33</v>
      </c>
      <c r="L834" t="s">
        <v>62</v>
      </c>
      <c r="M834">
        <v>-16</v>
      </c>
      <c r="N834">
        <v>60</v>
      </c>
      <c r="O834" t="s">
        <v>59</v>
      </c>
      <c r="P834">
        <v>10</v>
      </c>
      <c r="Q834">
        <v>20</v>
      </c>
      <c r="R834">
        <v>0</v>
      </c>
      <c r="S834">
        <v>30</v>
      </c>
      <c r="T834">
        <v>42</v>
      </c>
      <c r="U834" t="s">
        <v>36</v>
      </c>
      <c r="V834" s="2">
        <v>-0.26666666666666666</v>
      </c>
      <c r="W834" s="2">
        <v>0.58333333333333337</v>
      </c>
      <c r="X834">
        <v>33</v>
      </c>
    </row>
    <row r="835" spans="1:24" x14ac:dyDescent="0.3">
      <c r="A835">
        <v>720</v>
      </c>
      <c r="B835">
        <v>81</v>
      </c>
      <c r="C835">
        <v>45</v>
      </c>
      <c r="D835" s="1">
        <v>41751</v>
      </c>
      <c r="E835">
        <v>984</v>
      </c>
      <c r="F835">
        <v>117</v>
      </c>
      <c r="G835" t="s">
        <v>22</v>
      </c>
      <c r="H835" t="s">
        <v>23</v>
      </c>
      <c r="I835">
        <v>22</v>
      </c>
      <c r="J835" t="s">
        <v>41</v>
      </c>
      <c r="K835" t="s">
        <v>46</v>
      </c>
      <c r="L835" t="s">
        <v>47</v>
      </c>
      <c r="M835">
        <v>125</v>
      </c>
      <c r="N835">
        <v>211</v>
      </c>
      <c r="O835" t="s">
        <v>27</v>
      </c>
      <c r="P835">
        <v>80</v>
      </c>
      <c r="Q835">
        <v>110</v>
      </c>
      <c r="R835">
        <v>80</v>
      </c>
      <c r="S835">
        <v>190</v>
      </c>
      <c r="T835">
        <v>33</v>
      </c>
      <c r="U835" t="s">
        <v>28</v>
      </c>
      <c r="V835" s="2">
        <v>0.59241706161137442</v>
      </c>
      <c r="W835" s="2">
        <v>0.61611374407582942</v>
      </c>
      <c r="X835">
        <v>11</v>
      </c>
    </row>
    <row r="836" spans="1:24" x14ac:dyDescent="0.3">
      <c r="A836">
        <v>847</v>
      </c>
      <c r="B836">
        <v>113</v>
      </c>
      <c r="C836">
        <v>47</v>
      </c>
      <c r="D836" s="1">
        <v>41752</v>
      </c>
      <c r="E836">
        <v>803</v>
      </c>
      <c r="F836">
        <v>165</v>
      </c>
      <c r="G836" t="s">
        <v>22</v>
      </c>
      <c r="H836" t="s">
        <v>23</v>
      </c>
      <c r="I836">
        <v>36</v>
      </c>
      <c r="J836" t="s">
        <v>41</v>
      </c>
      <c r="K836" t="s">
        <v>46</v>
      </c>
      <c r="L836" t="s">
        <v>47</v>
      </c>
      <c r="M836">
        <v>157</v>
      </c>
      <c r="N836">
        <v>296</v>
      </c>
      <c r="O836" t="s">
        <v>64</v>
      </c>
      <c r="P836">
        <v>110</v>
      </c>
      <c r="Q836">
        <v>160</v>
      </c>
      <c r="R836">
        <v>110</v>
      </c>
      <c r="S836">
        <v>270</v>
      </c>
      <c r="T836">
        <v>59</v>
      </c>
      <c r="U836" t="s">
        <v>28</v>
      </c>
      <c r="V836" s="2">
        <v>0.53040540540540537</v>
      </c>
      <c r="W836" s="2">
        <v>0.6182432432432432</v>
      </c>
      <c r="X836">
        <v>23</v>
      </c>
    </row>
    <row r="837" spans="1:24" x14ac:dyDescent="0.3">
      <c r="A837">
        <v>970</v>
      </c>
      <c r="B837">
        <v>75</v>
      </c>
      <c r="C837">
        <v>-14</v>
      </c>
      <c r="D837" s="1">
        <v>41753</v>
      </c>
      <c r="E837">
        <v>659</v>
      </c>
      <c r="F837">
        <v>114</v>
      </c>
      <c r="G837" t="s">
        <v>22</v>
      </c>
      <c r="H837" t="s">
        <v>23</v>
      </c>
      <c r="I837">
        <v>24</v>
      </c>
      <c r="J837" t="s">
        <v>41</v>
      </c>
      <c r="K837" t="s">
        <v>42</v>
      </c>
      <c r="L837" t="s">
        <v>43</v>
      </c>
      <c r="M837">
        <v>86</v>
      </c>
      <c r="N837">
        <v>201</v>
      </c>
      <c r="O837" t="s">
        <v>27</v>
      </c>
      <c r="P837">
        <v>90</v>
      </c>
      <c r="Q837">
        <v>150</v>
      </c>
      <c r="R837">
        <v>100</v>
      </c>
      <c r="S837">
        <v>240</v>
      </c>
      <c r="T837">
        <v>56</v>
      </c>
      <c r="U837" t="s">
        <v>28</v>
      </c>
      <c r="V837" s="2">
        <v>0.42786069651741293</v>
      </c>
      <c r="W837" s="2">
        <v>0.62686567164179108</v>
      </c>
      <c r="X837">
        <v>32</v>
      </c>
    </row>
    <row r="838" spans="1:24" x14ac:dyDescent="0.3">
      <c r="A838">
        <v>847</v>
      </c>
      <c r="B838">
        <v>211</v>
      </c>
      <c r="C838">
        <v>-9</v>
      </c>
      <c r="D838" s="1">
        <v>41754</v>
      </c>
      <c r="E838">
        <v>1778</v>
      </c>
      <c r="F838">
        <v>212</v>
      </c>
      <c r="G838" t="s">
        <v>22</v>
      </c>
      <c r="H838" t="s">
        <v>23</v>
      </c>
      <c r="I838">
        <v>59</v>
      </c>
      <c r="J838" t="s">
        <v>41</v>
      </c>
      <c r="K838" t="s">
        <v>42</v>
      </c>
      <c r="L838" t="s">
        <v>43</v>
      </c>
      <c r="M838">
        <v>191</v>
      </c>
      <c r="N838">
        <v>451</v>
      </c>
      <c r="O838" t="s">
        <v>64</v>
      </c>
      <c r="P838">
        <v>270</v>
      </c>
      <c r="Q838">
        <v>270</v>
      </c>
      <c r="R838">
        <v>200</v>
      </c>
      <c r="S838">
        <v>540</v>
      </c>
      <c r="T838">
        <v>83</v>
      </c>
      <c r="U838" t="s">
        <v>28</v>
      </c>
      <c r="V838" s="2">
        <v>0.42350332594235035</v>
      </c>
      <c r="W838" s="2">
        <v>0.53215077605321504</v>
      </c>
      <c r="X838">
        <v>24</v>
      </c>
    </row>
    <row r="839" spans="1:24" x14ac:dyDescent="0.3">
      <c r="A839">
        <v>719</v>
      </c>
      <c r="B839">
        <v>118</v>
      </c>
      <c r="C839">
        <v>60</v>
      </c>
      <c r="D839" s="1">
        <v>41755</v>
      </c>
      <c r="E839">
        <v>930</v>
      </c>
      <c r="F839">
        <v>172</v>
      </c>
      <c r="G839" t="s">
        <v>22</v>
      </c>
      <c r="H839" t="s">
        <v>23</v>
      </c>
      <c r="I839">
        <v>33</v>
      </c>
      <c r="J839" t="s">
        <v>41</v>
      </c>
      <c r="K839" t="s">
        <v>46</v>
      </c>
      <c r="L839" t="s">
        <v>51</v>
      </c>
      <c r="M839">
        <v>190</v>
      </c>
      <c r="N839">
        <v>309</v>
      </c>
      <c r="O839" t="s">
        <v>27</v>
      </c>
      <c r="P839">
        <v>110</v>
      </c>
      <c r="Q839">
        <v>170</v>
      </c>
      <c r="R839">
        <v>130</v>
      </c>
      <c r="S839">
        <v>280</v>
      </c>
      <c r="T839">
        <v>44</v>
      </c>
      <c r="U839" t="s">
        <v>36</v>
      </c>
      <c r="V839" s="2">
        <v>0.61488673139158578</v>
      </c>
      <c r="W839" s="2">
        <v>0.6181229773462783</v>
      </c>
      <c r="X839">
        <v>11</v>
      </c>
    </row>
    <row r="840" spans="1:24" x14ac:dyDescent="0.3">
      <c r="A840">
        <v>815</v>
      </c>
      <c r="B840">
        <v>173</v>
      </c>
      <c r="C840">
        <v>66</v>
      </c>
      <c r="D840" s="1">
        <v>41756</v>
      </c>
      <c r="E840">
        <v>1150</v>
      </c>
      <c r="F840">
        <v>239</v>
      </c>
      <c r="G840" t="s">
        <v>22</v>
      </c>
      <c r="H840" t="s">
        <v>23</v>
      </c>
      <c r="I840">
        <v>57</v>
      </c>
      <c r="J840" t="s">
        <v>41</v>
      </c>
      <c r="K840" t="s">
        <v>46</v>
      </c>
      <c r="L840" t="s">
        <v>53</v>
      </c>
      <c r="M840">
        <v>206</v>
      </c>
      <c r="N840">
        <v>439</v>
      </c>
      <c r="O840" t="s">
        <v>64</v>
      </c>
      <c r="P840">
        <v>170</v>
      </c>
      <c r="Q840">
        <v>230</v>
      </c>
      <c r="R840">
        <v>140</v>
      </c>
      <c r="S840">
        <v>400</v>
      </c>
      <c r="T840">
        <v>100</v>
      </c>
      <c r="U840" t="s">
        <v>36</v>
      </c>
      <c r="V840" s="2">
        <v>0.46924829157175396</v>
      </c>
      <c r="W840" s="2">
        <v>0.60592255125284733</v>
      </c>
      <c r="X840">
        <v>43</v>
      </c>
    </row>
    <row r="841" spans="1:24" x14ac:dyDescent="0.3">
      <c r="A841">
        <v>303</v>
      </c>
      <c r="B841">
        <v>50</v>
      </c>
      <c r="C841">
        <v>1</v>
      </c>
      <c r="D841" s="1">
        <v>41757</v>
      </c>
      <c r="E841">
        <v>589</v>
      </c>
      <c r="F841">
        <v>73</v>
      </c>
      <c r="G841" t="s">
        <v>22</v>
      </c>
      <c r="H841" t="s">
        <v>23</v>
      </c>
      <c r="I841">
        <v>14</v>
      </c>
      <c r="J841" t="s">
        <v>41</v>
      </c>
      <c r="K841" t="s">
        <v>42</v>
      </c>
      <c r="L841" t="s">
        <v>54</v>
      </c>
      <c r="M841">
        <v>71</v>
      </c>
      <c r="N841">
        <v>131</v>
      </c>
      <c r="O841" t="s">
        <v>27</v>
      </c>
      <c r="P841">
        <v>60</v>
      </c>
      <c r="Q841">
        <v>90</v>
      </c>
      <c r="R841">
        <v>70</v>
      </c>
      <c r="S841">
        <v>150</v>
      </c>
      <c r="T841">
        <v>25</v>
      </c>
      <c r="U841" t="s">
        <v>36</v>
      </c>
      <c r="V841" s="2">
        <v>0.5419847328244275</v>
      </c>
      <c r="W841" s="2">
        <v>0.61832061068702293</v>
      </c>
      <c r="X841">
        <v>11</v>
      </c>
    </row>
    <row r="842" spans="1:24" x14ac:dyDescent="0.3">
      <c r="A842">
        <v>630</v>
      </c>
      <c r="B842">
        <v>228</v>
      </c>
      <c r="C842">
        <v>1</v>
      </c>
      <c r="D842" s="1">
        <v>41758</v>
      </c>
      <c r="E842">
        <v>1691</v>
      </c>
      <c r="F842">
        <v>304</v>
      </c>
      <c r="G842" t="s">
        <v>22</v>
      </c>
      <c r="H842" t="s">
        <v>23</v>
      </c>
      <c r="I842">
        <v>75</v>
      </c>
      <c r="J842" t="s">
        <v>41</v>
      </c>
      <c r="K842" t="s">
        <v>42</v>
      </c>
      <c r="L842" t="s">
        <v>54</v>
      </c>
      <c r="M842">
        <v>291</v>
      </c>
      <c r="N842">
        <v>567</v>
      </c>
      <c r="O842" t="s">
        <v>64</v>
      </c>
      <c r="P842">
        <v>290</v>
      </c>
      <c r="Q842">
        <v>390</v>
      </c>
      <c r="R842">
        <v>290</v>
      </c>
      <c r="S842">
        <v>680</v>
      </c>
      <c r="T842">
        <v>108</v>
      </c>
      <c r="U842" t="s">
        <v>36</v>
      </c>
      <c r="V842" s="2">
        <v>0.51322751322751325</v>
      </c>
      <c r="W842" s="2">
        <v>0.59788359788359791</v>
      </c>
      <c r="X842">
        <v>33</v>
      </c>
    </row>
    <row r="843" spans="1:24" x14ac:dyDescent="0.3">
      <c r="A843">
        <v>234</v>
      </c>
      <c r="B843">
        <v>181</v>
      </c>
      <c r="C843">
        <v>-11</v>
      </c>
      <c r="D843" s="1">
        <v>41759</v>
      </c>
      <c r="E843">
        <v>1283</v>
      </c>
      <c r="F843">
        <v>182</v>
      </c>
      <c r="G843" t="s">
        <v>22</v>
      </c>
      <c r="H843" t="s">
        <v>23</v>
      </c>
      <c r="I843">
        <v>50</v>
      </c>
      <c r="J843" t="s">
        <v>41</v>
      </c>
      <c r="K843" t="s">
        <v>42</v>
      </c>
      <c r="L843" t="s">
        <v>54</v>
      </c>
      <c r="M843">
        <v>159</v>
      </c>
      <c r="N843">
        <v>387</v>
      </c>
      <c r="O843" t="s">
        <v>66</v>
      </c>
      <c r="P843">
        <v>230</v>
      </c>
      <c r="Q843">
        <v>230</v>
      </c>
      <c r="R843">
        <v>170</v>
      </c>
      <c r="S843">
        <v>460</v>
      </c>
      <c r="T843">
        <v>75</v>
      </c>
      <c r="U843" t="s">
        <v>36</v>
      </c>
      <c r="V843" s="2">
        <v>0.41085271317829458</v>
      </c>
      <c r="W843" s="2">
        <v>0.53229974160206717</v>
      </c>
      <c r="X843">
        <v>25</v>
      </c>
    </row>
    <row r="844" spans="1:24" x14ac:dyDescent="0.3">
      <c r="A844">
        <v>970</v>
      </c>
      <c r="B844">
        <v>181</v>
      </c>
      <c r="C844">
        <v>59</v>
      </c>
      <c r="D844" s="1">
        <v>41760</v>
      </c>
      <c r="E844">
        <v>1283</v>
      </c>
      <c r="F844">
        <v>182</v>
      </c>
      <c r="G844" t="s">
        <v>22</v>
      </c>
      <c r="H844" t="s">
        <v>23</v>
      </c>
      <c r="I844">
        <v>50</v>
      </c>
      <c r="J844" t="s">
        <v>24</v>
      </c>
      <c r="K844" t="s">
        <v>25</v>
      </c>
      <c r="L844" t="s">
        <v>58</v>
      </c>
      <c r="M844">
        <v>159</v>
      </c>
      <c r="N844">
        <v>387</v>
      </c>
      <c r="O844" t="s">
        <v>27</v>
      </c>
      <c r="P844">
        <v>170</v>
      </c>
      <c r="Q844">
        <v>160</v>
      </c>
      <c r="R844">
        <v>100</v>
      </c>
      <c r="S844">
        <v>330</v>
      </c>
      <c r="T844">
        <v>75</v>
      </c>
      <c r="U844" t="s">
        <v>28</v>
      </c>
      <c r="V844" s="2">
        <v>0.41085271317829458</v>
      </c>
      <c r="W844" s="2">
        <v>0.53229974160206717</v>
      </c>
      <c r="X844">
        <v>25</v>
      </c>
    </row>
    <row r="845" spans="1:24" x14ac:dyDescent="0.3">
      <c r="A845">
        <v>708</v>
      </c>
      <c r="B845">
        <v>118</v>
      </c>
      <c r="C845">
        <v>78</v>
      </c>
      <c r="D845" s="1">
        <v>41761</v>
      </c>
      <c r="E845">
        <v>930</v>
      </c>
      <c r="F845">
        <v>172</v>
      </c>
      <c r="G845" t="s">
        <v>22</v>
      </c>
      <c r="H845" t="s">
        <v>23</v>
      </c>
      <c r="I845">
        <v>33</v>
      </c>
      <c r="J845" t="s">
        <v>24</v>
      </c>
      <c r="K845" t="s">
        <v>25</v>
      </c>
      <c r="L845" t="s">
        <v>58</v>
      </c>
      <c r="M845">
        <v>188</v>
      </c>
      <c r="N845">
        <v>309</v>
      </c>
      <c r="O845" t="s">
        <v>64</v>
      </c>
      <c r="P845">
        <v>110</v>
      </c>
      <c r="Q845">
        <v>150</v>
      </c>
      <c r="R845">
        <v>110</v>
      </c>
      <c r="S845">
        <v>260</v>
      </c>
      <c r="T845">
        <v>45</v>
      </c>
      <c r="U845" t="s">
        <v>28</v>
      </c>
      <c r="V845" s="2">
        <v>0.60841423948220064</v>
      </c>
      <c r="W845" s="2">
        <v>0.6181229773462783</v>
      </c>
      <c r="X845">
        <v>12</v>
      </c>
    </row>
    <row r="846" spans="1:24" x14ac:dyDescent="0.3">
      <c r="A846">
        <v>708</v>
      </c>
      <c r="B846">
        <v>81</v>
      </c>
      <c r="C846">
        <v>45</v>
      </c>
      <c r="D846" s="1">
        <v>41762</v>
      </c>
      <c r="E846">
        <v>984</v>
      </c>
      <c r="F846">
        <v>117</v>
      </c>
      <c r="G846" t="s">
        <v>22</v>
      </c>
      <c r="H846" t="s">
        <v>23</v>
      </c>
      <c r="I846">
        <v>22</v>
      </c>
      <c r="J846" t="s">
        <v>24</v>
      </c>
      <c r="K846" t="s">
        <v>25</v>
      </c>
      <c r="L846" t="s">
        <v>29</v>
      </c>
      <c r="M846">
        <v>125</v>
      </c>
      <c r="N846">
        <v>211</v>
      </c>
      <c r="O846" t="s">
        <v>64</v>
      </c>
      <c r="P846">
        <v>70</v>
      </c>
      <c r="Q846">
        <v>110</v>
      </c>
      <c r="R846">
        <v>80</v>
      </c>
      <c r="S846">
        <v>180</v>
      </c>
      <c r="T846">
        <v>33</v>
      </c>
      <c r="U846" t="s">
        <v>28</v>
      </c>
      <c r="V846" s="2">
        <v>0.59241706161137442</v>
      </c>
      <c r="W846" s="2">
        <v>0.61611374407582942</v>
      </c>
      <c r="X846">
        <v>11</v>
      </c>
    </row>
    <row r="847" spans="1:24" x14ac:dyDescent="0.3">
      <c r="A847">
        <v>614</v>
      </c>
      <c r="B847">
        <v>78</v>
      </c>
      <c r="C847">
        <v>32</v>
      </c>
      <c r="D847" s="1">
        <v>41763</v>
      </c>
      <c r="E847">
        <v>798</v>
      </c>
      <c r="F847">
        <v>119</v>
      </c>
      <c r="G847" t="s">
        <v>22</v>
      </c>
      <c r="H847" t="s">
        <v>23</v>
      </c>
      <c r="I847">
        <v>25</v>
      </c>
      <c r="J847" t="s">
        <v>24</v>
      </c>
      <c r="K847" t="s">
        <v>33</v>
      </c>
      <c r="L847" t="s">
        <v>34</v>
      </c>
      <c r="M847">
        <v>92</v>
      </c>
      <c r="N847">
        <v>210</v>
      </c>
      <c r="O847" t="s">
        <v>66</v>
      </c>
      <c r="P847">
        <v>60</v>
      </c>
      <c r="Q847">
        <v>100</v>
      </c>
      <c r="R847">
        <v>60</v>
      </c>
      <c r="S847">
        <v>160</v>
      </c>
      <c r="T847">
        <v>57</v>
      </c>
      <c r="U847" t="s">
        <v>36</v>
      </c>
      <c r="V847" s="2">
        <v>0.43809523809523809</v>
      </c>
      <c r="W847" s="2">
        <v>0.62857142857142856</v>
      </c>
      <c r="X847">
        <v>32</v>
      </c>
    </row>
    <row r="848" spans="1:24" x14ac:dyDescent="0.3">
      <c r="A848">
        <v>309</v>
      </c>
      <c r="B848">
        <v>75</v>
      </c>
      <c r="C848">
        <v>38</v>
      </c>
      <c r="D848" s="1">
        <v>41764</v>
      </c>
      <c r="E848">
        <v>659</v>
      </c>
      <c r="F848">
        <v>114</v>
      </c>
      <c r="G848" t="s">
        <v>22</v>
      </c>
      <c r="H848" t="s">
        <v>23</v>
      </c>
      <c r="I848">
        <v>24</v>
      </c>
      <c r="J848" t="s">
        <v>24</v>
      </c>
      <c r="K848" t="s">
        <v>33</v>
      </c>
      <c r="L848" t="s">
        <v>62</v>
      </c>
      <c r="M848">
        <v>88</v>
      </c>
      <c r="N848">
        <v>201</v>
      </c>
      <c r="O848" t="s">
        <v>64</v>
      </c>
      <c r="P848">
        <v>60</v>
      </c>
      <c r="Q848">
        <v>90</v>
      </c>
      <c r="R848">
        <v>50</v>
      </c>
      <c r="S848">
        <v>150</v>
      </c>
      <c r="T848">
        <v>55</v>
      </c>
      <c r="U848" t="s">
        <v>36</v>
      </c>
      <c r="V848" s="2">
        <v>0.43781094527363185</v>
      </c>
      <c r="W848" s="2">
        <v>0.62686567164179108</v>
      </c>
      <c r="X848">
        <v>31</v>
      </c>
    </row>
    <row r="849" spans="1:24" x14ac:dyDescent="0.3">
      <c r="A849">
        <v>740</v>
      </c>
      <c r="B849">
        <v>102</v>
      </c>
      <c r="C849">
        <v>62</v>
      </c>
      <c r="D849" s="1">
        <v>41765</v>
      </c>
      <c r="E849">
        <v>666</v>
      </c>
      <c r="F849">
        <v>143</v>
      </c>
      <c r="G849" t="s">
        <v>22</v>
      </c>
      <c r="H849" t="s">
        <v>23</v>
      </c>
      <c r="I849">
        <v>31</v>
      </c>
      <c r="J849" t="s">
        <v>24</v>
      </c>
      <c r="K849" t="s">
        <v>33</v>
      </c>
      <c r="L849" t="s">
        <v>62</v>
      </c>
      <c r="M849">
        <v>132</v>
      </c>
      <c r="N849">
        <v>261</v>
      </c>
      <c r="O849" t="s">
        <v>66</v>
      </c>
      <c r="P849">
        <v>80</v>
      </c>
      <c r="Q849">
        <v>120</v>
      </c>
      <c r="R849">
        <v>70</v>
      </c>
      <c r="S849">
        <v>200</v>
      </c>
      <c r="T849">
        <v>54</v>
      </c>
      <c r="U849" t="s">
        <v>36</v>
      </c>
      <c r="V849" s="2">
        <v>0.50574712643678166</v>
      </c>
      <c r="W849" s="2">
        <v>0.60919540229885061</v>
      </c>
      <c r="X849">
        <v>23</v>
      </c>
    </row>
    <row r="850" spans="1:24" x14ac:dyDescent="0.3">
      <c r="A850">
        <v>970</v>
      </c>
      <c r="B850">
        <v>88</v>
      </c>
      <c r="C850">
        <v>44</v>
      </c>
      <c r="D850" s="1">
        <v>41766</v>
      </c>
      <c r="E850">
        <v>561</v>
      </c>
      <c r="F850">
        <v>112</v>
      </c>
      <c r="G850" t="s">
        <v>22</v>
      </c>
      <c r="H850" t="s">
        <v>23</v>
      </c>
      <c r="I850">
        <v>29</v>
      </c>
      <c r="J850" t="s">
        <v>24</v>
      </c>
      <c r="K850" t="s">
        <v>33</v>
      </c>
      <c r="L850" t="s">
        <v>38</v>
      </c>
      <c r="M850">
        <v>104</v>
      </c>
      <c r="N850">
        <v>213</v>
      </c>
      <c r="O850" t="s">
        <v>27</v>
      </c>
      <c r="P850">
        <v>70</v>
      </c>
      <c r="Q850">
        <v>90</v>
      </c>
      <c r="R850">
        <v>60</v>
      </c>
      <c r="S850">
        <v>160</v>
      </c>
      <c r="T850">
        <v>42</v>
      </c>
      <c r="U850" t="s">
        <v>36</v>
      </c>
      <c r="V850" s="2">
        <v>0.48826291079812206</v>
      </c>
      <c r="W850" s="2">
        <v>0.58685446009389675</v>
      </c>
      <c r="X850">
        <v>13</v>
      </c>
    </row>
    <row r="851" spans="1:24" x14ac:dyDescent="0.3">
      <c r="A851">
        <v>319</v>
      </c>
      <c r="B851">
        <v>10</v>
      </c>
      <c r="C851">
        <v>-14</v>
      </c>
      <c r="D851" s="1">
        <v>41767</v>
      </c>
      <c r="E851">
        <v>596</v>
      </c>
      <c r="F851">
        <v>13</v>
      </c>
      <c r="G851" t="s">
        <v>40</v>
      </c>
      <c r="H851" t="s">
        <v>23</v>
      </c>
      <c r="I851">
        <v>3</v>
      </c>
      <c r="J851" t="s">
        <v>41</v>
      </c>
      <c r="K851" t="s">
        <v>46</v>
      </c>
      <c r="L851" t="s">
        <v>47</v>
      </c>
      <c r="M851">
        <v>-4</v>
      </c>
      <c r="N851">
        <v>25</v>
      </c>
      <c r="O851" t="s">
        <v>44</v>
      </c>
      <c r="P851">
        <v>0</v>
      </c>
      <c r="Q851">
        <v>20</v>
      </c>
      <c r="R851">
        <v>10</v>
      </c>
      <c r="S851">
        <v>20</v>
      </c>
      <c r="T851">
        <v>16</v>
      </c>
      <c r="U851" t="s">
        <v>28</v>
      </c>
      <c r="V851" s="2">
        <v>-0.16</v>
      </c>
      <c r="W851" s="2">
        <v>0.6</v>
      </c>
      <c r="X851">
        <v>13</v>
      </c>
    </row>
    <row r="852" spans="1:24" x14ac:dyDescent="0.3">
      <c r="A852">
        <v>920</v>
      </c>
      <c r="B852">
        <v>77</v>
      </c>
      <c r="C852">
        <v>16</v>
      </c>
      <c r="D852" s="1">
        <v>41768</v>
      </c>
      <c r="E852">
        <v>557</v>
      </c>
      <c r="F852">
        <v>103</v>
      </c>
      <c r="G852" t="s">
        <v>40</v>
      </c>
      <c r="H852" t="s">
        <v>23</v>
      </c>
      <c r="I852">
        <v>25</v>
      </c>
      <c r="J852" t="s">
        <v>41</v>
      </c>
      <c r="K852" t="s">
        <v>46</v>
      </c>
      <c r="L852" t="s">
        <v>47</v>
      </c>
      <c r="M852">
        <v>76</v>
      </c>
      <c r="N852">
        <v>192</v>
      </c>
      <c r="O852" t="s">
        <v>60</v>
      </c>
      <c r="P852">
        <v>70</v>
      </c>
      <c r="Q852">
        <v>100</v>
      </c>
      <c r="R852">
        <v>60</v>
      </c>
      <c r="S852">
        <v>170</v>
      </c>
      <c r="T852">
        <v>52</v>
      </c>
      <c r="U852" t="s">
        <v>28</v>
      </c>
      <c r="V852" s="2">
        <v>0.39583333333333331</v>
      </c>
      <c r="W852" s="2">
        <v>0.59895833333333337</v>
      </c>
      <c r="X852">
        <v>27</v>
      </c>
    </row>
    <row r="853" spans="1:24" x14ac:dyDescent="0.3">
      <c r="A853">
        <v>712</v>
      </c>
      <c r="B853">
        <v>15</v>
      </c>
      <c r="C853">
        <v>2</v>
      </c>
      <c r="D853" s="1">
        <v>41769</v>
      </c>
      <c r="E853">
        <v>848</v>
      </c>
      <c r="F853">
        <v>24</v>
      </c>
      <c r="G853" t="s">
        <v>40</v>
      </c>
      <c r="H853" t="s">
        <v>23</v>
      </c>
      <c r="I853">
        <v>4</v>
      </c>
      <c r="J853" t="s">
        <v>41</v>
      </c>
      <c r="K853" t="s">
        <v>46</v>
      </c>
      <c r="L853" t="s">
        <v>51</v>
      </c>
      <c r="M853">
        <v>12</v>
      </c>
      <c r="N853">
        <v>42</v>
      </c>
      <c r="O853" t="s">
        <v>44</v>
      </c>
      <c r="P853">
        <v>10</v>
      </c>
      <c r="Q853">
        <v>20</v>
      </c>
      <c r="R853">
        <v>10</v>
      </c>
      <c r="S853">
        <v>30</v>
      </c>
      <c r="T853">
        <v>16</v>
      </c>
      <c r="U853" t="s">
        <v>36</v>
      </c>
      <c r="V853" s="2">
        <v>0.2857142857142857</v>
      </c>
      <c r="W853" s="2">
        <v>0.6428571428571429</v>
      </c>
      <c r="X853">
        <v>12</v>
      </c>
    </row>
    <row r="854" spans="1:24" x14ac:dyDescent="0.3">
      <c r="A854">
        <v>573</v>
      </c>
      <c r="B854">
        <v>82</v>
      </c>
      <c r="C854">
        <v>16</v>
      </c>
      <c r="D854" s="1">
        <v>41770</v>
      </c>
      <c r="E854">
        <v>601</v>
      </c>
      <c r="F854">
        <v>102</v>
      </c>
      <c r="G854" t="s">
        <v>40</v>
      </c>
      <c r="H854" t="s">
        <v>23</v>
      </c>
      <c r="I854">
        <v>31</v>
      </c>
      <c r="J854" t="s">
        <v>41</v>
      </c>
      <c r="K854" t="s">
        <v>46</v>
      </c>
      <c r="L854" t="s">
        <v>53</v>
      </c>
      <c r="M854">
        <v>56</v>
      </c>
      <c r="N854">
        <v>196</v>
      </c>
      <c r="O854" t="s">
        <v>59</v>
      </c>
      <c r="P854">
        <v>80</v>
      </c>
      <c r="Q854">
        <v>100</v>
      </c>
      <c r="R854">
        <v>40</v>
      </c>
      <c r="S854">
        <v>180</v>
      </c>
      <c r="T854">
        <v>64</v>
      </c>
      <c r="U854" t="s">
        <v>36</v>
      </c>
      <c r="V854" s="2">
        <v>0.2857142857142857</v>
      </c>
      <c r="W854" s="2">
        <v>0.58163265306122447</v>
      </c>
      <c r="X854">
        <v>33</v>
      </c>
    </row>
    <row r="855" spans="1:24" x14ac:dyDescent="0.3">
      <c r="A855">
        <v>608</v>
      </c>
      <c r="B855">
        <v>94</v>
      </c>
      <c r="C855">
        <v>-6</v>
      </c>
      <c r="D855" s="1">
        <v>41771</v>
      </c>
      <c r="E855">
        <v>694</v>
      </c>
      <c r="F855">
        <v>130</v>
      </c>
      <c r="G855" t="s">
        <v>40</v>
      </c>
      <c r="H855" t="s">
        <v>23</v>
      </c>
      <c r="I855">
        <v>85</v>
      </c>
      <c r="J855" t="s">
        <v>41</v>
      </c>
      <c r="K855" t="s">
        <v>46</v>
      </c>
      <c r="L855" t="s">
        <v>53</v>
      </c>
      <c r="M855">
        <v>24</v>
      </c>
      <c r="N855">
        <v>239</v>
      </c>
      <c r="O855" t="s">
        <v>60</v>
      </c>
      <c r="P855">
        <v>90</v>
      </c>
      <c r="Q855">
        <v>130</v>
      </c>
      <c r="R855">
        <v>30</v>
      </c>
      <c r="S855">
        <v>220</v>
      </c>
      <c r="T855">
        <v>114</v>
      </c>
      <c r="U855" t="s">
        <v>36</v>
      </c>
      <c r="V855" s="2">
        <v>0.100418410041841</v>
      </c>
      <c r="W855" s="2">
        <v>0.60669456066945604</v>
      </c>
      <c r="X855">
        <v>29</v>
      </c>
    </row>
    <row r="856" spans="1:24" x14ac:dyDescent="0.3">
      <c r="A856">
        <v>573</v>
      </c>
      <c r="B856">
        <v>54</v>
      </c>
      <c r="C856">
        <v>-4</v>
      </c>
      <c r="D856" s="1">
        <v>41772</v>
      </c>
      <c r="E856">
        <v>885</v>
      </c>
      <c r="F856">
        <v>78</v>
      </c>
      <c r="G856" t="s">
        <v>40</v>
      </c>
      <c r="H856" t="s">
        <v>23</v>
      </c>
      <c r="I856">
        <v>15</v>
      </c>
      <c r="J856" t="s">
        <v>41</v>
      </c>
      <c r="K856" t="s">
        <v>42</v>
      </c>
      <c r="L856" t="s">
        <v>54</v>
      </c>
      <c r="M856">
        <v>76</v>
      </c>
      <c r="N856">
        <v>141</v>
      </c>
      <c r="O856" t="s">
        <v>59</v>
      </c>
      <c r="P856">
        <v>60</v>
      </c>
      <c r="Q856">
        <v>100</v>
      </c>
      <c r="R856">
        <v>80</v>
      </c>
      <c r="S856">
        <v>160</v>
      </c>
      <c r="T856">
        <v>27</v>
      </c>
      <c r="U856" t="s">
        <v>36</v>
      </c>
      <c r="V856" s="2">
        <v>0.53900709219858156</v>
      </c>
      <c r="W856" s="2">
        <v>0.61702127659574468</v>
      </c>
      <c r="X856">
        <v>12</v>
      </c>
    </row>
    <row r="857" spans="1:24" x14ac:dyDescent="0.3">
      <c r="A857">
        <v>715</v>
      </c>
      <c r="B857">
        <v>75</v>
      </c>
      <c r="C857">
        <v>-3</v>
      </c>
      <c r="D857" s="1">
        <v>41773</v>
      </c>
      <c r="E857">
        <v>1063</v>
      </c>
      <c r="F857">
        <v>89</v>
      </c>
      <c r="G857" t="s">
        <v>40</v>
      </c>
      <c r="H857" t="s">
        <v>23</v>
      </c>
      <c r="I857">
        <v>23</v>
      </c>
      <c r="J857" t="s">
        <v>41</v>
      </c>
      <c r="K857" t="s">
        <v>42</v>
      </c>
      <c r="L857" t="s">
        <v>54</v>
      </c>
      <c r="M857">
        <v>67</v>
      </c>
      <c r="N857">
        <v>175</v>
      </c>
      <c r="O857" t="s">
        <v>60</v>
      </c>
      <c r="P857">
        <v>90</v>
      </c>
      <c r="Q857">
        <v>110</v>
      </c>
      <c r="R857">
        <v>70</v>
      </c>
      <c r="S857">
        <v>200</v>
      </c>
      <c r="T857">
        <v>44</v>
      </c>
      <c r="U857" t="s">
        <v>36</v>
      </c>
      <c r="V857" s="2">
        <v>0.38285714285714284</v>
      </c>
      <c r="W857" s="2">
        <v>0.5714285714285714</v>
      </c>
      <c r="X857">
        <v>21</v>
      </c>
    </row>
    <row r="858" spans="1:24" x14ac:dyDescent="0.3">
      <c r="A858">
        <v>641</v>
      </c>
      <c r="B858">
        <v>228</v>
      </c>
      <c r="C858">
        <v>111</v>
      </c>
      <c r="D858" s="1">
        <v>41774</v>
      </c>
      <c r="E858">
        <v>1691</v>
      </c>
      <c r="F858">
        <v>304</v>
      </c>
      <c r="G858" t="s">
        <v>40</v>
      </c>
      <c r="H858" t="s">
        <v>23</v>
      </c>
      <c r="I858">
        <v>75</v>
      </c>
      <c r="J858" t="s">
        <v>24</v>
      </c>
      <c r="K858" t="s">
        <v>25</v>
      </c>
      <c r="L858" t="s">
        <v>58</v>
      </c>
      <c r="M858">
        <v>291</v>
      </c>
      <c r="N858">
        <v>567</v>
      </c>
      <c r="O858" t="s">
        <v>44</v>
      </c>
      <c r="P858">
        <v>210</v>
      </c>
      <c r="Q858">
        <v>280</v>
      </c>
      <c r="R858">
        <v>180</v>
      </c>
      <c r="S858">
        <v>490</v>
      </c>
      <c r="T858">
        <v>108</v>
      </c>
      <c r="U858" t="s">
        <v>28</v>
      </c>
      <c r="V858" s="2">
        <v>0.51322751322751325</v>
      </c>
      <c r="W858" s="2">
        <v>0.59788359788359791</v>
      </c>
      <c r="X858">
        <v>33</v>
      </c>
    </row>
    <row r="859" spans="1:24" x14ac:dyDescent="0.3">
      <c r="A859">
        <v>641</v>
      </c>
      <c r="B859">
        <v>113</v>
      </c>
      <c r="C859">
        <v>59</v>
      </c>
      <c r="D859" s="1">
        <v>41775</v>
      </c>
      <c r="E859">
        <v>803</v>
      </c>
      <c r="F859">
        <v>165</v>
      </c>
      <c r="G859" t="s">
        <v>40</v>
      </c>
      <c r="H859" t="s">
        <v>23</v>
      </c>
      <c r="I859">
        <v>36</v>
      </c>
      <c r="J859" t="s">
        <v>24</v>
      </c>
      <c r="K859" t="s">
        <v>25</v>
      </c>
      <c r="L859" t="s">
        <v>26</v>
      </c>
      <c r="M859">
        <v>159</v>
      </c>
      <c r="N859">
        <v>296</v>
      </c>
      <c r="O859" t="s">
        <v>44</v>
      </c>
      <c r="P859">
        <v>100</v>
      </c>
      <c r="Q859">
        <v>150</v>
      </c>
      <c r="R859">
        <v>100</v>
      </c>
      <c r="S859">
        <v>250</v>
      </c>
      <c r="T859">
        <v>58</v>
      </c>
      <c r="U859" t="s">
        <v>28</v>
      </c>
      <c r="V859" s="2">
        <v>0.53716216216216217</v>
      </c>
      <c r="W859" s="2">
        <v>0.6182432432432432</v>
      </c>
      <c r="X859">
        <v>22</v>
      </c>
    </row>
    <row r="860" spans="1:24" x14ac:dyDescent="0.3">
      <c r="A860">
        <v>563</v>
      </c>
      <c r="B860">
        <v>211</v>
      </c>
      <c r="C860">
        <v>81</v>
      </c>
      <c r="D860" s="1">
        <v>41776</v>
      </c>
      <c r="E860">
        <v>1778</v>
      </c>
      <c r="F860">
        <v>212</v>
      </c>
      <c r="G860" t="s">
        <v>40</v>
      </c>
      <c r="H860" t="s">
        <v>23</v>
      </c>
      <c r="I860">
        <v>59</v>
      </c>
      <c r="J860" t="s">
        <v>24</v>
      </c>
      <c r="K860" t="s">
        <v>33</v>
      </c>
      <c r="L860" t="s">
        <v>34</v>
      </c>
      <c r="M860">
        <v>191</v>
      </c>
      <c r="N860">
        <v>451</v>
      </c>
      <c r="O860" t="s">
        <v>44</v>
      </c>
      <c r="P860">
        <v>170</v>
      </c>
      <c r="Q860">
        <v>180</v>
      </c>
      <c r="R860">
        <v>110</v>
      </c>
      <c r="S860">
        <v>350</v>
      </c>
      <c r="T860">
        <v>83</v>
      </c>
      <c r="U860" t="s">
        <v>36</v>
      </c>
      <c r="V860" s="2">
        <v>0.42350332594235035</v>
      </c>
      <c r="W860" s="2">
        <v>0.53215077605321504</v>
      </c>
      <c r="X860">
        <v>24</v>
      </c>
    </row>
    <row r="861" spans="1:24" x14ac:dyDescent="0.3">
      <c r="A861">
        <v>641</v>
      </c>
      <c r="B861">
        <v>245</v>
      </c>
      <c r="C861">
        <v>127</v>
      </c>
      <c r="D861" s="1">
        <v>41777</v>
      </c>
      <c r="E861">
        <v>1784</v>
      </c>
      <c r="F861">
        <v>300</v>
      </c>
      <c r="G861" t="s">
        <v>40</v>
      </c>
      <c r="H861" t="s">
        <v>23</v>
      </c>
      <c r="I861">
        <v>93</v>
      </c>
      <c r="J861" t="s">
        <v>24</v>
      </c>
      <c r="K861" t="s">
        <v>33</v>
      </c>
      <c r="L861" t="s">
        <v>62</v>
      </c>
      <c r="M861">
        <v>257</v>
      </c>
      <c r="N861">
        <v>581</v>
      </c>
      <c r="O861" t="s">
        <v>44</v>
      </c>
      <c r="P861">
        <v>200</v>
      </c>
      <c r="Q861">
        <v>250</v>
      </c>
      <c r="R861">
        <v>130</v>
      </c>
      <c r="S861">
        <v>450</v>
      </c>
      <c r="T861">
        <v>127</v>
      </c>
      <c r="U861" t="s">
        <v>36</v>
      </c>
      <c r="V861" s="2">
        <v>0.44234079173838209</v>
      </c>
      <c r="W861" s="2">
        <v>0.57831325301204817</v>
      </c>
      <c r="X861">
        <v>34</v>
      </c>
    </row>
    <row r="862" spans="1:24" x14ac:dyDescent="0.3">
      <c r="A862">
        <v>720</v>
      </c>
      <c r="B862">
        <v>86</v>
      </c>
      <c r="C862">
        <v>41</v>
      </c>
      <c r="D862" s="1">
        <v>41778</v>
      </c>
      <c r="E862">
        <v>1003</v>
      </c>
      <c r="F862">
        <v>124</v>
      </c>
      <c r="G862" t="s">
        <v>22</v>
      </c>
      <c r="H862" t="s">
        <v>23</v>
      </c>
      <c r="I862">
        <v>24</v>
      </c>
      <c r="J862" t="s">
        <v>41</v>
      </c>
      <c r="K862" t="s">
        <v>46</v>
      </c>
      <c r="L862" t="s">
        <v>47</v>
      </c>
      <c r="M862">
        <v>131</v>
      </c>
      <c r="N862">
        <v>224</v>
      </c>
      <c r="O862" t="s">
        <v>27</v>
      </c>
      <c r="P862">
        <v>80</v>
      </c>
      <c r="Q862">
        <v>120</v>
      </c>
      <c r="R862">
        <v>90</v>
      </c>
      <c r="S862">
        <v>200</v>
      </c>
      <c r="T862">
        <v>36</v>
      </c>
      <c r="U862" t="s">
        <v>28</v>
      </c>
      <c r="V862" s="2">
        <v>0.5848214285714286</v>
      </c>
      <c r="W862" s="2">
        <v>0.6160714285714286</v>
      </c>
      <c r="X862">
        <v>12</v>
      </c>
    </row>
    <row r="863" spans="1:24" x14ac:dyDescent="0.3">
      <c r="A863">
        <v>312</v>
      </c>
      <c r="B863">
        <v>127</v>
      </c>
      <c r="C863">
        <v>51</v>
      </c>
      <c r="D863" s="1">
        <v>41779</v>
      </c>
      <c r="E863">
        <v>830</v>
      </c>
      <c r="F863">
        <v>185</v>
      </c>
      <c r="G863" t="s">
        <v>22</v>
      </c>
      <c r="H863" t="s">
        <v>23</v>
      </c>
      <c r="I863">
        <v>40</v>
      </c>
      <c r="J863" t="s">
        <v>41</v>
      </c>
      <c r="K863" t="s">
        <v>46</v>
      </c>
      <c r="L863" t="s">
        <v>47</v>
      </c>
      <c r="M863">
        <v>181</v>
      </c>
      <c r="N863">
        <v>332</v>
      </c>
      <c r="O863" t="s">
        <v>64</v>
      </c>
      <c r="P863">
        <v>120</v>
      </c>
      <c r="Q863">
        <v>180</v>
      </c>
      <c r="R863">
        <v>130</v>
      </c>
      <c r="S863">
        <v>300</v>
      </c>
      <c r="T863">
        <v>63</v>
      </c>
      <c r="U863" t="s">
        <v>28</v>
      </c>
      <c r="V863" s="2">
        <v>0.54518072289156627</v>
      </c>
      <c r="W863" s="2">
        <v>0.61746987951807231</v>
      </c>
      <c r="X863">
        <v>23</v>
      </c>
    </row>
    <row r="864" spans="1:24" x14ac:dyDescent="0.3">
      <c r="A864">
        <v>720</v>
      </c>
      <c r="B864">
        <v>67</v>
      </c>
      <c r="C864">
        <v>-10</v>
      </c>
      <c r="D864" s="1">
        <v>41780</v>
      </c>
      <c r="E864">
        <v>677</v>
      </c>
      <c r="F864">
        <v>101</v>
      </c>
      <c r="G864" t="s">
        <v>22</v>
      </c>
      <c r="H864" t="s">
        <v>23</v>
      </c>
      <c r="I864">
        <v>22</v>
      </c>
      <c r="J864" t="s">
        <v>41</v>
      </c>
      <c r="K864" t="s">
        <v>42</v>
      </c>
      <c r="L864" t="s">
        <v>43</v>
      </c>
      <c r="M864">
        <v>70</v>
      </c>
      <c r="N864">
        <v>179</v>
      </c>
      <c r="O864" t="s">
        <v>27</v>
      </c>
      <c r="P864">
        <v>80</v>
      </c>
      <c r="Q864">
        <v>130</v>
      </c>
      <c r="R864">
        <v>80</v>
      </c>
      <c r="S864">
        <v>210</v>
      </c>
      <c r="T864">
        <v>54</v>
      </c>
      <c r="U864" t="s">
        <v>28</v>
      </c>
      <c r="V864" s="2">
        <v>0.39106145251396646</v>
      </c>
      <c r="W864" s="2">
        <v>0.62569832402234637</v>
      </c>
      <c r="X864">
        <v>32</v>
      </c>
    </row>
    <row r="865" spans="1:24" x14ac:dyDescent="0.3">
      <c r="A865">
        <v>773</v>
      </c>
      <c r="B865">
        <v>250</v>
      </c>
      <c r="C865">
        <v>-7</v>
      </c>
      <c r="D865" s="1">
        <v>41781</v>
      </c>
      <c r="E865">
        <v>1820</v>
      </c>
      <c r="F865">
        <v>251</v>
      </c>
      <c r="G865" t="s">
        <v>22</v>
      </c>
      <c r="H865" t="s">
        <v>23</v>
      </c>
      <c r="I865">
        <v>70</v>
      </c>
      <c r="J865" t="s">
        <v>41</v>
      </c>
      <c r="K865" t="s">
        <v>42</v>
      </c>
      <c r="L865" t="s">
        <v>43</v>
      </c>
      <c r="M865">
        <v>233</v>
      </c>
      <c r="N865">
        <v>534</v>
      </c>
      <c r="O865" t="s">
        <v>64</v>
      </c>
      <c r="P865">
        <v>320</v>
      </c>
      <c r="Q865">
        <v>320</v>
      </c>
      <c r="R865">
        <v>240</v>
      </c>
      <c r="S865">
        <v>640</v>
      </c>
      <c r="T865">
        <v>94</v>
      </c>
      <c r="U865" t="s">
        <v>28</v>
      </c>
      <c r="V865" s="2">
        <v>0.43632958801498128</v>
      </c>
      <c r="W865" s="2">
        <v>0.53183520599250933</v>
      </c>
      <c r="X865">
        <v>24</v>
      </c>
    </row>
    <row r="866" spans="1:24" x14ac:dyDescent="0.3">
      <c r="A866">
        <v>303</v>
      </c>
      <c r="B866">
        <v>123</v>
      </c>
      <c r="C866">
        <v>69</v>
      </c>
      <c r="D866" s="1">
        <v>41782</v>
      </c>
      <c r="E866">
        <v>959</v>
      </c>
      <c r="F866">
        <v>179</v>
      </c>
      <c r="G866" t="s">
        <v>22</v>
      </c>
      <c r="H866" t="s">
        <v>23</v>
      </c>
      <c r="I866">
        <v>34</v>
      </c>
      <c r="J866" t="s">
        <v>41</v>
      </c>
      <c r="K866" t="s">
        <v>46</v>
      </c>
      <c r="L866" t="s">
        <v>51</v>
      </c>
      <c r="M866">
        <v>199</v>
      </c>
      <c r="N866">
        <v>322</v>
      </c>
      <c r="O866" t="s">
        <v>27</v>
      </c>
      <c r="P866">
        <v>120</v>
      </c>
      <c r="Q866">
        <v>170</v>
      </c>
      <c r="R866">
        <v>130</v>
      </c>
      <c r="S866">
        <v>290</v>
      </c>
      <c r="T866">
        <v>45</v>
      </c>
      <c r="U866" t="s">
        <v>36</v>
      </c>
      <c r="V866" s="2">
        <v>0.61801242236024845</v>
      </c>
      <c r="W866" s="2">
        <v>0.61801242236024845</v>
      </c>
      <c r="X866">
        <v>11</v>
      </c>
    </row>
    <row r="867" spans="1:24" x14ac:dyDescent="0.3">
      <c r="A867">
        <v>312</v>
      </c>
      <c r="B867">
        <v>224</v>
      </c>
      <c r="C867">
        <v>98</v>
      </c>
      <c r="D867" s="1">
        <v>41783</v>
      </c>
      <c r="E867">
        <v>1191</v>
      </c>
      <c r="F867">
        <v>310</v>
      </c>
      <c r="G867" t="s">
        <v>22</v>
      </c>
      <c r="H867" t="s">
        <v>23</v>
      </c>
      <c r="I867">
        <v>73</v>
      </c>
      <c r="J867" t="s">
        <v>41</v>
      </c>
      <c r="K867" t="s">
        <v>46</v>
      </c>
      <c r="L867" t="s">
        <v>53</v>
      </c>
      <c r="M867">
        <v>288</v>
      </c>
      <c r="N867">
        <v>569</v>
      </c>
      <c r="O867" t="s">
        <v>64</v>
      </c>
      <c r="P867">
        <v>220</v>
      </c>
      <c r="Q867">
        <v>300</v>
      </c>
      <c r="R867">
        <v>190</v>
      </c>
      <c r="S867">
        <v>520</v>
      </c>
      <c r="T867">
        <v>116</v>
      </c>
      <c r="U867" t="s">
        <v>36</v>
      </c>
      <c r="V867" s="2">
        <v>0.5061511423550088</v>
      </c>
      <c r="W867" s="2">
        <v>0.60632688927943756</v>
      </c>
      <c r="X867">
        <v>43</v>
      </c>
    </row>
    <row r="868" spans="1:24" x14ac:dyDescent="0.3">
      <c r="A868">
        <v>970</v>
      </c>
      <c r="B868">
        <v>54</v>
      </c>
      <c r="C868">
        <v>-11</v>
      </c>
      <c r="D868" s="1">
        <v>41784</v>
      </c>
      <c r="E868">
        <v>601</v>
      </c>
      <c r="F868">
        <v>79</v>
      </c>
      <c r="G868" t="s">
        <v>22</v>
      </c>
      <c r="H868" t="s">
        <v>23</v>
      </c>
      <c r="I868">
        <v>15</v>
      </c>
      <c r="J868" t="s">
        <v>41</v>
      </c>
      <c r="K868" t="s">
        <v>42</v>
      </c>
      <c r="L868" t="s">
        <v>54</v>
      </c>
      <c r="M868">
        <v>79</v>
      </c>
      <c r="N868">
        <v>142</v>
      </c>
      <c r="O868" t="s">
        <v>27</v>
      </c>
      <c r="P868">
        <v>60</v>
      </c>
      <c r="Q868">
        <v>110</v>
      </c>
      <c r="R868">
        <v>90</v>
      </c>
      <c r="S868">
        <v>170</v>
      </c>
      <c r="T868">
        <v>26</v>
      </c>
      <c r="U868" t="s">
        <v>36</v>
      </c>
      <c r="V868" s="2">
        <v>0.55633802816901412</v>
      </c>
      <c r="W868" s="2">
        <v>0.61971830985915488</v>
      </c>
      <c r="X868">
        <v>11</v>
      </c>
    </row>
    <row r="869" spans="1:24" x14ac:dyDescent="0.3">
      <c r="A869">
        <v>708</v>
      </c>
      <c r="B869">
        <v>247</v>
      </c>
      <c r="C869">
        <v>1</v>
      </c>
      <c r="D869" s="1">
        <v>41785</v>
      </c>
      <c r="E869">
        <v>1744</v>
      </c>
      <c r="F869">
        <v>329</v>
      </c>
      <c r="G869" t="s">
        <v>22</v>
      </c>
      <c r="H869" t="s">
        <v>23</v>
      </c>
      <c r="I869">
        <v>81</v>
      </c>
      <c r="J869" t="s">
        <v>41</v>
      </c>
      <c r="K869" t="s">
        <v>42</v>
      </c>
      <c r="L869" t="s">
        <v>54</v>
      </c>
      <c r="M869">
        <v>321</v>
      </c>
      <c r="N869">
        <v>614</v>
      </c>
      <c r="O869" t="s">
        <v>64</v>
      </c>
      <c r="P869">
        <v>310</v>
      </c>
      <c r="Q869">
        <v>420</v>
      </c>
      <c r="R869">
        <v>320</v>
      </c>
      <c r="S869">
        <v>730</v>
      </c>
      <c r="T869">
        <v>113</v>
      </c>
      <c r="U869" t="s">
        <v>36</v>
      </c>
      <c r="V869" s="2">
        <v>0.5228013029315961</v>
      </c>
      <c r="W869" s="2">
        <v>0.59771986970684043</v>
      </c>
      <c r="X869">
        <v>32</v>
      </c>
    </row>
    <row r="870" spans="1:24" x14ac:dyDescent="0.3">
      <c r="A870">
        <v>937</v>
      </c>
      <c r="B870">
        <v>153</v>
      </c>
      <c r="C870">
        <v>-11</v>
      </c>
      <c r="D870" s="1">
        <v>41786</v>
      </c>
      <c r="E870">
        <v>1319</v>
      </c>
      <c r="F870">
        <v>153</v>
      </c>
      <c r="G870" t="s">
        <v>22</v>
      </c>
      <c r="H870" t="s">
        <v>23</v>
      </c>
      <c r="I870">
        <v>42</v>
      </c>
      <c r="J870" t="s">
        <v>41</v>
      </c>
      <c r="K870" t="s">
        <v>42</v>
      </c>
      <c r="L870" t="s">
        <v>54</v>
      </c>
      <c r="M870">
        <v>129</v>
      </c>
      <c r="N870">
        <v>326</v>
      </c>
      <c r="O870" t="s">
        <v>66</v>
      </c>
      <c r="P870">
        <v>190</v>
      </c>
      <c r="Q870">
        <v>200</v>
      </c>
      <c r="R870">
        <v>140</v>
      </c>
      <c r="S870">
        <v>390</v>
      </c>
      <c r="T870">
        <v>66</v>
      </c>
      <c r="U870" t="s">
        <v>36</v>
      </c>
      <c r="V870" s="2">
        <v>0.39570552147239263</v>
      </c>
      <c r="W870" s="2">
        <v>0.53067484662576692</v>
      </c>
      <c r="X870">
        <v>24</v>
      </c>
    </row>
    <row r="871" spans="1:24" x14ac:dyDescent="0.3">
      <c r="A871">
        <v>970</v>
      </c>
      <c r="B871">
        <v>153</v>
      </c>
      <c r="C871">
        <v>49</v>
      </c>
      <c r="D871" s="1">
        <v>41787</v>
      </c>
      <c r="E871">
        <v>1319</v>
      </c>
      <c r="F871">
        <v>153</v>
      </c>
      <c r="G871" t="s">
        <v>22</v>
      </c>
      <c r="H871" t="s">
        <v>23</v>
      </c>
      <c r="I871">
        <v>42</v>
      </c>
      <c r="J871" t="s">
        <v>24</v>
      </c>
      <c r="K871" t="s">
        <v>25</v>
      </c>
      <c r="L871" t="s">
        <v>58</v>
      </c>
      <c r="M871">
        <v>129</v>
      </c>
      <c r="N871">
        <v>326</v>
      </c>
      <c r="O871" t="s">
        <v>27</v>
      </c>
      <c r="P871">
        <v>140</v>
      </c>
      <c r="Q871">
        <v>140</v>
      </c>
      <c r="R871">
        <v>80</v>
      </c>
      <c r="S871">
        <v>280</v>
      </c>
      <c r="T871">
        <v>66</v>
      </c>
      <c r="U871" t="s">
        <v>28</v>
      </c>
      <c r="V871" s="2">
        <v>0.39570552147239263</v>
      </c>
      <c r="W871" s="2">
        <v>0.53067484662576692</v>
      </c>
      <c r="X871">
        <v>24</v>
      </c>
    </row>
    <row r="872" spans="1:24" x14ac:dyDescent="0.3">
      <c r="A872">
        <v>618</v>
      </c>
      <c r="B872">
        <v>123</v>
      </c>
      <c r="C872">
        <v>67</v>
      </c>
      <c r="D872" s="1">
        <v>41788</v>
      </c>
      <c r="E872">
        <v>959</v>
      </c>
      <c r="F872">
        <v>179</v>
      </c>
      <c r="G872" t="s">
        <v>22</v>
      </c>
      <c r="H872" t="s">
        <v>23</v>
      </c>
      <c r="I872">
        <v>34</v>
      </c>
      <c r="J872" t="s">
        <v>24</v>
      </c>
      <c r="K872" t="s">
        <v>25</v>
      </c>
      <c r="L872" t="s">
        <v>58</v>
      </c>
      <c r="M872">
        <v>197</v>
      </c>
      <c r="N872">
        <v>322</v>
      </c>
      <c r="O872" t="s">
        <v>64</v>
      </c>
      <c r="P872">
        <v>110</v>
      </c>
      <c r="Q872">
        <v>170</v>
      </c>
      <c r="R872">
        <v>130</v>
      </c>
      <c r="S872">
        <v>280</v>
      </c>
      <c r="T872">
        <v>46</v>
      </c>
      <c r="U872" t="s">
        <v>28</v>
      </c>
      <c r="V872" s="2">
        <v>0.61180124223602483</v>
      </c>
      <c r="W872" s="2">
        <v>0.61801242236024845</v>
      </c>
      <c r="X872">
        <v>12</v>
      </c>
    </row>
    <row r="873" spans="1:24" x14ac:dyDescent="0.3">
      <c r="A873">
        <v>312</v>
      </c>
      <c r="B873">
        <v>86</v>
      </c>
      <c r="C873">
        <v>51</v>
      </c>
      <c r="D873" s="1">
        <v>41789</v>
      </c>
      <c r="E873">
        <v>1003</v>
      </c>
      <c r="F873">
        <v>124</v>
      </c>
      <c r="G873" t="s">
        <v>22</v>
      </c>
      <c r="H873" t="s">
        <v>23</v>
      </c>
      <c r="I873">
        <v>24</v>
      </c>
      <c r="J873" t="s">
        <v>24</v>
      </c>
      <c r="K873" t="s">
        <v>25</v>
      </c>
      <c r="L873" t="s">
        <v>29</v>
      </c>
      <c r="M873">
        <v>131</v>
      </c>
      <c r="N873">
        <v>224</v>
      </c>
      <c r="O873" t="s">
        <v>64</v>
      </c>
      <c r="P873">
        <v>80</v>
      </c>
      <c r="Q873">
        <v>110</v>
      </c>
      <c r="R873">
        <v>80</v>
      </c>
      <c r="S873">
        <v>190</v>
      </c>
      <c r="T873">
        <v>36</v>
      </c>
      <c r="U873" t="s">
        <v>28</v>
      </c>
      <c r="V873" s="2">
        <v>0.5848214285714286</v>
      </c>
      <c r="W873" s="2">
        <v>0.6160714285714286</v>
      </c>
      <c r="X873">
        <v>12</v>
      </c>
    </row>
    <row r="874" spans="1:24" x14ac:dyDescent="0.3">
      <c r="A874">
        <v>513</v>
      </c>
      <c r="B874">
        <v>88</v>
      </c>
      <c r="C874">
        <v>37</v>
      </c>
      <c r="D874" s="1">
        <v>41790</v>
      </c>
      <c r="E874">
        <v>817</v>
      </c>
      <c r="F874">
        <v>133</v>
      </c>
      <c r="G874" t="s">
        <v>22</v>
      </c>
      <c r="H874" t="s">
        <v>23</v>
      </c>
      <c r="I874">
        <v>29</v>
      </c>
      <c r="J874" t="s">
        <v>24</v>
      </c>
      <c r="K874" t="s">
        <v>33</v>
      </c>
      <c r="L874" t="s">
        <v>34</v>
      </c>
      <c r="M874">
        <v>107</v>
      </c>
      <c r="N874">
        <v>236</v>
      </c>
      <c r="O874" t="s">
        <v>66</v>
      </c>
      <c r="P874">
        <v>70</v>
      </c>
      <c r="Q874">
        <v>110</v>
      </c>
      <c r="R874">
        <v>70</v>
      </c>
      <c r="S874">
        <v>180</v>
      </c>
      <c r="T874">
        <v>61</v>
      </c>
      <c r="U874" t="s">
        <v>36</v>
      </c>
      <c r="V874" s="2">
        <v>0.45338983050847459</v>
      </c>
      <c r="W874" s="2">
        <v>0.6271186440677966</v>
      </c>
      <c r="X874">
        <v>32</v>
      </c>
    </row>
    <row r="875" spans="1:24" x14ac:dyDescent="0.3">
      <c r="A875">
        <v>513</v>
      </c>
      <c r="B875">
        <v>134</v>
      </c>
      <c r="C875">
        <v>90</v>
      </c>
      <c r="D875" s="1">
        <v>41791</v>
      </c>
      <c r="E875">
        <v>690</v>
      </c>
      <c r="F875">
        <v>186</v>
      </c>
      <c r="G875" t="s">
        <v>22</v>
      </c>
      <c r="H875" t="s">
        <v>23</v>
      </c>
      <c r="I875">
        <v>41</v>
      </c>
      <c r="J875" t="s">
        <v>24</v>
      </c>
      <c r="K875" t="s">
        <v>33</v>
      </c>
      <c r="L875" t="s">
        <v>62</v>
      </c>
      <c r="M875">
        <v>180</v>
      </c>
      <c r="N875">
        <v>341</v>
      </c>
      <c r="O875" t="s">
        <v>66</v>
      </c>
      <c r="P875">
        <v>110</v>
      </c>
      <c r="Q875">
        <v>150</v>
      </c>
      <c r="R875">
        <v>90</v>
      </c>
      <c r="S875">
        <v>260</v>
      </c>
      <c r="T875">
        <v>65</v>
      </c>
      <c r="U875" t="s">
        <v>36</v>
      </c>
      <c r="V875" s="2">
        <v>0.52785923753665687</v>
      </c>
      <c r="W875" s="2">
        <v>0.60703812316715544</v>
      </c>
      <c r="X875">
        <v>24</v>
      </c>
    </row>
    <row r="876" spans="1:24" x14ac:dyDescent="0.3">
      <c r="A876">
        <v>719</v>
      </c>
      <c r="B876">
        <v>81</v>
      </c>
      <c r="C876">
        <v>38</v>
      </c>
      <c r="D876" s="1">
        <v>41792</v>
      </c>
      <c r="E876">
        <v>551</v>
      </c>
      <c r="F876">
        <v>104</v>
      </c>
      <c r="G876" t="s">
        <v>22</v>
      </c>
      <c r="H876" t="s">
        <v>23</v>
      </c>
      <c r="I876">
        <v>26</v>
      </c>
      <c r="J876" t="s">
        <v>24</v>
      </c>
      <c r="K876" t="s">
        <v>33</v>
      </c>
      <c r="L876" t="s">
        <v>38</v>
      </c>
      <c r="M876">
        <v>98</v>
      </c>
      <c r="N876">
        <v>197</v>
      </c>
      <c r="O876" t="s">
        <v>27</v>
      </c>
      <c r="P876">
        <v>60</v>
      </c>
      <c r="Q876">
        <v>90</v>
      </c>
      <c r="R876">
        <v>60</v>
      </c>
      <c r="S876">
        <v>150</v>
      </c>
      <c r="T876">
        <v>38</v>
      </c>
      <c r="U876" t="s">
        <v>36</v>
      </c>
      <c r="V876" s="2">
        <v>0.49746192893401014</v>
      </c>
      <c r="W876" s="2">
        <v>0.58883248730964466</v>
      </c>
      <c r="X876">
        <v>12</v>
      </c>
    </row>
    <row r="877" spans="1:24" x14ac:dyDescent="0.3">
      <c r="A877">
        <v>712</v>
      </c>
      <c r="B877">
        <v>10</v>
      </c>
      <c r="C877">
        <v>-11</v>
      </c>
      <c r="D877" s="1">
        <v>41793</v>
      </c>
      <c r="E877">
        <v>594</v>
      </c>
      <c r="F877">
        <v>14</v>
      </c>
      <c r="G877" t="s">
        <v>40</v>
      </c>
      <c r="H877" t="s">
        <v>23</v>
      </c>
      <c r="I877">
        <v>3</v>
      </c>
      <c r="J877" t="s">
        <v>41</v>
      </c>
      <c r="K877" t="s">
        <v>46</v>
      </c>
      <c r="L877" t="s">
        <v>47</v>
      </c>
      <c r="M877">
        <v>-1</v>
      </c>
      <c r="N877">
        <v>26</v>
      </c>
      <c r="O877" t="s">
        <v>44</v>
      </c>
      <c r="P877">
        <v>0</v>
      </c>
      <c r="Q877">
        <v>20</v>
      </c>
      <c r="R877">
        <v>10</v>
      </c>
      <c r="S877">
        <v>20</v>
      </c>
      <c r="T877">
        <v>15</v>
      </c>
      <c r="U877" t="s">
        <v>28</v>
      </c>
      <c r="V877" s="2">
        <v>-3.8461538461538464E-2</v>
      </c>
      <c r="W877" s="2">
        <v>0.61538461538461542</v>
      </c>
      <c r="X877">
        <v>12</v>
      </c>
    </row>
    <row r="878" spans="1:24" x14ac:dyDescent="0.3">
      <c r="A878">
        <v>414</v>
      </c>
      <c r="B878">
        <v>83</v>
      </c>
      <c r="C878">
        <v>15</v>
      </c>
      <c r="D878" s="1">
        <v>41794</v>
      </c>
      <c r="E878">
        <v>575</v>
      </c>
      <c r="F878">
        <v>112</v>
      </c>
      <c r="G878" t="s">
        <v>40</v>
      </c>
      <c r="H878" t="s">
        <v>23</v>
      </c>
      <c r="I878">
        <v>27</v>
      </c>
      <c r="J878" t="s">
        <v>41</v>
      </c>
      <c r="K878" t="s">
        <v>46</v>
      </c>
      <c r="L878" t="s">
        <v>47</v>
      </c>
      <c r="M878">
        <v>85</v>
      </c>
      <c r="N878">
        <v>208</v>
      </c>
      <c r="O878" t="s">
        <v>60</v>
      </c>
      <c r="P878">
        <v>80</v>
      </c>
      <c r="Q878">
        <v>110</v>
      </c>
      <c r="R878">
        <v>70</v>
      </c>
      <c r="S878">
        <v>190</v>
      </c>
      <c r="T878">
        <v>55</v>
      </c>
      <c r="U878" t="s">
        <v>28</v>
      </c>
      <c r="V878" s="2">
        <v>0.40865384615384615</v>
      </c>
      <c r="W878" s="2">
        <v>0.60096153846153844</v>
      </c>
      <c r="X878">
        <v>28</v>
      </c>
    </row>
    <row r="879" spans="1:24" x14ac:dyDescent="0.3">
      <c r="A879">
        <v>573</v>
      </c>
      <c r="B879">
        <v>68</v>
      </c>
      <c r="C879">
        <v>-1</v>
      </c>
      <c r="D879" s="1">
        <v>41795</v>
      </c>
      <c r="E879">
        <v>619</v>
      </c>
      <c r="F879">
        <v>85</v>
      </c>
      <c r="G879" t="s">
        <v>40</v>
      </c>
      <c r="H879" t="s">
        <v>23</v>
      </c>
      <c r="I879">
        <v>25</v>
      </c>
      <c r="J879" t="s">
        <v>41</v>
      </c>
      <c r="K879" t="s">
        <v>46</v>
      </c>
      <c r="L879" t="s">
        <v>53</v>
      </c>
      <c r="M879">
        <v>39</v>
      </c>
      <c r="N879">
        <v>163</v>
      </c>
      <c r="O879" t="s">
        <v>59</v>
      </c>
      <c r="P879">
        <v>60</v>
      </c>
      <c r="Q879">
        <v>90</v>
      </c>
      <c r="R879">
        <v>40</v>
      </c>
      <c r="S879">
        <v>150</v>
      </c>
      <c r="T879">
        <v>59</v>
      </c>
      <c r="U879" t="s">
        <v>36</v>
      </c>
      <c r="V879" s="2">
        <v>0.2392638036809816</v>
      </c>
      <c r="W879" s="2">
        <v>0.58282208588957052</v>
      </c>
      <c r="X879">
        <v>34</v>
      </c>
    </row>
    <row r="880" spans="1:24" x14ac:dyDescent="0.3">
      <c r="A880">
        <v>262</v>
      </c>
      <c r="B880">
        <v>105</v>
      </c>
      <c r="C880">
        <v>0</v>
      </c>
      <c r="D880" s="1">
        <v>41796</v>
      </c>
      <c r="E880">
        <v>716</v>
      </c>
      <c r="F880">
        <v>145</v>
      </c>
      <c r="G880" t="s">
        <v>40</v>
      </c>
      <c r="H880" t="s">
        <v>23</v>
      </c>
      <c r="I880">
        <v>95</v>
      </c>
      <c r="J880" t="s">
        <v>41</v>
      </c>
      <c r="K880" t="s">
        <v>46</v>
      </c>
      <c r="L880" t="s">
        <v>53</v>
      </c>
      <c r="M880">
        <v>30</v>
      </c>
      <c r="N880">
        <v>266</v>
      </c>
      <c r="O880" t="s">
        <v>60</v>
      </c>
      <c r="P880">
        <v>100</v>
      </c>
      <c r="Q880">
        <v>140</v>
      </c>
      <c r="R880">
        <v>30</v>
      </c>
      <c r="S880">
        <v>240</v>
      </c>
      <c r="T880">
        <v>125</v>
      </c>
      <c r="U880" t="s">
        <v>36</v>
      </c>
      <c r="V880" s="2">
        <v>0.11278195488721804</v>
      </c>
      <c r="W880" s="2">
        <v>0.60526315789473684</v>
      </c>
      <c r="X880">
        <v>30</v>
      </c>
    </row>
    <row r="881" spans="1:24" x14ac:dyDescent="0.3">
      <c r="A881">
        <v>573</v>
      </c>
      <c r="B881">
        <v>50</v>
      </c>
      <c r="C881">
        <v>1</v>
      </c>
      <c r="D881" s="1">
        <v>41797</v>
      </c>
      <c r="E881">
        <v>898</v>
      </c>
      <c r="F881">
        <v>73</v>
      </c>
      <c r="G881" t="s">
        <v>40</v>
      </c>
      <c r="H881" t="s">
        <v>23</v>
      </c>
      <c r="I881">
        <v>14</v>
      </c>
      <c r="J881" t="s">
        <v>41</v>
      </c>
      <c r="K881" t="s">
        <v>42</v>
      </c>
      <c r="L881" t="s">
        <v>54</v>
      </c>
      <c r="M881">
        <v>71</v>
      </c>
      <c r="N881">
        <v>131</v>
      </c>
      <c r="O881" t="s">
        <v>59</v>
      </c>
      <c r="P881">
        <v>60</v>
      </c>
      <c r="Q881">
        <v>90</v>
      </c>
      <c r="R881">
        <v>70</v>
      </c>
      <c r="S881">
        <v>150</v>
      </c>
      <c r="T881">
        <v>25</v>
      </c>
      <c r="U881" t="s">
        <v>36</v>
      </c>
      <c r="V881" s="2">
        <v>0.5419847328244275</v>
      </c>
      <c r="W881" s="2">
        <v>0.61832061068702293</v>
      </c>
      <c r="X881">
        <v>11</v>
      </c>
    </row>
    <row r="882" spans="1:24" x14ac:dyDescent="0.3">
      <c r="A882">
        <v>262</v>
      </c>
      <c r="B882">
        <v>80</v>
      </c>
      <c r="C882">
        <v>-6</v>
      </c>
      <c r="D882" s="1">
        <v>41798</v>
      </c>
      <c r="E882">
        <v>1079</v>
      </c>
      <c r="F882">
        <v>96</v>
      </c>
      <c r="G882" t="s">
        <v>40</v>
      </c>
      <c r="H882" t="s">
        <v>23</v>
      </c>
      <c r="I882">
        <v>24</v>
      </c>
      <c r="J882" t="s">
        <v>41</v>
      </c>
      <c r="K882" t="s">
        <v>42</v>
      </c>
      <c r="L882" t="s">
        <v>54</v>
      </c>
      <c r="M882">
        <v>74</v>
      </c>
      <c r="N882">
        <v>188</v>
      </c>
      <c r="O882" t="s">
        <v>60</v>
      </c>
      <c r="P882">
        <v>100</v>
      </c>
      <c r="Q882">
        <v>120</v>
      </c>
      <c r="R882">
        <v>80</v>
      </c>
      <c r="S882">
        <v>220</v>
      </c>
      <c r="T882">
        <v>46</v>
      </c>
      <c r="U882" t="s">
        <v>36</v>
      </c>
      <c r="V882" s="2">
        <v>0.39361702127659576</v>
      </c>
      <c r="W882" s="2">
        <v>0.57446808510638303</v>
      </c>
      <c r="X882">
        <v>22</v>
      </c>
    </row>
    <row r="883" spans="1:24" x14ac:dyDescent="0.3">
      <c r="A883">
        <v>515</v>
      </c>
      <c r="B883">
        <v>247</v>
      </c>
      <c r="C883">
        <v>121</v>
      </c>
      <c r="D883" s="1">
        <v>41799</v>
      </c>
      <c r="E883">
        <v>1744</v>
      </c>
      <c r="F883">
        <v>329</v>
      </c>
      <c r="G883" t="s">
        <v>40</v>
      </c>
      <c r="H883" t="s">
        <v>23</v>
      </c>
      <c r="I883">
        <v>81</v>
      </c>
      <c r="J883" t="s">
        <v>24</v>
      </c>
      <c r="K883" t="s">
        <v>25</v>
      </c>
      <c r="L883" t="s">
        <v>58</v>
      </c>
      <c r="M883">
        <v>321</v>
      </c>
      <c r="N883">
        <v>614</v>
      </c>
      <c r="O883" t="s">
        <v>44</v>
      </c>
      <c r="P883">
        <v>230</v>
      </c>
      <c r="Q883">
        <v>300</v>
      </c>
      <c r="R883">
        <v>200</v>
      </c>
      <c r="S883">
        <v>530</v>
      </c>
      <c r="T883">
        <v>113</v>
      </c>
      <c r="U883" t="s">
        <v>28</v>
      </c>
      <c r="V883" s="2">
        <v>0.5228013029315961</v>
      </c>
      <c r="W883" s="2">
        <v>0.59771986970684043</v>
      </c>
      <c r="X883">
        <v>32</v>
      </c>
    </row>
    <row r="884" spans="1:24" x14ac:dyDescent="0.3">
      <c r="A884">
        <v>515</v>
      </c>
      <c r="B884">
        <v>127</v>
      </c>
      <c r="C884">
        <v>63</v>
      </c>
      <c r="D884" s="1">
        <v>41800</v>
      </c>
      <c r="E884">
        <v>830</v>
      </c>
      <c r="F884">
        <v>185</v>
      </c>
      <c r="G884" t="s">
        <v>40</v>
      </c>
      <c r="H884" t="s">
        <v>23</v>
      </c>
      <c r="I884">
        <v>40</v>
      </c>
      <c r="J884" t="s">
        <v>24</v>
      </c>
      <c r="K884" t="s">
        <v>25</v>
      </c>
      <c r="L884" t="s">
        <v>26</v>
      </c>
      <c r="M884">
        <v>183</v>
      </c>
      <c r="N884">
        <v>332</v>
      </c>
      <c r="O884" t="s">
        <v>44</v>
      </c>
      <c r="P884">
        <v>120</v>
      </c>
      <c r="Q884">
        <v>170</v>
      </c>
      <c r="R884">
        <v>120</v>
      </c>
      <c r="S884">
        <v>290</v>
      </c>
      <c r="T884">
        <v>62</v>
      </c>
      <c r="U884" t="s">
        <v>28</v>
      </c>
      <c r="V884" s="2">
        <v>0.5512048192771084</v>
      </c>
      <c r="W884" s="2">
        <v>0.61746987951807231</v>
      </c>
      <c r="X884">
        <v>22</v>
      </c>
    </row>
    <row r="885" spans="1:24" x14ac:dyDescent="0.3">
      <c r="A885">
        <v>641</v>
      </c>
      <c r="B885">
        <v>250</v>
      </c>
      <c r="C885">
        <v>112</v>
      </c>
      <c r="D885" s="1">
        <v>41801</v>
      </c>
      <c r="E885">
        <v>1820</v>
      </c>
      <c r="F885">
        <v>251</v>
      </c>
      <c r="G885" t="s">
        <v>40</v>
      </c>
      <c r="H885" t="s">
        <v>23</v>
      </c>
      <c r="I885">
        <v>70</v>
      </c>
      <c r="J885" t="s">
        <v>24</v>
      </c>
      <c r="K885" t="s">
        <v>33</v>
      </c>
      <c r="L885" t="s">
        <v>34</v>
      </c>
      <c r="M885">
        <v>232</v>
      </c>
      <c r="N885">
        <v>534</v>
      </c>
      <c r="O885" t="s">
        <v>44</v>
      </c>
      <c r="P885">
        <v>210</v>
      </c>
      <c r="Q885">
        <v>200</v>
      </c>
      <c r="R885">
        <v>120</v>
      </c>
      <c r="S885">
        <v>410</v>
      </c>
      <c r="T885">
        <v>95</v>
      </c>
      <c r="U885" t="s">
        <v>36</v>
      </c>
      <c r="V885" s="2">
        <v>0.43445692883895132</v>
      </c>
      <c r="W885" s="2">
        <v>0.53183520599250933</v>
      </c>
      <c r="X885">
        <v>25</v>
      </c>
    </row>
    <row r="886" spans="1:24" x14ac:dyDescent="0.3">
      <c r="A886">
        <v>563</v>
      </c>
      <c r="B886">
        <v>294</v>
      </c>
      <c r="C886">
        <v>151</v>
      </c>
      <c r="D886" s="1">
        <v>41802</v>
      </c>
      <c r="E886">
        <v>1838</v>
      </c>
      <c r="F886">
        <v>360</v>
      </c>
      <c r="G886" t="s">
        <v>40</v>
      </c>
      <c r="H886" t="s">
        <v>23</v>
      </c>
      <c r="I886">
        <v>111</v>
      </c>
      <c r="J886" t="s">
        <v>24</v>
      </c>
      <c r="K886" t="s">
        <v>33</v>
      </c>
      <c r="L886" t="s">
        <v>62</v>
      </c>
      <c r="M886">
        <v>321</v>
      </c>
      <c r="N886">
        <v>697</v>
      </c>
      <c r="O886" t="s">
        <v>44</v>
      </c>
      <c r="P886">
        <v>240</v>
      </c>
      <c r="Q886">
        <v>300</v>
      </c>
      <c r="R886">
        <v>170</v>
      </c>
      <c r="S886">
        <v>540</v>
      </c>
      <c r="T886">
        <v>144</v>
      </c>
      <c r="U886" t="s">
        <v>36</v>
      </c>
      <c r="V886" s="2">
        <v>0.46054519368723101</v>
      </c>
      <c r="W886" s="2">
        <v>0.57819225251076045</v>
      </c>
      <c r="X886">
        <v>33</v>
      </c>
    </row>
    <row r="887" spans="1:24" x14ac:dyDescent="0.3">
      <c r="A887">
        <v>816</v>
      </c>
      <c r="B887">
        <v>20</v>
      </c>
      <c r="C887">
        <v>-14</v>
      </c>
      <c r="D887" s="1">
        <v>41803</v>
      </c>
      <c r="E887">
        <v>218</v>
      </c>
      <c r="F887">
        <v>25</v>
      </c>
      <c r="G887" t="s">
        <v>40</v>
      </c>
      <c r="H887" t="s">
        <v>23</v>
      </c>
      <c r="I887">
        <v>7</v>
      </c>
      <c r="J887" t="s">
        <v>24</v>
      </c>
      <c r="K887" t="s">
        <v>33</v>
      </c>
      <c r="L887" t="s">
        <v>62</v>
      </c>
      <c r="M887">
        <v>-24</v>
      </c>
      <c r="N887">
        <v>48</v>
      </c>
      <c r="O887" t="s">
        <v>59</v>
      </c>
      <c r="P887">
        <v>10</v>
      </c>
      <c r="Q887">
        <v>20</v>
      </c>
      <c r="R887">
        <v>-10</v>
      </c>
      <c r="S887">
        <v>30</v>
      </c>
      <c r="T887">
        <v>41</v>
      </c>
      <c r="U887" t="s">
        <v>36</v>
      </c>
      <c r="V887" s="2">
        <v>-0.5</v>
      </c>
      <c r="W887" s="2">
        <v>0.58333333333333337</v>
      </c>
      <c r="X887">
        <v>34</v>
      </c>
    </row>
    <row r="888" spans="1:24" x14ac:dyDescent="0.3">
      <c r="A888">
        <v>951</v>
      </c>
      <c r="B888">
        <v>154</v>
      </c>
      <c r="C888">
        <v>-17</v>
      </c>
      <c r="D888" s="1">
        <v>41804</v>
      </c>
      <c r="E888">
        <v>3654</v>
      </c>
      <c r="F888">
        <v>-24</v>
      </c>
      <c r="G888" t="s">
        <v>22</v>
      </c>
      <c r="H888" t="s">
        <v>37</v>
      </c>
      <c r="I888">
        <v>50</v>
      </c>
      <c r="J888" t="s">
        <v>41</v>
      </c>
      <c r="K888" t="s">
        <v>46</v>
      </c>
      <c r="L888" t="s">
        <v>47</v>
      </c>
      <c r="M888">
        <v>-117</v>
      </c>
      <c r="N888">
        <v>130</v>
      </c>
      <c r="O888" t="s">
        <v>39</v>
      </c>
      <c r="P888">
        <v>220</v>
      </c>
      <c r="Q888">
        <v>-30</v>
      </c>
      <c r="R888">
        <v>-100</v>
      </c>
      <c r="S888">
        <v>190</v>
      </c>
      <c r="T888">
        <v>93</v>
      </c>
      <c r="U888" t="s">
        <v>28</v>
      </c>
      <c r="V888" s="2">
        <v>-0.9</v>
      </c>
      <c r="W888" s="2">
        <v>-0.18461538461538463</v>
      </c>
      <c r="X888">
        <v>43</v>
      </c>
    </row>
    <row r="889" spans="1:24" x14ac:dyDescent="0.3">
      <c r="A889">
        <v>714</v>
      </c>
      <c r="B889">
        <v>257</v>
      </c>
      <c r="C889">
        <v>-15</v>
      </c>
      <c r="D889" s="1">
        <v>41805</v>
      </c>
      <c r="E889">
        <v>1662</v>
      </c>
      <c r="F889">
        <v>341</v>
      </c>
      <c r="G889" t="s">
        <v>22</v>
      </c>
      <c r="H889" t="s">
        <v>37</v>
      </c>
      <c r="I889">
        <v>84</v>
      </c>
      <c r="J889" t="s">
        <v>41</v>
      </c>
      <c r="K889" t="s">
        <v>42</v>
      </c>
      <c r="L889" t="s">
        <v>43</v>
      </c>
      <c r="M889">
        <v>225</v>
      </c>
      <c r="N889">
        <v>598</v>
      </c>
      <c r="O889" t="s">
        <v>39</v>
      </c>
      <c r="P889">
        <v>230</v>
      </c>
      <c r="Q889">
        <v>320</v>
      </c>
      <c r="R889">
        <v>240</v>
      </c>
      <c r="S889">
        <v>550</v>
      </c>
      <c r="T889">
        <v>116</v>
      </c>
      <c r="U889" t="s">
        <v>28</v>
      </c>
      <c r="V889" s="2">
        <v>0.37625418060200672</v>
      </c>
      <c r="W889" s="2">
        <v>0.57023411371237454</v>
      </c>
      <c r="X889">
        <v>32</v>
      </c>
    </row>
    <row r="890" spans="1:24" x14ac:dyDescent="0.3">
      <c r="A890">
        <v>818</v>
      </c>
      <c r="B890">
        <v>122</v>
      </c>
      <c r="C890">
        <v>-14</v>
      </c>
      <c r="D890" s="1">
        <v>41806</v>
      </c>
      <c r="E890">
        <v>2555</v>
      </c>
      <c r="F890">
        <v>-13</v>
      </c>
      <c r="G890" t="s">
        <v>22</v>
      </c>
      <c r="H890" t="s">
        <v>37</v>
      </c>
      <c r="I890">
        <v>39</v>
      </c>
      <c r="J890" t="s">
        <v>41</v>
      </c>
      <c r="K890" t="s">
        <v>46</v>
      </c>
      <c r="L890" t="s">
        <v>51</v>
      </c>
      <c r="M890">
        <v>-74</v>
      </c>
      <c r="N890">
        <v>109</v>
      </c>
      <c r="O890" t="s">
        <v>39</v>
      </c>
      <c r="P890">
        <v>170</v>
      </c>
      <c r="Q890">
        <v>-20</v>
      </c>
      <c r="R890">
        <v>-60</v>
      </c>
      <c r="S890">
        <v>150</v>
      </c>
      <c r="T890">
        <v>61</v>
      </c>
      <c r="U890" t="s">
        <v>36</v>
      </c>
      <c r="V890" s="2">
        <v>-0.67889908256880738</v>
      </c>
      <c r="W890" s="2">
        <v>-0.11926605504587157</v>
      </c>
      <c r="X890">
        <v>22</v>
      </c>
    </row>
    <row r="891" spans="1:24" x14ac:dyDescent="0.3">
      <c r="A891">
        <v>626</v>
      </c>
      <c r="B891">
        <v>260</v>
      </c>
      <c r="C891">
        <v>-223</v>
      </c>
      <c r="D891" s="1">
        <v>41807</v>
      </c>
      <c r="E891">
        <v>2548</v>
      </c>
      <c r="F891">
        <v>390</v>
      </c>
      <c r="G891" t="s">
        <v>22</v>
      </c>
      <c r="H891" t="s">
        <v>37</v>
      </c>
      <c r="I891">
        <v>91</v>
      </c>
      <c r="J891" t="s">
        <v>41</v>
      </c>
      <c r="K891" t="s">
        <v>46</v>
      </c>
      <c r="L891" t="s">
        <v>53</v>
      </c>
      <c r="M891">
        <v>247</v>
      </c>
      <c r="N891">
        <v>650</v>
      </c>
      <c r="O891" t="s">
        <v>39</v>
      </c>
      <c r="P891">
        <v>380</v>
      </c>
      <c r="Q891">
        <v>580</v>
      </c>
      <c r="R891">
        <v>470</v>
      </c>
      <c r="S891">
        <v>960</v>
      </c>
      <c r="T891">
        <v>143</v>
      </c>
      <c r="U891" t="s">
        <v>36</v>
      </c>
      <c r="V891" s="2">
        <v>0.38</v>
      </c>
      <c r="W891" s="2">
        <v>0.6</v>
      </c>
      <c r="X891">
        <v>52</v>
      </c>
    </row>
    <row r="892" spans="1:24" x14ac:dyDescent="0.3">
      <c r="A892">
        <v>562</v>
      </c>
      <c r="B892">
        <v>239</v>
      </c>
      <c r="C892">
        <v>-11</v>
      </c>
      <c r="D892" s="1">
        <v>41808</v>
      </c>
      <c r="E892">
        <v>1755</v>
      </c>
      <c r="F892">
        <v>239</v>
      </c>
      <c r="G892" t="s">
        <v>22</v>
      </c>
      <c r="H892" t="s">
        <v>37</v>
      </c>
      <c r="I892">
        <v>66</v>
      </c>
      <c r="J892" t="s">
        <v>41</v>
      </c>
      <c r="K892" t="s">
        <v>42</v>
      </c>
      <c r="L892" t="s">
        <v>55</v>
      </c>
      <c r="M892">
        <v>149</v>
      </c>
      <c r="N892">
        <v>478</v>
      </c>
      <c r="O892" t="s">
        <v>39</v>
      </c>
      <c r="P892">
        <v>210</v>
      </c>
      <c r="Q892">
        <v>220</v>
      </c>
      <c r="R892">
        <v>160</v>
      </c>
      <c r="S892">
        <v>430</v>
      </c>
      <c r="T892">
        <v>90</v>
      </c>
      <c r="U892" t="s">
        <v>36</v>
      </c>
      <c r="V892" s="2">
        <v>0.31171548117154813</v>
      </c>
      <c r="W892" s="2">
        <v>0.5</v>
      </c>
      <c r="X892">
        <v>24</v>
      </c>
    </row>
    <row r="893" spans="1:24" x14ac:dyDescent="0.3">
      <c r="A893">
        <v>562</v>
      </c>
      <c r="B893">
        <v>125</v>
      </c>
      <c r="C893">
        <v>-23</v>
      </c>
      <c r="D893" s="1">
        <v>41809</v>
      </c>
      <c r="E893">
        <v>898</v>
      </c>
      <c r="F893">
        <v>173</v>
      </c>
      <c r="G893" t="s">
        <v>22</v>
      </c>
      <c r="H893" t="s">
        <v>37</v>
      </c>
      <c r="I893">
        <v>113</v>
      </c>
      <c r="J893" t="s">
        <v>41</v>
      </c>
      <c r="K893" t="s">
        <v>42</v>
      </c>
      <c r="L893" t="s">
        <v>54</v>
      </c>
      <c r="M893">
        <v>27</v>
      </c>
      <c r="N893">
        <v>298</v>
      </c>
      <c r="O893" t="s">
        <v>39</v>
      </c>
      <c r="P893">
        <v>110</v>
      </c>
      <c r="Q893">
        <v>160</v>
      </c>
      <c r="R893">
        <v>50</v>
      </c>
      <c r="S893">
        <v>270</v>
      </c>
      <c r="T893">
        <v>146</v>
      </c>
      <c r="U893" t="s">
        <v>36</v>
      </c>
      <c r="V893" s="2">
        <v>9.0604026845637578E-2</v>
      </c>
      <c r="W893" s="2">
        <v>0.58053691275167785</v>
      </c>
      <c r="X893">
        <v>33</v>
      </c>
    </row>
    <row r="894" spans="1:24" x14ac:dyDescent="0.3">
      <c r="A894">
        <v>661</v>
      </c>
      <c r="B894">
        <v>108</v>
      </c>
      <c r="C894">
        <v>-5</v>
      </c>
      <c r="D894" s="1">
        <v>41810</v>
      </c>
      <c r="E894">
        <v>971</v>
      </c>
      <c r="F894">
        <v>157</v>
      </c>
      <c r="G894" t="s">
        <v>22</v>
      </c>
      <c r="H894" t="s">
        <v>37</v>
      </c>
      <c r="I894">
        <v>30</v>
      </c>
      <c r="J894" t="s">
        <v>24</v>
      </c>
      <c r="K894" t="s">
        <v>25</v>
      </c>
      <c r="L894" t="s">
        <v>58</v>
      </c>
      <c r="M894">
        <v>115</v>
      </c>
      <c r="N894">
        <v>265</v>
      </c>
      <c r="O894" t="s">
        <v>39</v>
      </c>
      <c r="P894">
        <v>80</v>
      </c>
      <c r="Q894">
        <v>130</v>
      </c>
      <c r="R894">
        <v>120</v>
      </c>
      <c r="S894">
        <v>210</v>
      </c>
      <c r="T894">
        <v>42</v>
      </c>
      <c r="U894" t="s">
        <v>28</v>
      </c>
      <c r="V894" s="2">
        <v>0.43396226415094341</v>
      </c>
      <c r="W894" s="2">
        <v>0.59245283018867922</v>
      </c>
      <c r="X894">
        <v>12</v>
      </c>
    </row>
    <row r="895" spans="1:24" x14ac:dyDescent="0.3">
      <c r="A895">
        <v>562</v>
      </c>
      <c r="B895">
        <v>239</v>
      </c>
      <c r="C895">
        <v>16</v>
      </c>
      <c r="D895" s="1">
        <v>41811</v>
      </c>
      <c r="E895">
        <v>1246</v>
      </c>
      <c r="F895">
        <v>281</v>
      </c>
      <c r="G895" t="s">
        <v>22</v>
      </c>
      <c r="H895" t="s">
        <v>37</v>
      </c>
      <c r="I895">
        <v>74</v>
      </c>
      <c r="J895" t="s">
        <v>24</v>
      </c>
      <c r="K895" t="s">
        <v>25</v>
      </c>
      <c r="L895" t="s">
        <v>26</v>
      </c>
      <c r="M895">
        <v>186</v>
      </c>
      <c r="N895">
        <v>520</v>
      </c>
      <c r="O895" t="s">
        <v>39</v>
      </c>
      <c r="P895">
        <v>190</v>
      </c>
      <c r="Q895">
        <v>220</v>
      </c>
      <c r="R895">
        <v>170</v>
      </c>
      <c r="S895">
        <v>410</v>
      </c>
      <c r="T895">
        <v>95</v>
      </c>
      <c r="U895" t="s">
        <v>28</v>
      </c>
      <c r="V895" s="2">
        <v>0.3576923076923077</v>
      </c>
      <c r="W895" s="2">
        <v>0.54038461538461535</v>
      </c>
      <c r="X895">
        <v>21</v>
      </c>
    </row>
    <row r="896" spans="1:24" x14ac:dyDescent="0.3">
      <c r="A896">
        <v>562</v>
      </c>
      <c r="B896">
        <v>123</v>
      </c>
      <c r="C896">
        <v>54</v>
      </c>
      <c r="D896" s="1">
        <v>41812</v>
      </c>
      <c r="E896">
        <v>915</v>
      </c>
      <c r="F896">
        <v>179</v>
      </c>
      <c r="G896" t="s">
        <v>22</v>
      </c>
      <c r="H896" t="s">
        <v>37</v>
      </c>
      <c r="I896">
        <v>34</v>
      </c>
      <c r="J896" t="s">
        <v>24</v>
      </c>
      <c r="K896" t="s">
        <v>33</v>
      </c>
      <c r="L896" t="s">
        <v>34</v>
      </c>
      <c r="M896">
        <v>134</v>
      </c>
      <c r="N896">
        <v>302</v>
      </c>
      <c r="O896" t="s">
        <v>39</v>
      </c>
      <c r="P896">
        <v>50</v>
      </c>
      <c r="Q896">
        <v>90</v>
      </c>
      <c r="R896">
        <v>80</v>
      </c>
      <c r="S896">
        <v>140</v>
      </c>
      <c r="T896">
        <v>45</v>
      </c>
      <c r="U896" t="s">
        <v>36</v>
      </c>
      <c r="V896" s="2">
        <v>0.44370860927152317</v>
      </c>
      <c r="W896" s="2">
        <v>0.5927152317880795</v>
      </c>
      <c r="X896">
        <v>11</v>
      </c>
    </row>
    <row r="897" spans="1:24" x14ac:dyDescent="0.3">
      <c r="A897">
        <v>971</v>
      </c>
      <c r="B897">
        <v>43</v>
      </c>
      <c r="C897">
        <v>-51</v>
      </c>
      <c r="D897" s="1">
        <v>41813</v>
      </c>
      <c r="E897">
        <v>419</v>
      </c>
      <c r="F897">
        <v>64</v>
      </c>
      <c r="G897" t="s">
        <v>40</v>
      </c>
      <c r="H897" t="s">
        <v>37</v>
      </c>
      <c r="I897">
        <v>13</v>
      </c>
      <c r="J897" t="s">
        <v>41</v>
      </c>
      <c r="K897" t="s">
        <v>46</v>
      </c>
      <c r="L897" t="s">
        <v>47</v>
      </c>
      <c r="M897">
        <v>29</v>
      </c>
      <c r="N897">
        <v>107</v>
      </c>
      <c r="O897" t="s">
        <v>57</v>
      </c>
      <c r="P897">
        <v>50</v>
      </c>
      <c r="Q897">
        <v>100</v>
      </c>
      <c r="R897">
        <v>80</v>
      </c>
      <c r="S897">
        <v>150</v>
      </c>
      <c r="T897">
        <v>35</v>
      </c>
      <c r="U897" t="s">
        <v>28</v>
      </c>
      <c r="V897" s="2">
        <v>0.27102803738317754</v>
      </c>
      <c r="W897" s="2">
        <v>0.59813084112149528</v>
      </c>
      <c r="X897">
        <v>22</v>
      </c>
    </row>
    <row r="898" spans="1:24" x14ac:dyDescent="0.3">
      <c r="A898">
        <v>435</v>
      </c>
      <c r="B898">
        <v>79</v>
      </c>
      <c r="C898">
        <v>-86</v>
      </c>
      <c r="D898" s="1">
        <v>41814</v>
      </c>
      <c r="E898">
        <v>593</v>
      </c>
      <c r="F898">
        <v>98</v>
      </c>
      <c r="G898" t="s">
        <v>40</v>
      </c>
      <c r="H898" t="s">
        <v>37</v>
      </c>
      <c r="I898">
        <v>30</v>
      </c>
      <c r="J898" t="s">
        <v>41</v>
      </c>
      <c r="K898" t="s">
        <v>46</v>
      </c>
      <c r="L898" t="s">
        <v>47</v>
      </c>
      <c r="M898">
        <v>34</v>
      </c>
      <c r="N898">
        <v>177</v>
      </c>
      <c r="O898" t="s">
        <v>50</v>
      </c>
      <c r="P898">
        <v>100</v>
      </c>
      <c r="Q898">
        <v>160</v>
      </c>
      <c r="R898">
        <v>120</v>
      </c>
      <c r="S898">
        <v>260</v>
      </c>
      <c r="T898">
        <v>64</v>
      </c>
      <c r="U898" t="s">
        <v>28</v>
      </c>
      <c r="V898" s="2">
        <v>0.19209039548022599</v>
      </c>
      <c r="W898" s="2">
        <v>0.5536723163841808</v>
      </c>
      <c r="X898">
        <v>34</v>
      </c>
    </row>
    <row r="899" spans="1:24" x14ac:dyDescent="0.3">
      <c r="A899">
        <v>425</v>
      </c>
      <c r="B899">
        <v>96</v>
      </c>
      <c r="C899">
        <v>-83</v>
      </c>
      <c r="D899" s="1">
        <v>41815</v>
      </c>
      <c r="E899">
        <v>683</v>
      </c>
      <c r="F899">
        <v>134</v>
      </c>
      <c r="G899" t="s">
        <v>40</v>
      </c>
      <c r="H899" t="s">
        <v>37</v>
      </c>
      <c r="I899">
        <v>87</v>
      </c>
      <c r="J899" t="s">
        <v>41</v>
      </c>
      <c r="K899" t="s">
        <v>46</v>
      </c>
      <c r="L899" t="s">
        <v>47</v>
      </c>
      <c r="M899">
        <v>17</v>
      </c>
      <c r="N899">
        <v>230</v>
      </c>
      <c r="O899" t="s">
        <v>61</v>
      </c>
      <c r="P899">
        <v>140</v>
      </c>
      <c r="Q899">
        <v>190</v>
      </c>
      <c r="R899">
        <v>100</v>
      </c>
      <c r="S899">
        <v>330</v>
      </c>
      <c r="T899">
        <v>117</v>
      </c>
      <c r="U899" t="s">
        <v>28</v>
      </c>
      <c r="V899" s="2">
        <v>7.3913043478260873E-2</v>
      </c>
      <c r="W899" s="2">
        <v>0.58260869565217388</v>
      </c>
      <c r="X899">
        <v>30</v>
      </c>
    </row>
    <row r="900" spans="1:24" x14ac:dyDescent="0.3">
      <c r="A900">
        <v>503</v>
      </c>
      <c r="B900">
        <v>161</v>
      </c>
      <c r="C900">
        <v>-19</v>
      </c>
      <c r="D900" s="1">
        <v>41816</v>
      </c>
      <c r="E900">
        <v>1267</v>
      </c>
      <c r="F900">
        <v>161</v>
      </c>
      <c r="G900" t="s">
        <v>40</v>
      </c>
      <c r="H900" t="s">
        <v>37</v>
      </c>
      <c r="I900">
        <v>45</v>
      </c>
      <c r="J900" t="s">
        <v>41</v>
      </c>
      <c r="K900" t="s">
        <v>42</v>
      </c>
      <c r="L900" t="s">
        <v>43</v>
      </c>
      <c r="M900">
        <v>91</v>
      </c>
      <c r="N900">
        <v>322</v>
      </c>
      <c r="O900" t="s">
        <v>57</v>
      </c>
      <c r="P900">
        <v>140</v>
      </c>
      <c r="Q900">
        <v>150</v>
      </c>
      <c r="R900">
        <v>110</v>
      </c>
      <c r="S900">
        <v>290</v>
      </c>
      <c r="T900">
        <v>70</v>
      </c>
      <c r="U900" t="s">
        <v>28</v>
      </c>
      <c r="V900" s="2">
        <v>0.28260869565217389</v>
      </c>
      <c r="W900" s="2">
        <v>0.5</v>
      </c>
      <c r="X900">
        <v>25</v>
      </c>
    </row>
    <row r="901" spans="1:24" x14ac:dyDescent="0.3">
      <c r="A901">
        <v>253</v>
      </c>
      <c r="B901">
        <v>80</v>
      </c>
      <c r="C901">
        <v>-32</v>
      </c>
      <c r="D901" s="1">
        <v>41817</v>
      </c>
      <c r="E901">
        <v>1055</v>
      </c>
      <c r="F901">
        <v>94</v>
      </c>
      <c r="G901" t="s">
        <v>40</v>
      </c>
      <c r="H901" t="s">
        <v>37</v>
      </c>
      <c r="I901">
        <v>24</v>
      </c>
      <c r="J901" t="s">
        <v>41</v>
      </c>
      <c r="K901" t="s">
        <v>42</v>
      </c>
      <c r="L901" t="s">
        <v>43</v>
      </c>
      <c r="M901">
        <v>48</v>
      </c>
      <c r="N901">
        <v>174</v>
      </c>
      <c r="O901" t="s">
        <v>61</v>
      </c>
      <c r="P901">
        <v>60</v>
      </c>
      <c r="Q901">
        <v>90</v>
      </c>
      <c r="R901">
        <v>80</v>
      </c>
      <c r="S901">
        <v>150</v>
      </c>
      <c r="T901">
        <v>46</v>
      </c>
      <c r="U901" t="s">
        <v>28</v>
      </c>
      <c r="V901" s="2">
        <v>0.27586206896551724</v>
      </c>
      <c r="W901" s="2">
        <v>0.54022988505747127</v>
      </c>
      <c r="X901">
        <v>22</v>
      </c>
    </row>
    <row r="902" spans="1:24" x14ac:dyDescent="0.3">
      <c r="A902">
        <v>971</v>
      </c>
      <c r="B902">
        <v>51</v>
      </c>
      <c r="C902">
        <v>-55</v>
      </c>
      <c r="D902" s="1">
        <v>41818</v>
      </c>
      <c r="E902">
        <v>503</v>
      </c>
      <c r="F902">
        <v>71</v>
      </c>
      <c r="G902" t="s">
        <v>40</v>
      </c>
      <c r="H902" t="s">
        <v>37</v>
      </c>
      <c r="I902">
        <v>46</v>
      </c>
      <c r="J902" t="s">
        <v>41</v>
      </c>
      <c r="K902" t="s">
        <v>46</v>
      </c>
      <c r="L902" t="s">
        <v>51</v>
      </c>
      <c r="M902">
        <v>-5</v>
      </c>
      <c r="N902">
        <v>122</v>
      </c>
      <c r="O902" t="s">
        <v>57</v>
      </c>
      <c r="P902">
        <v>70</v>
      </c>
      <c r="Q902">
        <v>100</v>
      </c>
      <c r="R902">
        <v>50</v>
      </c>
      <c r="S902">
        <v>170</v>
      </c>
      <c r="T902">
        <v>76</v>
      </c>
      <c r="U902" t="s">
        <v>36</v>
      </c>
      <c r="V902" s="2">
        <v>-4.0983606557377046E-2</v>
      </c>
      <c r="W902" s="2">
        <v>0.58196721311475408</v>
      </c>
      <c r="X902">
        <v>30</v>
      </c>
    </row>
    <row r="903" spans="1:24" x14ac:dyDescent="0.3">
      <c r="A903">
        <v>435</v>
      </c>
      <c r="B903">
        <v>65</v>
      </c>
      <c r="C903">
        <v>-54</v>
      </c>
      <c r="D903" s="1">
        <v>41819</v>
      </c>
      <c r="E903">
        <v>1053</v>
      </c>
      <c r="F903">
        <v>77</v>
      </c>
      <c r="G903" t="s">
        <v>40</v>
      </c>
      <c r="H903" t="s">
        <v>37</v>
      </c>
      <c r="I903">
        <v>20</v>
      </c>
      <c r="J903" t="s">
        <v>41</v>
      </c>
      <c r="K903" t="s">
        <v>46</v>
      </c>
      <c r="L903" t="s">
        <v>51</v>
      </c>
      <c r="M903">
        <v>36</v>
      </c>
      <c r="N903">
        <v>142</v>
      </c>
      <c r="O903" t="s">
        <v>50</v>
      </c>
      <c r="P903">
        <v>90</v>
      </c>
      <c r="Q903">
        <v>110</v>
      </c>
      <c r="R903">
        <v>90</v>
      </c>
      <c r="S903">
        <v>200</v>
      </c>
      <c r="T903">
        <v>41</v>
      </c>
      <c r="U903" t="s">
        <v>36</v>
      </c>
      <c r="V903" s="2">
        <v>0.25352112676056338</v>
      </c>
      <c r="W903" s="2">
        <v>0.54225352112676062</v>
      </c>
      <c r="X903">
        <v>21</v>
      </c>
    </row>
    <row r="904" spans="1:24" x14ac:dyDescent="0.3">
      <c r="A904">
        <v>971</v>
      </c>
      <c r="B904">
        <v>60</v>
      </c>
      <c r="C904">
        <v>-69</v>
      </c>
      <c r="D904" s="1">
        <v>41820</v>
      </c>
      <c r="E904">
        <v>463</v>
      </c>
      <c r="F904">
        <v>84</v>
      </c>
      <c r="G904" t="s">
        <v>40</v>
      </c>
      <c r="H904" t="s">
        <v>37</v>
      </c>
      <c r="I904">
        <v>19</v>
      </c>
      <c r="J904" t="s">
        <v>41</v>
      </c>
      <c r="K904" t="s">
        <v>46</v>
      </c>
      <c r="L904" t="s">
        <v>53</v>
      </c>
      <c r="M904">
        <v>21</v>
      </c>
      <c r="N904">
        <v>144</v>
      </c>
      <c r="O904" t="s">
        <v>57</v>
      </c>
      <c r="P904">
        <v>80</v>
      </c>
      <c r="Q904">
        <v>130</v>
      </c>
      <c r="R904">
        <v>90</v>
      </c>
      <c r="S904">
        <v>210</v>
      </c>
      <c r="T904">
        <v>63</v>
      </c>
      <c r="U904" t="s">
        <v>36</v>
      </c>
      <c r="V904" s="2">
        <v>0.14583333333333334</v>
      </c>
      <c r="W904" s="2">
        <v>0.58333333333333337</v>
      </c>
      <c r="X904">
        <v>44</v>
      </c>
    </row>
    <row r="905" spans="1:24" x14ac:dyDescent="0.3">
      <c r="A905">
        <v>435</v>
      </c>
      <c r="B905">
        <v>47</v>
      </c>
      <c r="C905">
        <v>-58</v>
      </c>
      <c r="D905" s="1">
        <v>41821</v>
      </c>
      <c r="E905">
        <v>375</v>
      </c>
      <c r="F905">
        <v>64</v>
      </c>
      <c r="G905" t="s">
        <v>40</v>
      </c>
      <c r="H905" t="s">
        <v>37</v>
      </c>
      <c r="I905">
        <v>15</v>
      </c>
      <c r="J905" t="s">
        <v>41</v>
      </c>
      <c r="K905" t="s">
        <v>46</v>
      </c>
      <c r="L905" t="s">
        <v>53</v>
      </c>
      <c r="M905">
        <v>22</v>
      </c>
      <c r="N905">
        <v>111</v>
      </c>
      <c r="O905" t="s">
        <v>50</v>
      </c>
      <c r="P905">
        <v>50</v>
      </c>
      <c r="Q905">
        <v>100</v>
      </c>
      <c r="R905">
        <v>80</v>
      </c>
      <c r="S905">
        <v>150</v>
      </c>
      <c r="T905">
        <v>42</v>
      </c>
      <c r="U905" t="s">
        <v>36</v>
      </c>
      <c r="V905" s="2">
        <v>0.1981981981981982</v>
      </c>
      <c r="W905" s="2">
        <v>0.57657657657657657</v>
      </c>
      <c r="X905">
        <v>27</v>
      </c>
    </row>
    <row r="906" spans="1:24" x14ac:dyDescent="0.3">
      <c r="A906">
        <v>206</v>
      </c>
      <c r="B906">
        <v>68</v>
      </c>
      <c r="C906">
        <v>-54</v>
      </c>
      <c r="D906" s="1">
        <v>41822</v>
      </c>
      <c r="E906">
        <v>438</v>
      </c>
      <c r="F906">
        <v>99</v>
      </c>
      <c r="G906" t="s">
        <v>40</v>
      </c>
      <c r="H906" t="s">
        <v>37</v>
      </c>
      <c r="I906">
        <v>21</v>
      </c>
      <c r="J906" t="s">
        <v>41</v>
      </c>
      <c r="K906" t="s">
        <v>46</v>
      </c>
      <c r="L906" t="s">
        <v>53</v>
      </c>
      <c r="M906">
        <v>56</v>
      </c>
      <c r="N906">
        <v>167</v>
      </c>
      <c r="O906" t="s">
        <v>61</v>
      </c>
      <c r="P906">
        <v>90</v>
      </c>
      <c r="Q906">
        <v>140</v>
      </c>
      <c r="R906">
        <v>110</v>
      </c>
      <c r="S906">
        <v>230</v>
      </c>
      <c r="T906">
        <v>43</v>
      </c>
      <c r="U906" t="s">
        <v>36</v>
      </c>
      <c r="V906" s="2">
        <v>0.33532934131736525</v>
      </c>
      <c r="W906" s="2">
        <v>0.59281437125748504</v>
      </c>
      <c r="X906">
        <v>22</v>
      </c>
    </row>
    <row r="907" spans="1:24" x14ac:dyDescent="0.3">
      <c r="A907">
        <v>206</v>
      </c>
      <c r="B907">
        <v>22</v>
      </c>
      <c r="C907">
        <v>-10</v>
      </c>
      <c r="D907" s="1">
        <v>41823</v>
      </c>
      <c r="E907">
        <v>573</v>
      </c>
      <c r="F907">
        <v>29</v>
      </c>
      <c r="G907" t="s">
        <v>40</v>
      </c>
      <c r="H907" t="s">
        <v>37</v>
      </c>
      <c r="I907">
        <v>7</v>
      </c>
      <c r="J907" t="s">
        <v>41</v>
      </c>
      <c r="K907" t="s">
        <v>42</v>
      </c>
      <c r="L907" t="s">
        <v>55</v>
      </c>
      <c r="M907">
        <v>10</v>
      </c>
      <c r="N907">
        <v>51</v>
      </c>
      <c r="O907" t="s">
        <v>61</v>
      </c>
      <c r="P907">
        <v>10</v>
      </c>
      <c r="Q907">
        <v>20</v>
      </c>
      <c r="R907">
        <v>20</v>
      </c>
      <c r="S907">
        <v>30</v>
      </c>
      <c r="T907">
        <v>19</v>
      </c>
      <c r="U907" t="s">
        <v>36</v>
      </c>
      <c r="V907" s="2">
        <v>0.19607843137254902</v>
      </c>
      <c r="W907" s="2">
        <v>0.56862745098039214</v>
      </c>
      <c r="X907">
        <v>12</v>
      </c>
    </row>
    <row r="908" spans="1:24" x14ac:dyDescent="0.3">
      <c r="A908">
        <v>702</v>
      </c>
      <c r="B908">
        <v>21</v>
      </c>
      <c r="C908">
        <v>-6</v>
      </c>
      <c r="D908" s="1">
        <v>41824</v>
      </c>
      <c r="E908">
        <v>846</v>
      </c>
      <c r="F908">
        <v>31</v>
      </c>
      <c r="G908" t="s">
        <v>40</v>
      </c>
      <c r="H908" t="s">
        <v>37</v>
      </c>
      <c r="I908">
        <v>5</v>
      </c>
      <c r="J908" t="s">
        <v>41</v>
      </c>
      <c r="K908" t="s">
        <v>42</v>
      </c>
      <c r="L908" t="s">
        <v>54</v>
      </c>
      <c r="M908">
        <v>14</v>
      </c>
      <c r="N908">
        <v>52</v>
      </c>
      <c r="O908" t="s">
        <v>49</v>
      </c>
      <c r="P908">
        <v>10</v>
      </c>
      <c r="Q908">
        <v>20</v>
      </c>
      <c r="R908">
        <v>20</v>
      </c>
      <c r="S908">
        <v>30</v>
      </c>
      <c r="T908">
        <v>17</v>
      </c>
      <c r="U908" t="s">
        <v>36</v>
      </c>
      <c r="V908" s="2">
        <v>0.26923076923076922</v>
      </c>
      <c r="W908" s="2">
        <v>0.59615384615384615</v>
      </c>
      <c r="X908">
        <v>12</v>
      </c>
    </row>
    <row r="909" spans="1:24" x14ac:dyDescent="0.3">
      <c r="A909">
        <v>801</v>
      </c>
      <c r="B909">
        <v>103</v>
      </c>
      <c r="C909">
        <v>-23</v>
      </c>
      <c r="D909" s="1">
        <v>41825</v>
      </c>
      <c r="E909">
        <v>564</v>
      </c>
      <c r="F909">
        <v>133</v>
      </c>
      <c r="G909" t="s">
        <v>40</v>
      </c>
      <c r="H909" t="s">
        <v>37</v>
      </c>
      <c r="I909">
        <v>33</v>
      </c>
      <c r="J909" t="s">
        <v>41</v>
      </c>
      <c r="K909" t="s">
        <v>42</v>
      </c>
      <c r="L909" t="s">
        <v>54</v>
      </c>
      <c r="M909">
        <v>87</v>
      </c>
      <c r="N909">
        <v>236</v>
      </c>
      <c r="O909" t="s">
        <v>50</v>
      </c>
      <c r="P909">
        <v>80</v>
      </c>
      <c r="Q909">
        <v>130</v>
      </c>
      <c r="R909">
        <v>110</v>
      </c>
      <c r="S909">
        <v>210</v>
      </c>
      <c r="T909">
        <v>46</v>
      </c>
      <c r="U909" t="s">
        <v>36</v>
      </c>
      <c r="V909" s="2">
        <v>0.36864406779661019</v>
      </c>
      <c r="W909" s="2">
        <v>0.56355932203389836</v>
      </c>
      <c r="X909">
        <v>13</v>
      </c>
    </row>
    <row r="910" spans="1:24" x14ac:dyDescent="0.3">
      <c r="A910">
        <v>775</v>
      </c>
      <c r="B910">
        <v>125</v>
      </c>
      <c r="C910">
        <v>-34</v>
      </c>
      <c r="D910" s="1">
        <v>41826</v>
      </c>
      <c r="E910">
        <v>898</v>
      </c>
      <c r="F910">
        <v>173</v>
      </c>
      <c r="G910" t="s">
        <v>40</v>
      </c>
      <c r="H910" t="s">
        <v>37</v>
      </c>
      <c r="I910">
        <v>113</v>
      </c>
      <c r="J910" t="s">
        <v>24</v>
      </c>
      <c r="K910" t="s">
        <v>25</v>
      </c>
      <c r="L910" t="s">
        <v>58</v>
      </c>
      <c r="M910">
        <v>26</v>
      </c>
      <c r="N910">
        <v>298</v>
      </c>
      <c r="O910" t="s">
        <v>49</v>
      </c>
      <c r="P910">
        <v>90</v>
      </c>
      <c r="Q910">
        <v>150</v>
      </c>
      <c r="R910">
        <v>60</v>
      </c>
      <c r="S910">
        <v>240</v>
      </c>
      <c r="T910">
        <v>147</v>
      </c>
      <c r="U910" t="s">
        <v>28</v>
      </c>
      <c r="V910" s="2">
        <v>8.7248322147651006E-2</v>
      </c>
      <c r="W910" s="2">
        <v>0.58053691275167785</v>
      </c>
      <c r="X910">
        <v>34</v>
      </c>
    </row>
    <row r="911" spans="1:24" x14ac:dyDescent="0.3">
      <c r="A911">
        <v>206</v>
      </c>
      <c r="B911">
        <v>125</v>
      </c>
      <c r="C911">
        <v>-15</v>
      </c>
      <c r="D911" s="1">
        <v>41827</v>
      </c>
      <c r="E911">
        <v>1119</v>
      </c>
      <c r="F911">
        <v>188</v>
      </c>
      <c r="G911" t="s">
        <v>40</v>
      </c>
      <c r="H911" t="s">
        <v>37</v>
      </c>
      <c r="I911">
        <v>41</v>
      </c>
      <c r="J911" t="s">
        <v>24</v>
      </c>
      <c r="K911" t="s">
        <v>25</v>
      </c>
      <c r="L911" t="s">
        <v>58</v>
      </c>
      <c r="M911">
        <v>115</v>
      </c>
      <c r="N911">
        <v>313</v>
      </c>
      <c r="O911" t="s">
        <v>61</v>
      </c>
      <c r="P911">
        <v>90</v>
      </c>
      <c r="Q911">
        <v>160</v>
      </c>
      <c r="R911">
        <v>130</v>
      </c>
      <c r="S911">
        <v>250</v>
      </c>
      <c r="T911">
        <v>73</v>
      </c>
      <c r="U911" t="s">
        <v>28</v>
      </c>
      <c r="V911" s="2">
        <v>0.36741214057507987</v>
      </c>
      <c r="W911" s="2">
        <v>0.60063897763578278</v>
      </c>
      <c r="X911">
        <v>32</v>
      </c>
    </row>
    <row r="912" spans="1:24" x14ac:dyDescent="0.3">
      <c r="A912">
        <v>702</v>
      </c>
      <c r="B912">
        <v>154</v>
      </c>
      <c r="C912">
        <v>0</v>
      </c>
      <c r="D912" s="1">
        <v>41828</v>
      </c>
      <c r="E912">
        <v>1132</v>
      </c>
      <c r="F912">
        <v>213</v>
      </c>
      <c r="G912" t="s">
        <v>40</v>
      </c>
      <c r="H912" t="s">
        <v>37</v>
      </c>
      <c r="I912">
        <v>50</v>
      </c>
      <c r="J912" t="s">
        <v>24</v>
      </c>
      <c r="K912" t="s">
        <v>25</v>
      </c>
      <c r="L912" t="s">
        <v>26</v>
      </c>
      <c r="M912">
        <v>120</v>
      </c>
      <c r="N912">
        <v>367</v>
      </c>
      <c r="O912" t="s">
        <v>49</v>
      </c>
      <c r="P912">
        <v>120</v>
      </c>
      <c r="Q912">
        <v>170</v>
      </c>
      <c r="R912">
        <v>120</v>
      </c>
      <c r="S912">
        <v>290</v>
      </c>
      <c r="T912">
        <v>93</v>
      </c>
      <c r="U912" t="s">
        <v>28</v>
      </c>
      <c r="V912" s="2">
        <v>0.32697547683923706</v>
      </c>
      <c r="W912" s="2">
        <v>0.5803814713896458</v>
      </c>
      <c r="X912">
        <v>43</v>
      </c>
    </row>
    <row r="913" spans="1:24" x14ac:dyDescent="0.3">
      <c r="A913">
        <v>971</v>
      </c>
      <c r="B913">
        <v>90</v>
      </c>
      <c r="C913">
        <v>-17</v>
      </c>
      <c r="D913" s="1">
        <v>41829</v>
      </c>
      <c r="E913">
        <v>572</v>
      </c>
      <c r="F913">
        <v>115</v>
      </c>
      <c r="G913" t="s">
        <v>40</v>
      </c>
      <c r="H913" t="s">
        <v>37</v>
      </c>
      <c r="I913">
        <v>29</v>
      </c>
      <c r="J913" t="s">
        <v>24</v>
      </c>
      <c r="K913" t="s">
        <v>25</v>
      </c>
      <c r="L913" t="s">
        <v>26</v>
      </c>
      <c r="M913">
        <v>73</v>
      </c>
      <c r="N913">
        <v>205</v>
      </c>
      <c r="O913" t="s">
        <v>57</v>
      </c>
      <c r="P913">
        <v>60</v>
      </c>
      <c r="Q913">
        <v>100</v>
      </c>
      <c r="R913">
        <v>90</v>
      </c>
      <c r="S913">
        <v>160</v>
      </c>
      <c r="T913">
        <v>42</v>
      </c>
      <c r="U913" t="s">
        <v>28</v>
      </c>
      <c r="V913" s="2">
        <v>0.35609756097560974</v>
      </c>
      <c r="W913" s="2">
        <v>0.56097560975609762</v>
      </c>
      <c r="X913">
        <v>13</v>
      </c>
    </row>
    <row r="914" spans="1:24" x14ac:dyDescent="0.3">
      <c r="A914">
        <v>702</v>
      </c>
      <c r="B914">
        <v>122</v>
      </c>
      <c r="C914">
        <v>-16</v>
      </c>
      <c r="D914" s="1">
        <v>41830</v>
      </c>
      <c r="E914">
        <v>789</v>
      </c>
      <c r="F914">
        <v>176</v>
      </c>
      <c r="G914" t="s">
        <v>40</v>
      </c>
      <c r="H914" t="s">
        <v>37</v>
      </c>
      <c r="I914">
        <v>39</v>
      </c>
      <c r="J914" t="s">
        <v>24</v>
      </c>
      <c r="K914" t="s">
        <v>25</v>
      </c>
      <c r="L914" t="s">
        <v>29</v>
      </c>
      <c r="M914">
        <v>114</v>
      </c>
      <c r="N914">
        <v>298</v>
      </c>
      <c r="O914" t="s">
        <v>49</v>
      </c>
      <c r="P914">
        <v>90</v>
      </c>
      <c r="Q914">
        <v>150</v>
      </c>
      <c r="R914">
        <v>130</v>
      </c>
      <c r="S914">
        <v>240</v>
      </c>
      <c r="T914">
        <v>62</v>
      </c>
      <c r="U914" t="s">
        <v>28</v>
      </c>
      <c r="V914" s="2">
        <v>0.3825503355704698</v>
      </c>
      <c r="W914" s="2">
        <v>0.59060402684563762</v>
      </c>
      <c r="X914">
        <v>23</v>
      </c>
    </row>
    <row r="915" spans="1:24" x14ac:dyDescent="0.3">
      <c r="A915">
        <v>435</v>
      </c>
      <c r="B915">
        <v>86</v>
      </c>
      <c r="C915">
        <v>-27</v>
      </c>
      <c r="D915" s="1">
        <v>41831</v>
      </c>
      <c r="E915">
        <v>1698</v>
      </c>
      <c r="F915">
        <v>23</v>
      </c>
      <c r="G915" t="s">
        <v>40</v>
      </c>
      <c r="H915" t="s">
        <v>37</v>
      </c>
      <c r="I915">
        <v>26</v>
      </c>
      <c r="J915" t="s">
        <v>24</v>
      </c>
      <c r="K915" t="s">
        <v>25</v>
      </c>
      <c r="L915" t="s">
        <v>29</v>
      </c>
      <c r="M915">
        <v>-27</v>
      </c>
      <c r="N915">
        <v>109</v>
      </c>
      <c r="O915" t="s">
        <v>50</v>
      </c>
      <c r="P915">
        <v>60</v>
      </c>
      <c r="Q915">
        <v>20</v>
      </c>
      <c r="R915">
        <v>0</v>
      </c>
      <c r="S915">
        <v>80</v>
      </c>
      <c r="T915">
        <v>50</v>
      </c>
      <c r="U915" t="s">
        <v>28</v>
      </c>
      <c r="V915" s="2">
        <v>-0.24770642201834864</v>
      </c>
      <c r="W915" s="2">
        <v>0.21100917431192662</v>
      </c>
      <c r="X915">
        <v>24</v>
      </c>
    </row>
    <row r="916" spans="1:24" x14ac:dyDescent="0.3">
      <c r="A916">
        <v>702</v>
      </c>
      <c r="B916">
        <v>257</v>
      </c>
      <c r="C916">
        <v>94</v>
      </c>
      <c r="D916" s="1">
        <v>41832</v>
      </c>
      <c r="E916">
        <v>1662</v>
      </c>
      <c r="F916">
        <v>341</v>
      </c>
      <c r="G916" t="s">
        <v>40</v>
      </c>
      <c r="H916" t="s">
        <v>37</v>
      </c>
      <c r="I916">
        <v>84</v>
      </c>
      <c r="J916" t="s">
        <v>24</v>
      </c>
      <c r="K916" t="s">
        <v>33</v>
      </c>
      <c r="L916" t="s">
        <v>34</v>
      </c>
      <c r="M916">
        <v>224</v>
      </c>
      <c r="N916">
        <v>598</v>
      </c>
      <c r="O916" t="s">
        <v>49</v>
      </c>
      <c r="P916">
        <v>110</v>
      </c>
      <c r="Q916">
        <v>180</v>
      </c>
      <c r="R916">
        <v>130</v>
      </c>
      <c r="S916">
        <v>290</v>
      </c>
      <c r="T916">
        <v>117</v>
      </c>
      <c r="U916" t="s">
        <v>36</v>
      </c>
      <c r="V916" s="2">
        <v>0.37458193979933108</v>
      </c>
      <c r="W916" s="2">
        <v>0.57023411371237454</v>
      </c>
      <c r="X916">
        <v>33</v>
      </c>
    </row>
    <row r="917" spans="1:24" x14ac:dyDescent="0.3">
      <c r="A917">
        <v>541</v>
      </c>
      <c r="B917">
        <v>21</v>
      </c>
      <c r="C917">
        <v>-4</v>
      </c>
      <c r="D917" s="1">
        <v>41833</v>
      </c>
      <c r="E917">
        <v>480</v>
      </c>
      <c r="F917">
        <v>32</v>
      </c>
      <c r="G917" t="s">
        <v>40</v>
      </c>
      <c r="H917" t="s">
        <v>37</v>
      </c>
      <c r="I917">
        <v>5</v>
      </c>
      <c r="J917" t="s">
        <v>24</v>
      </c>
      <c r="K917" t="s">
        <v>33</v>
      </c>
      <c r="L917" t="s">
        <v>34</v>
      </c>
      <c r="M917">
        <v>16</v>
      </c>
      <c r="N917">
        <v>53</v>
      </c>
      <c r="O917" t="s">
        <v>57</v>
      </c>
      <c r="P917">
        <v>0</v>
      </c>
      <c r="Q917">
        <v>20</v>
      </c>
      <c r="R917">
        <v>20</v>
      </c>
      <c r="S917">
        <v>20</v>
      </c>
      <c r="T917">
        <v>16</v>
      </c>
      <c r="U917" t="s">
        <v>36</v>
      </c>
      <c r="V917" s="2">
        <v>0.30188679245283018</v>
      </c>
      <c r="W917" s="2">
        <v>0.60377358490566035</v>
      </c>
      <c r="X917">
        <v>11</v>
      </c>
    </row>
    <row r="918" spans="1:24" x14ac:dyDescent="0.3">
      <c r="A918">
        <v>775</v>
      </c>
      <c r="B918">
        <v>239</v>
      </c>
      <c r="C918">
        <v>69</v>
      </c>
      <c r="D918" s="1">
        <v>41834</v>
      </c>
      <c r="E918">
        <v>1755</v>
      </c>
      <c r="F918">
        <v>239</v>
      </c>
      <c r="G918" t="s">
        <v>40</v>
      </c>
      <c r="H918" t="s">
        <v>37</v>
      </c>
      <c r="I918">
        <v>66</v>
      </c>
      <c r="J918" t="s">
        <v>24</v>
      </c>
      <c r="K918" t="s">
        <v>33</v>
      </c>
      <c r="L918" t="s">
        <v>62</v>
      </c>
      <c r="M918">
        <v>149</v>
      </c>
      <c r="N918">
        <v>478</v>
      </c>
      <c r="O918" t="s">
        <v>49</v>
      </c>
      <c r="P918">
        <v>110</v>
      </c>
      <c r="Q918">
        <v>120</v>
      </c>
      <c r="R918">
        <v>80</v>
      </c>
      <c r="S918">
        <v>230</v>
      </c>
      <c r="T918">
        <v>90</v>
      </c>
      <c r="U918" t="s">
        <v>36</v>
      </c>
      <c r="V918" s="2">
        <v>0.31171548117154813</v>
      </c>
      <c r="W918" s="2">
        <v>0.5</v>
      </c>
      <c r="X918">
        <v>24</v>
      </c>
    </row>
    <row r="919" spans="1:24" x14ac:dyDescent="0.3">
      <c r="A919">
        <v>702</v>
      </c>
      <c r="B919">
        <v>255</v>
      </c>
      <c r="C919">
        <v>-193</v>
      </c>
      <c r="D919" s="1">
        <v>41835</v>
      </c>
      <c r="E919">
        <v>7058</v>
      </c>
      <c r="F919">
        <v>-255</v>
      </c>
      <c r="G919" t="s">
        <v>40</v>
      </c>
      <c r="H919" t="s">
        <v>37</v>
      </c>
      <c r="I919">
        <v>96</v>
      </c>
      <c r="J919" t="s">
        <v>24</v>
      </c>
      <c r="K919" t="s">
        <v>33</v>
      </c>
      <c r="L919" t="s">
        <v>38</v>
      </c>
      <c r="M919">
        <v>-363</v>
      </c>
      <c r="N919">
        <v>21</v>
      </c>
      <c r="O919" t="s">
        <v>49</v>
      </c>
      <c r="P919">
        <v>110</v>
      </c>
      <c r="Q919">
        <v>-110</v>
      </c>
      <c r="R919">
        <v>-170</v>
      </c>
      <c r="S919">
        <v>0</v>
      </c>
      <c r="T919">
        <v>129</v>
      </c>
      <c r="U919" t="s">
        <v>36</v>
      </c>
      <c r="V919" s="2">
        <v>-17.285714285714285</v>
      </c>
      <c r="W919" s="2">
        <v>-11.142857142857142</v>
      </c>
      <c r="X919">
        <v>33</v>
      </c>
    </row>
    <row r="920" spans="1:24" x14ac:dyDescent="0.3">
      <c r="A920">
        <v>435</v>
      </c>
      <c r="B920">
        <v>25</v>
      </c>
      <c r="C920">
        <v>-22</v>
      </c>
      <c r="D920" s="1">
        <v>41836</v>
      </c>
      <c r="E920">
        <v>209</v>
      </c>
      <c r="F920">
        <v>31</v>
      </c>
      <c r="G920" t="s">
        <v>40</v>
      </c>
      <c r="H920" t="s">
        <v>37</v>
      </c>
      <c r="I920">
        <v>9</v>
      </c>
      <c r="J920" t="s">
        <v>24</v>
      </c>
      <c r="K920" t="s">
        <v>33</v>
      </c>
      <c r="L920" t="s">
        <v>38</v>
      </c>
      <c r="M920">
        <v>-12</v>
      </c>
      <c r="N920">
        <v>56</v>
      </c>
      <c r="O920" t="s">
        <v>50</v>
      </c>
      <c r="P920">
        <v>0</v>
      </c>
      <c r="Q920">
        <v>20</v>
      </c>
      <c r="R920">
        <v>10</v>
      </c>
      <c r="S920">
        <v>20</v>
      </c>
      <c r="T920">
        <v>43</v>
      </c>
      <c r="U920" t="s">
        <v>36</v>
      </c>
      <c r="V920" s="2">
        <v>-0.21428571428571427</v>
      </c>
      <c r="W920" s="2">
        <v>0.5535714285714286</v>
      </c>
      <c r="X920">
        <v>34</v>
      </c>
    </row>
    <row r="921" spans="1:24" x14ac:dyDescent="0.3">
      <c r="A921">
        <v>909</v>
      </c>
      <c r="B921">
        <v>173</v>
      </c>
      <c r="C921">
        <v>3</v>
      </c>
      <c r="D921" s="1">
        <v>41837</v>
      </c>
      <c r="E921">
        <v>3909</v>
      </c>
      <c r="F921">
        <v>-27</v>
      </c>
      <c r="G921" t="s">
        <v>22</v>
      </c>
      <c r="H921" t="s">
        <v>37</v>
      </c>
      <c r="I921">
        <v>57</v>
      </c>
      <c r="J921" t="s">
        <v>41</v>
      </c>
      <c r="K921" t="s">
        <v>46</v>
      </c>
      <c r="L921" t="s">
        <v>47</v>
      </c>
      <c r="M921">
        <v>-127</v>
      </c>
      <c r="N921">
        <v>146</v>
      </c>
      <c r="O921" t="s">
        <v>39</v>
      </c>
      <c r="P921">
        <v>200</v>
      </c>
      <c r="Q921">
        <v>-30</v>
      </c>
      <c r="R921">
        <v>-130</v>
      </c>
      <c r="S921">
        <v>170</v>
      </c>
      <c r="T921">
        <v>100</v>
      </c>
      <c r="U921" t="s">
        <v>28</v>
      </c>
      <c r="V921" s="2">
        <v>-0.86986301369863017</v>
      </c>
      <c r="W921" s="2">
        <v>-0.18493150684931506</v>
      </c>
      <c r="X921">
        <v>43</v>
      </c>
    </row>
    <row r="922" spans="1:24" x14ac:dyDescent="0.3">
      <c r="A922">
        <v>707</v>
      </c>
      <c r="B922">
        <v>228</v>
      </c>
      <c r="C922">
        <v>7</v>
      </c>
      <c r="D922" s="1">
        <v>41838</v>
      </c>
      <c r="E922">
        <v>1691</v>
      </c>
      <c r="F922">
        <v>304</v>
      </c>
      <c r="G922" t="s">
        <v>22</v>
      </c>
      <c r="H922" t="s">
        <v>37</v>
      </c>
      <c r="I922">
        <v>75</v>
      </c>
      <c r="J922" t="s">
        <v>41</v>
      </c>
      <c r="K922" t="s">
        <v>42</v>
      </c>
      <c r="L922" t="s">
        <v>43</v>
      </c>
      <c r="M922">
        <v>197</v>
      </c>
      <c r="N922">
        <v>532</v>
      </c>
      <c r="O922" t="s">
        <v>39</v>
      </c>
      <c r="P922">
        <v>220</v>
      </c>
      <c r="Q922">
        <v>290</v>
      </c>
      <c r="R922">
        <v>190</v>
      </c>
      <c r="S922">
        <v>510</v>
      </c>
      <c r="T922">
        <v>107</v>
      </c>
      <c r="U922" t="s">
        <v>28</v>
      </c>
      <c r="V922" s="2">
        <v>0.37030075187969924</v>
      </c>
      <c r="W922" s="2">
        <v>0.5714285714285714</v>
      </c>
      <c r="X922">
        <v>32</v>
      </c>
    </row>
    <row r="923" spans="1:24" x14ac:dyDescent="0.3">
      <c r="A923">
        <v>619</v>
      </c>
      <c r="B923">
        <v>113</v>
      </c>
      <c r="C923">
        <v>-6</v>
      </c>
      <c r="D923" s="1">
        <v>41839</v>
      </c>
      <c r="E923">
        <v>2758</v>
      </c>
      <c r="F923">
        <v>3</v>
      </c>
      <c r="G923" t="s">
        <v>22</v>
      </c>
      <c r="H923" t="s">
        <v>37</v>
      </c>
      <c r="I923">
        <v>36</v>
      </c>
      <c r="J923" t="s">
        <v>41</v>
      </c>
      <c r="K923" t="s">
        <v>46</v>
      </c>
      <c r="L923" t="s">
        <v>51</v>
      </c>
      <c r="M923">
        <v>-56</v>
      </c>
      <c r="N923">
        <v>116</v>
      </c>
      <c r="O923" t="s">
        <v>39</v>
      </c>
      <c r="P923">
        <v>130</v>
      </c>
      <c r="Q923">
        <v>0</v>
      </c>
      <c r="R923">
        <v>-50</v>
      </c>
      <c r="S923">
        <v>130</v>
      </c>
      <c r="T923">
        <v>59</v>
      </c>
      <c r="U923" t="s">
        <v>36</v>
      </c>
      <c r="V923" s="2">
        <v>-0.48275862068965519</v>
      </c>
      <c r="W923" s="2">
        <v>2.5862068965517241E-2</v>
      </c>
      <c r="X923">
        <v>23</v>
      </c>
    </row>
    <row r="924" spans="1:24" x14ac:dyDescent="0.3">
      <c r="A924">
        <v>951</v>
      </c>
      <c r="B924">
        <v>249</v>
      </c>
      <c r="C924">
        <v>-75</v>
      </c>
      <c r="D924" s="1">
        <v>41840</v>
      </c>
      <c r="E924">
        <v>2580</v>
      </c>
      <c r="F924">
        <v>374</v>
      </c>
      <c r="G924" t="s">
        <v>22</v>
      </c>
      <c r="H924" t="s">
        <v>37</v>
      </c>
      <c r="I924">
        <v>87</v>
      </c>
      <c r="J924" t="s">
        <v>41</v>
      </c>
      <c r="K924" t="s">
        <v>46</v>
      </c>
      <c r="L924" t="s">
        <v>53</v>
      </c>
      <c r="M924">
        <v>235</v>
      </c>
      <c r="N924">
        <v>623</v>
      </c>
      <c r="O924" t="s">
        <v>39</v>
      </c>
      <c r="P924">
        <v>290</v>
      </c>
      <c r="Q924">
        <v>450</v>
      </c>
      <c r="R924">
        <v>310</v>
      </c>
      <c r="S924">
        <v>740</v>
      </c>
      <c r="T924">
        <v>139</v>
      </c>
      <c r="U924" t="s">
        <v>36</v>
      </c>
      <c r="V924" s="2">
        <v>0.37720706260032105</v>
      </c>
      <c r="W924" s="2">
        <v>0.6003210272873194</v>
      </c>
      <c r="X924">
        <v>52</v>
      </c>
    </row>
    <row r="925" spans="1:24" x14ac:dyDescent="0.3">
      <c r="A925">
        <v>559</v>
      </c>
      <c r="B925">
        <v>211</v>
      </c>
      <c r="C925">
        <v>-11</v>
      </c>
      <c r="D925" s="1">
        <v>41841</v>
      </c>
      <c r="E925">
        <v>1778</v>
      </c>
      <c r="F925">
        <v>212</v>
      </c>
      <c r="G925" t="s">
        <v>22</v>
      </c>
      <c r="H925" t="s">
        <v>37</v>
      </c>
      <c r="I925">
        <v>59</v>
      </c>
      <c r="J925" t="s">
        <v>41</v>
      </c>
      <c r="K925" t="s">
        <v>42</v>
      </c>
      <c r="L925" t="s">
        <v>55</v>
      </c>
      <c r="M925">
        <v>129</v>
      </c>
      <c r="N925">
        <v>423</v>
      </c>
      <c r="O925" t="s">
        <v>39</v>
      </c>
      <c r="P925">
        <v>200</v>
      </c>
      <c r="Q925">
        <v>210</v>
      </c>
      <c r="R925">
        <v>140</v>
      </c>
      <c r="S925">
        <v>410</v>
      </c>
      <c r="T925">
        <v>83</v>
      </c>
      <c r="U925" t="s">
        <v>36</v>
      </c>
      <c r="V925" s="2">
        <v>0.30496453900709219</v>
      </c>
      <c r="W925" s="2">
        <v>0.50118203309692666</v>
      </c>
      <c r="X925">
        <v>24</v>
      </c>
    </row>
    <row r="926" spans="1:24" x14ac:dyDescent="0.3">
      <c r="A926">
        <v>818</v>
      </c>
      <c r="B926">
        <v>121</v>
      </c>
      <c r="C926">
        <v>-14</v>
      </c>
      <c r="D926" s="1">
        <v>41842</v>
      </c>
      <c r="E926">
        <v>912</v>
      </c>
      <c r="F926">
        <v>168</v>
      </c>
      <c r="G926" t="s">
        <v>22</v>
      </c>
      <c r="H926" t="s">
        <v>37</v>
      </c>
      <c r="I926">
        <v>109</v>
      </c>
      <c r="J926" t="s">
        <v>41</v>
      </c>
      <c r="K926" t="s">
        <v>42</v>
      </c>
      <c r="L926" t="s">
        <v>54</v>
      </c>
      <c r="M926">
        <v>26</v>
      </c>
      <c r="N926">
        <v>289</v>
      </c>
      <c r="O926" t="s">
        <v>39</v>
      </c>
      <c r="P926">
        <v>110</v>
      </c>
      <c r="Q926">
        <v>170</v>
      </c>
      <c r="R926">
        <v>40</v>
      </c>
      <c r="S926">
        <v>280</v>
      </c>
      <c r="T926">
        <v>142</v>
      </c>
      <c r="U926" t="s">
        <v>36</v>
      </c>
      <c r="V926" s="2">
        <v>8.9965397923875437E-2</v>
      </c>
      <c r="W926" s="2">
        <v>0.58131487889273359</v>
      </c>
      <c r="X926">
        <v>33</v>
      </c>
    </row>
    <row r="927" spans="1:24" x14ac:dyDescent="0.3">
      <c r="A927">
        <v>213</v>
      </c>
      <c r="B927">
        <v>81</v>
      </c>
      <c r="C927">
        <v>4</v>
      </c>
      <c r="D927" s="1">
        <v>41843</v>
      </c>
      <c r="E927">
        <v>984</v>
      </c>
      <c r="F927">
        <v>117</v>
      </c>
      <c r="G927" t="s">
        <v>22</v>
      </c>
      <c r="H927" t="s">
        <v>37</v>
      </c>
      <c r="I927">
        <v>22</v>
      </c>
      <c r="J927" t="s">
        <v>24</v>
      </c>
      <c r="K927" t="s">
        <v>25</v>
      </c>
      <c r="L927" t="s">
        <v>58</v>
      </c>
      <c r="M927">
        <v>84</v>
      </c>
      <c r="N927">
        <v>198</v>
      </c>
      <c r="O927" t="s">
        <v>39</v>
      </c>
      <c r="P927">
        <v>70</v>
      </c>
      <c r="Q927">
        <v>110</v>
      </c>
      <c r="R927">
        <v>80</v>
      </c>
      <c r="S927">
        <v>180</v>
      </c>
      <c r="T927">
        <v>33</v>
      </c>
      <c r="U927" t="s">
        <v>28</v>
      </c>
      <c r="V927" s="2">
        <v>0.42424242424242425</v>
      </c>
      <c r="W927" s="2">
        <v>0.59090909090909094</v>
      </c>
      <c r="X927">
        <v>11</v>
      </c>
    </row>
    <row r="928" spans="1:24" x14ac:dyDescent="0.3">
      <c r="A928">
        <v>213</v>
      </c>
      <c r="B928">
        <v>225</v>
      </c>
      <c r="C928">
        <v>14</v>
      </c>
      <c r="D928" s="1">
        <v>41844</v>
      </c>
      <c r="E928">
        <v>1272</v>
      </c>
      <c r="F928">
        <v>265</v>
      </c>
      <c r="G928" t="s">
        <v>22</v>
      </c>
      <c r="H928" t="s">
        <v>37</v>
      </c>
      <c r="I928">
        <v>69</v>
      </c>
      <c r="J928" t="s">
        <v>24</v>
      </c>
      <c r="K928" t="s">
        <v>25</v>
      </c>
      <c r="L928" t="s">
        <v>26</v>
      </c>
      <c r="M928">
        <v>174</v>
      </c>
      <c r="N928">
        <v>490</v>
      </c>
      <c r="O928" t="s">
        <v>39</v>
      </c>
      <c r="P928">
        <v>210</v>
      </c>
      <c r="Q928">
        <v>240</v>
      </c>
      <c r="R928">
        <v>160</v>
      </c>
      <c r="S928">
        <v>450</v>
      </c>
      <c r="T928">
        <v>91</v>
      </c>
      <c r="U928" t="s">
        <v>28</v>
      </c>
      <c r="V928" s="2">
        <v>0.35510204081632651</v>
      </c>
      <c r="W928" s="2">
        <v>0.54081632653061229</v>
      </c>
      <c r="X928">
        <v>22</v>
      </c>
    </row>
    <row r="929" spans="1:24" x14ac:dyDescent="0.3">
      <c r="A929">
        <v>213</v>
      </c>
      <c r="B929">
        <v>118</v>
      </c>
      <c r="C929">
        <v>18</v>
      </c>
      <c r="D929" s="1">
        <v>41845</v>
      </c>
      <c r="E929">
        <v>930</v>
      </c>
      <c r="F929">
        <v>172</v>
      </c>
      <c r="G929" t="s">
        <v>22</v>
      </c>
      <c r="H929" t="s">
        <v>37</v>
      </c>
      <c r="I929">
        <v>33</v>
      </c>
      <c r="J929" t="s">
        <v>24</v>
      </c>
      <c r="K929" t="s">
        <v>33</v>
      </c>
      <c r="L929" t="s">
        <v>34</v>
      </c>
      <c r="M929">
        <v>128</v>
      </c>
      <c r="N929">
        <v>290</v>
      </c>
      <c r="O929" t="s">
        <v>39</v>
      </c>
      <c r="P929">
        <v>80</v>
      </c>
      <c r="Q929">
        <v>130</v>
      </c>
      <c r="R929">
        <v>110</v>
      </c>
      <c r="S929">
        <v>210</v>
      </c>
      <c r="T929">
        <v>44</v>
      </c>
      <c r="U929" t="s">
        <v>36</v>
      </c>
      <c r="V929" s="2">
        <v>0.44137931034482758</v>
      </c>
      <c r="W929" s="2">
        <v>0.59310344827586203</v>
      </c>
      <c r="X929">
        <v>11</v>
      </c>
    </row>
    <row r="930" spans="1:24" x14ac:dyDescent="0.3">
      <c r="A930">
        <v>801</v>
      </c>
      <c r="B930">
        <v>82</v>
      </c>
      <c r="C930">
        <v>-22</v>
      </c>
      <c r="D930" s="1">
        <v>41846</v>
      </c>
      <c r="E930">
        <v>601</v>
      </c>
      <c r="F930">
        <v>102</v>
      </c>
      <c r="G930" t="s">
        <v>40</v>
      </c>
      <c r="H930" t="s">
        <v>37</v>
      </c>
      <c r="I930">
        <v>31</v>
      </c>
      <c r="J930" t="s">
        <v>41</v>
      </c>
      <c r="K930" t="s">
        <v>46</v>
      </c>
      <c r="L930" t="s">
        <v>47</v>
      </c>
      <c r="M930">
        <v>38</v>
      </c>
      <c r="N930">
        <v>184</v>
      </c>
      <c r="O930" t="s">
        <v>50</v>
      </c>
      <c r="P930">
        <v>90</v>
      </c>
      <c r="Q930">
        <v>120</v>
      </c>
      <c r="R930">
        <v>60</v>
      </c>
      <c r="S930">
        <v>210</v>
      </c>
      <c r="T930">
        <v>64</v>
      </c>
      <c r="U930" t="s">
        <v>28</v>
      </c>
      <c r="V930" s="2">
        <v>0.20652173913043478</v>
      </c>
      <c r="W930" s="2">
        <v>0.55434782608695654</v>
      </c>
      <c r="X930">
        <v>33</v>
      </c>
    </row>
    <row r="931" spans="1:24" x14ac:dyDescent="0.3">
      <c r="A931">
        <v>253</v>
      </c>
      <c r="B931">
        <v>94</v>
      </c>
      <c r="C931">
        <v>-24</v>
      </c>
      <c r="D931" s="1">
        <v>41847</v>
      </c>
      <c r="E931">
        <v>694</v>
      </c>
      <c r="F931">
        <v>130</v>
      </c>
      <c r="G931" t="s">
        <v>40</v>
      </c>
      <c r="H931" t="s">
        <v>37</v>
      </c>
      <c r="I931">
        <v>85</v>
      </c>
      <c r="J931" t="s">
        <v>41</v>
      </c>
      <c r="K931" t="s">
        <v>46</v>
      </c>
      <c r="L931" t="s">
        <v>47</v>
      </c>
      <c r="M931">
        <v>16</v>
      </c>
      <c r="N931">
        <v>224</v>
      </c>
      <c r="O931" t="s">
        <v>61</v>
      </c>
      <c r="P931">
        <v>110</v>
      </c>
      <c r="Q931">
        <v>150</v>
      </c>
      <c r="R931">
        <v>40</v>
      </c>
      <c r="S931">
        <v>260</v>
      </c>
      <c r="T931">
        <v>114</v>
      </c>
      <c r="U931" t="s">
        <v>28</v>
      </c>
      <c r="V931" s="2">
        <v>7.1428571428571425E-2</v>
      </c>
      <c r="W931" s="2">
        <v>0.5803571428571429</v>
      </c>
      <c r="X931">
        <v>29</v>
      </c>
    </row>
    <row r="932" spans="1:24" x14ac:dyDescent="0.3">
      <c r="A932">
        <v>503</v>
      </c>
      <c r="B932">
        <v>181</v>
      </c>
      <c r="C932">
        <v>-12</v>
      </c>
      <c r="D932" s="1">
        <v>41848</v>
      </c>
      <c r="E932">
        <v>1283</v>
      </c>
      <c r="F932">
        <v>182</v>
      </c>
      <c r="G932" t="s">
        <v>40</v>
      </c>
      <c r="H932" t="s">
        <v>37</v>
      </c>
      <c r="I932">
        <v>50</v>
      </c>
      <c r="J932" t="s">
        <v>41</v>
      </c>
      <c r="K932" t="s">
        <v>42</v>
      </c>
      <c r="L932" t="s">
        <v>43</v>
      </c>
      <c r="M932">
        <v>108</v>
      </c>
      <c r="N932">
        <v>363</v>
      </c>
      <c r="O932" t="s">
        <v>57</v>
      </c>
      <c r="P932">
        <v>170</v>
      </c>
      <c r="Q932">
        <v>180</v>
      </c>
      <c r="R932">
        <v>120</v>
      </c>
      <c r="S932">
        <v>350</v>
      </c>
      <c r="T932">
        <v>74</v>
      </c>
      <c r="U932" t="s">
        <v>28</v>
      </c>
      <c r="V932" s="2">
        <v>0.2975206611570248</v>
      </c>
      <c r="W932" s="2">
        <v>0.50137741046831952</v>
      </c>
      <c r="X932">
        <v>24</v>
      </c>
    </row>
    <row r="933" spans="1:24" x14ac:dyDescent="0.3">
      <c r="A933">
        <v>801</v>
      </c>
      <c r="B933">
        <v>69</v>
      </c>
      <c r="C933">
        <v>-11</v>
      </c>
      <c r="D933" s="1">
        <v>41849</v>
      </c>
      <c r="E933">
        <v>1060</v>
      </c>
      <c r="F933">
        <v>81</v>
      </c>
      <c r="G933" t="s">
        <v>40</v>
      </c>
      <c r="H933" t="s">
        <v>37</v>
      </c>
      <c r="I933">
        <v>21</v>
      </c>
      <c r="J933" t="s">
        <v>41</v>
      </c>
      <c r="K933" t="s">
        <v>46</v>
      </c>
      <c r="L933" t="s">
        <v>51</v>
      </c>
      <c r="M933">
        <v>39</v>
      </c>
      <c r="N933">
        <v>150</v>
      </c>
      <c r="O933" t="s">
        <v>50</v>
      </c>
      <c r="P933">
        <v>80</v>
      </c>
      <c r="Q933">
        <v>90</v>
      </c>
      <c r="R933">
        <v>50</v>
      </c>
      <c r="S933">
        <v>170</v>
      </c>
      <c r="T933">
        <v>42</v>
      </c>
      <c r="U933" t="s">
        <v>36</v>
      </c>
      <c r="V933" s="2">
        <v>0.26</v>
      </c>
      <c r="W933" s="2">
        <v>0.54</v>
      </c>
      <c r="X933">
        <v>21</v>
      </c>
    </row>
    <row r="934" spans="1:24" x14ac:dyDescent="0.3">
      <c r="A934">
        <v>971</v>
      </c>
      <c r="B934">
        <v>53</v>
      </c>
      <c r="C934">
        <v>-26</v>
      </c>
      <c r="D934" s="1">
        <v>41850</v>
      </c>
      <c r="E934">
        <v>470</v>
      </c>
      <c r="F934">
        <v>75</v>
      </c>
      <c r="G934" t="s">
        <v>40</v>
      </c>
      <c r="H934" t="s">
        <v>37</v>
      </c>
      <c r="I934">
        <v>17</v>
      </c>
      <c r="J934" t="s">
        <v>41</v>
      </c>
      <c r="K934" t="s">
        <v>46</v>
      </c>
      <c r="L934" t="s">
        <v>53</v>
      </c>
      <c r="M934">
        <v>14</v>
      </c>
      <c r="N934">
        <v>128</v>
      </c>
      <c r="O934" t="s">
        <v>57</v>
      </c>
      <c r="P934">
        <v>60</v>
      </c>
      <c r="Q934">
        <v>90</v>
      </c>
      <c r="R934">
        <v>40</v>
      </c>
      <c r="S934">
        <v>150</v>
      </c>
      <c r="T934">
        <v>61</v>
      </c>
      <c r="U934" t="s">
        <v>36</v>
      </c>
      <c r="V934" s="2">
        <v>0.109375</v>
      </c>
      <c r="W934" s="2">
        <v>0.5859375</v>
      </c>
      <c r="X934">
        <v>44</v>
      </c>
    </row>
    <row r="935" spans="1:24" x14ac:dyDescent="0.3">
      <c r="A935">
        <v>425</v>
      </c>
      <c r="B935">
        <v>63</v>
      </c>
      <c r="C935">
        <v>-20</v>
      </c>
      <c r="D935" s="1">
        <v>41851</v>
      </c>
      <c r="E935">
        <v>446</v>
      </c>
      <c r="F935">
        <v>93</v>
      </c>
      <c r="G935" t="s">
        <v>40</v>
      </c>
      <c r="H935" t="s">
        <v>37</v>
      </c>
      <c r="I935">
        <v>20</v>
      </c>
      <c r="J935" t="s">
        <v>41</v>
      </c>
      <c r="K935" t="s">
        <v>46</v>
      </c>
      <c r="L935" t="s">
        <v>53</v>
      </c>
      <c r="M935">
        <v>50</v>
      </c>
      <c r="N935">
        <v>156</v>
      </c>
      <c r="O935" t="s">
        <v>61</v>
      </c>
      <c r="P935">
        <v>70</v>
      </c>
      <c r="Q935">
        <v>110</v>
      </c>
      <c r="R935">
        <v>70</v>
      </c>
      <c r="S935">
        <v>180</v>
      </c>
      <c r="T935">
        <v>43</v>
      </c>
      <c r="U935" t="s">
        <v>36</v>
      </c>
      <c r="V935" s="2">
        <v>0.32051282051282054</v>
      </c>
      <c r="W935" s="2">
        <v>0.59615384615384615</v>
      </c>
      <c r="X935">
        <v>23</v>
      </c>
    </row>
    <row r="936" spans="1:24" x14ac:dyDescent="0.3">
      <c r="A936">
        <v>775</v>
      </c>
      <c r="B936">
        <v>15</v>
      </c>
      <c r="C936">
        <v>-1</v>
      </c>
      <c r="D936" s="1">
        <v>41852</v>
      </c>
      <c r="E936">
        <v>848</v>
      </c>
      <c r="F936">
        <v>24</v>
      </c>
      <c r="G936" t="s">
        <v>40</v>
      </c>
      <c r="H936" t="s">
        <v>37</v>
      </c>
      <c r="I936">
        <v>4</v>
      </c>
      <c r="J936" t="s">
        <v>41</v>
      </c>
      <c r="K936" t="s">
        <v>42</v>
      </c>
      <c r="L936" t="s">
        <v>54</v>
      </c>
      <c r="M936">
        <v>9</v>
      </c>
      <c r="N936">
        <v>39</v>
      </c>
      <c r="O936" t="s">
        <v>49</v>
      </c>
      <c r="P936">
        <v>10</v>
      </c>
      <c r="Q936">
        <v>20</v>
      </c>
      <c r="R936">
        <v>10</v>
      </c>
      <c r="S936">
        <v>30</v>
      </c>
      <c r="T936">
        <v>15</v>
      </c>
      <c r="U936" t="s">
        <v>36</v>
      </c>
      <c r="V936" s="2">
        <v>0.23076923076923078</v>
      </c>
      <c r="W936" s="2">
        <v>0.61538461538461542</v>
      </c>
      <c r="X936">
        <v>11</v>
      </c>
    </row>
    <row r="937" spans="1:24" x14ac:dyDescent="0.3">
      <c r="A937">
        <v>435</v>
      </c>
      <c r="B937">
        <v>101</v>
      </c>
      <c r="C937">
        <v>-5</v>
      </c>
      <c r="D937" s="1">
        <v>41853</v>
      </c>
      <c r="E937">
        <v>552</v>
      </c>
      <c r="F937">
        <v>130</v>
      </c>
      <c r="G937" t="s">
        <v>40</v>
      </c>
      <c r="H937" t="s">
        <v>37</v>
      </c>
      <c r="I937">
        <v>33</v>
      </c>
      <c r="J937" t="s">
        <v>41</v>
      </c>
      <c r="K937" t="s">
        <v>42</v>
      </c>
      <c r="L937" t="s">
        <v>54</v>
      </c>
      <c r="M937">
        <v>85</v>
      </c>
      <c r="N937">
        <v>231</v>
      </c>
      <c r="O937" t="s">
        <v>50</v>
      </c>
      <c r="P937">
        <v>90</v>
      </c>
      <c r="Q937">
        <v>130</v>
      </c>
      <c r="R937">
        <v>90</v>
      </c>
      <c r="S937">
        <v>220</v>
      </c>
      <c r="T937">
        <v>45</v>
      </c>
      <c r="U937" t="s">
        <v>36</v>
      </c>
      <c r="V937" s="2">
        <v>0.36796536796536794</v>
      </c>
      <c r="W937" s="2">
        <v>0.56277056277056281</v>
      </c>
      <c r="X937">
        <v>12</v>
      </c>
    </row>
    <row r="938" spans="1:24" x14ac:dyDescent="0.3">
      <c r="A938">
        <v>775</v>
      </c>
      <c r="B938">
        <v>121</v>
      </c>
      <c r="C938">
        <v>6</v>
      </c>
      <c r="D938" s="1">
        <v>41854</v>
      </c>
      <c r="E938">
        <v>912</v>
      </c>
      <c r="F938">
        <v>168</v>
      </c>
      <c r="G938" t="s">
        <v>40</v>
      </c>
      <c r="H938" t="s">
        <v>37</v>
      </c>
      <c r="I938">
        <v>109</v>
      </c>
      <c r="J938" t="s">
        <v>24</v>
      </c>
      <c r="K938" t="s">
        <v>25</v>
      </c>
      <c r="L938" t="s">
        <v>58</v>
      </c>
      <c r="M938">
        <v>26</v>
      </c>
      <c r="N938">
        <v>289</v>
      </c>
      <c r="O938" t="s">
        <v>49</v>
      </c>
      <c r="P938">
        <v>110</v>
      </c>
      <c r="Q938">
        <v>150</v>
      </c>
      <c r="R938">
        <v>20</v>
      </c>
      <c r="S938">
        <v>260</v>
      </c>
      <c r="T938">
        <v>142</v>
      </c>
      <c r="U938" t="s">
        <v>28</v>
      </c>
      <c r="V938" s="2">
        <v>8.9965397923875437E-2</v>
      </c>
      <c r="W938" s="2">
        <v>0.58131487889273359</v>
      </c>
      <c r="X938">
        <v>33</v>
      </c>
    </row>
    <row r="939" spans="1:24" x14ac:dyDescent="0.3">
      <c r="A939">
        <v>206</v>
      </c>
      <c r="B939">
        <v>130</v>
      </c>
      <c r="C939">
        <v>2</v>
      </c>
      <c r="D939" s="1">
        <v>41855</v>
      </c>
      <c r="E939">
        <v>1134</v>
      </c>
      <c r="F939">
        <v>195</v>
      </c>
      <c r="G939" t="s">
        <v>40</v>
      </c>
      <c r="H939" t="s">
        <v>37</v>
      </c>
      <c r="I939">
        <v>42</v>
      </c>
      <c r="J939" t="s">
        <v>24</v>
      </c>
      <c r="K939" t="s">
        <v>25</v>
      </c>
      <c r="L939" t="s">
        <v>58</v>
      </c>
      <c r="M939">
        <v>122</v>
      </c>
      <c r="N939">
        <v>325</v>
      </c>
      <c r="O939" t="s">
        <v>61</v>
      </c>
      <c r="P939">
        <v>120</v>
      </c>
      <c r="Q939">
        <v>180</v>
      </c>
      <c r="R939">
        <v>120</v>
      </c>
      <c r="S939">
        <v>300</v>
      </c>
      <c r="T939">
        <v>73</v>
      </c>
      <c r="U939" t="s">
        <v>28</v>
      </c>
      <c r="V939" s="2">
        <v>0.37538461538461537</v>
      </c>
      <c r="W939" s="2">
        <v>0.6</v>
      </c>
      <c r="X939">
        <v>31</v>
      </c>
    </row>
    <row r="940" spans="1:24" x14ac:dyDescent="0.3">
      <c r="A940">
        <v>702</v>
      </c>
      <c r="B940">
        <v>173</v>
      </c>
      <c r="C940">
        <v>8</v>
      </c>
      <c r="D940" s="1">
        <v>41856</v>
      </c>
      <c r="E940">
        <v>1150</v>
      </c>
      <c r="F940">
        <v>239</v>
      </c>
      <c r="G940" t="s">
        <v>40</v>
      </c>
      <c r="H940" t="s">
        <v>37</v>
      </c>
      <c r="I940">
        <v>57</v>
      </c>
      <c r="J940" t="s">
        <v>24</v>
      </c>
      <c r="K940" t="s">
        <v>25</v>
      </c>
      <c r="L940" t="s">
        <v>26</v>
      </c>
      <c r="M940">
        <v>138</v>
      </c>
      <c r="N940">
        <v>412</v>
      </c>
      <c r="O940" t="s">
        <v>49</v>
      </c>
      <c r="P940">
        <v>160</v>
      </c>
      <c r="Q940">
        <v>220</v>
      </c>
      <c r="R940">
        <v>130</v>
      </c>
      <c r="S940">
        <v>380</v>
      </c>
      <c r="T940">
        <v>101</v>
      </c>
      <c r="U940" t="s">
        <v>28</v>
      </c>
      <c r="V940" s="2">
        <v>0.33495145631067963</v>
      </c>
      <c r="W940" s="2">
        <v>0.58009708737864074</v>
      </c>
      <c r="X940">
        <v>44</v>
      </c>
    </row>
    <row r="941" spans="1:24" x14ac:dyDescent="0.3">
      <c r="A941">
        <v>971</v>
      </c>
      <c r="B941">
        <v>88</v>
      </c>
      <c r="C941">
        <v>0</v>
      </c>
      <c r="D941" s="1">
        <v>41857</v>
      </c>
      <c r="E941">
        <v>561</v>
      </c>
      <c r="F941">
        <v>112</v>
      </c>
      <c r="G941" t="s">
        <v>40</v>
      </c>
      <c r="H941" t="s">
        <v>37</v>
      </c>
      <c r="I941">
        <v>29</v>
      </c>
      <c r="J941" t="s">
        <v>24</v>
      </c>
      <c r="K941" t="s">
        <v>25</v>
      </c>
      <c r="L941" t="s">
        <v>26</v>
      </c>
      <c r="M941">
        <v>70</v>
      </c>
      <c r="N941">
        <v>200</v>
      </c>
      <c r="O941" t="s">
        <v>57</v>
      </c>
      <c r="P941">
        <v>80</v>
      </c>
      <c r="Q941">
        <v>100</v>
      </c>
      <c r="R941">
        <v>70</v>
      </c>
      <c r="S941">
        <v>180</v>
      </c>
      <c r="T941">
        <v>42</v>
      </c>
      <c r="U941" t="s">
        <v>28</v>
      </c>
      <c r="V941" s="2">
        <v>0.35</v>
      </c>
      <c r="W941" s="2">
        <v>0.56000000000000005</v>
      </c>
      <c r="X941">
        <v>13</v>
      </c>
    </row>
    <row r="942" spans="1:24" x14ac:dyDescent="0.3">
      <c r="A942">
        <v>702</v>
      </c>
      <c r="B942">
        <v>113</v>
      </c>
      <c r="C942">
        <v>7</v>
      </c>
      <c r="D942" s="1">
        <v>41858</v>
      </c>
      <c r="E942">
        <v>803</v>
      </c>
      <c r="F942">
        <v>165</v>
      </c>
      <c r="G942" t="s">
        <v>40</v>
      </c>
      <c r="H942" t="s">
        <v>37</v>
      </c>
      <c r="I942">
        <v>36</v>
      </c>
      <c r="J942" t="s">
        <v>24</v>
      </c>
      <c r="K942" t="s">
        <v>25</v>
      </c>
      <c r="L942" t="s">
        <v>29</v>
      </c>
      <c r="M942">
        <v>107</v>
      </c>
      <c r="N942">
        <v>278</v>
      </c>
      <c r="O942" t="s">
        <v>49</v>
      </c>
      <c r="P942">
        <v>100</v>
      </c>
      <c r="Q942">
        <v>150</v>
      </c>
      <c r="R942">
        <v>100</v>
      </c>
      <c r="S942">
        <v>250</v>
      </c>
      <c r="T942">
        <v>58</v>
      </c>
      <c r="U942" t="s">
        <v>28</v>
      </c>
      <c r="V942" s="2">
        <v>0.38489208633093525</v>
      </c>
      <c r="W942" s="2">
        <v>0.59352517985611508</v>
      </c>
      <c r="X942">
        <v>22</v>
      </c>
    </row>
    <row r="943" spans="1:24" x14ac:dyDescent="0.3">
      <c r="A943">
        <v>702</v>
      </c>
      <c r="B943">
        <v>228</v>
      </c>
      <c r="C943">
        <v>56</v>
      </c>
      <c r="D943" s="1">
        <v>41859</v>
      </c>
      <c r="E943">
        <v>1691</v>
      </c>
      <c r="F943">
        <v>304</v>
      </c>
      <c r="G943" t="s">
        <v>40</v>
      </c>
      <c r="H943" t="s">
        <v>37</v>
      </c>
      <c r="I943">
        <v>75</v>
      </c>
      <c r="J943" t="s">
        <v>24</v>
      </c>
      <c r="K943" t="s">
        <v>33</v>
      </c>
      <c r="L943" t="s">
        <v>34</v>
      </c>
      <c r="M943">
        <v>196</v>
      </c>
      <c r="N943">
        <v>532</v>
      </c>
      <c r="O943" t="s">
        <v>49</v>
      </c>
      <c r="P943">
        <v>160</v>
      </c>
      <c r="Q943">
        <v>220</v>
      </c>
      <c r="R943">
        <v>140</v>
      </c>
      <c r="S943">
        <v>380</v>
      </c>
      <c r="T943">
        <v>108</v>
      </c>
      <c r="U943" t="s">
        <v>36</v>
      </c>
      <c r="V943" s="2">
        <v>0.36842105263157893</v>
      </c>
      <c r="W943" s="2">
        <v>0.5714285714285714</v>
      </c>
      <c r="X943">
        <v>33</v>
      </c>
    </row>
    <row r="944" spans="1:24" x14ac:dyDescent="0.3">
      <c r="A944">
        <v>702</v>
      </c>
      <c r="B944">
        <v>211</v>
      </c>
      <c r="C944">
        <v>48</v>
      </c>
      <c r="D944" s="1">
        <v>41860</v>
      </c>
      <c r="E944">
        <v>1778</v>
      </c>
      <c r="F944">
        <v>212</v>
      </c>
      <c r="G944" t="s">
        <v>40</v>
      </c>
      <c r="H944" t="s">
        <v>37</v>
      </c>
      <c r="I944">
        <v>59</v>
      </c>
      <c r="J944" t="s">
        <v>24</v>
      </c>
      <c r="K944" t="s">
        <v>33</v>
      </c>
      <c r="L944" t="s">
        <v>62</v>
      </c>
      <c r="M944">
        <v>128</v>
      </c>
      <c r="N944">
        <v>423</v>
      </c>
      <c r="O944" t="s">
        <v>49</v>
      </c>
      <c r="P944">
        <v>150</v>
      </c>
      <c r="Q944">
        <v>150</v>
      </c>
      <c r="R944">
        <v>80</v>
      </c>
      <c r="S944">
        <v>300</v>
      </c>
      <c r="T944">
        <v>84</v>
      </c>
      <c r="U944" t="s">
        <v>36</v>
      </c>
      <c r="V944" s="2">
        <v>0.30260047281323876</v>
      </c>
      <c r="W944" s="2">
        <v>0.50118203309692666</v>
      </c>
      <c r="X944">
        <v>25</v>
      </c>
    </row>
    <row r="945" spans="1:24" x14ac:dyDescent="0.3">
      <c r="A945">
        <v>971</v>
      </c>
      <c r="B945">
        <v>78</v>
      </c>
      <c r="C945">
        <v>12</v>
      </c>
      <c r="D945" s="1">
        <v>41861</v>
      </c>
      <c r="E945">
        <v>798</v>
      </c>
      <c r="F945">
        <v>119</v>
      </c>
      <c r="G945" t="s">
        <v>40</v>
      </c>
      <c r="H945" t="s">
        <v>37</v>
      </c>
      <c r="I945">
        <v>25</v>
      </c>
      <c r="J945" t="s">
        <v>24</v>
      </c>
      <c r="K945" t="s">
        <v>33</v>
      </c>
      <c r="L945" t="s">
        <v>62</v>
      </c>
      <c r="M945">
        <v>62</v>
      </c>
      <c r="N945">
        <v>197</v>
      </c>
      <c r="O945" t="s">
        <v>57</v>
      </c>
      <c r="P945">
        <v>50</v>
      </c>
      <c r="Q945">
        <v>90</v>
      </c>
      <c r="R945">
        <v>50</v>
      </c>
      <c r="S945">
        <v>140</v>
      </c>
      <c r="T945">
        <v>57</v>
      </c>
      <c r="U945" t="s">
        <v>36</v>
      </c>
      <c r="V945" s="2">
        <v>0.31472081218274112</v>
      </c>
      <c r="W945" s="2">
        <v>0.60406091370558379</v>
      </c>
      <c r="X945">
        <v>32</v>
      </c>
    </row>
    <row r="946" spans="1:24" x14ac:dyDescent="0.3">
      <c r="A946">
        <v>702</v>
      </c>
      <c r="B946">
        <v>245</v>
      </c>
      <c r="C946">
        <v>-60</v>
      </c>
      <c r="D946" s="1">
        <v>41862</v>
      </c>
      <c r="E946">
        <v>7653</v>
      </c>
      <c r="F946">
        <v>-245</v>
      </c>
      <c r="G946" t="s">
        <v>40</v>
      </c>
      <c r="H946" t="s">
        <v>37</v>
      </c>
      <c r="I946">
        <v>93</v>
      </c>
      <c r="J946" t="s">
        <v>24</v>
      </c>
      <c r="K946" t="s">
        <v>33</v>
      </c>
      <c r="L946" t="s">
        <v>38</v>
      </c>
      <c r="M946">
        <v>-340</v>
      </c>
      <c r="N946">
        <v>32</v>
      </c>
      <c r="O946" t="s">
        <v>49</v>
      </c>
      <c r="P946">
        <v>180</v>
      </c>
      <c r="Q946">
        <v>-180</v>
      </c>
      <c r="R946">
        <v>-280</v>
      </c>
      <c r="S946">
        <v>0</v>
      </c>
      <c r="T946">
        <v>127</v>
      </c>
      <c r="U946" t="s">
        <v>36</v>
      </c>
      <c r="V946" s="2">
        <v>-10.625</v>
      </c>
      <c r="W946" s="2">
        <v>-6.65625</v>
      </c>
      <c r="X946">
        <v>34</v>
      </c>
    </row>
    <row r="947" spans="1:24" x14ac:dyDescent="0.3">
      <c r="A947">
        <v>971</v>
      </c>
      <c r="B947">
        <v>102</v>
      </c>
      <c r="C947">
        <v>19</v>
      </c>
      <c r="D947" s="1">
        <v>41863</v>
      </c>
      <c r="E947">
        <v>666</v>
      </c>
      <c r="F947">
        <v>143</v>
      </c>
      <c r="G947" t="s">
        <v>40</v>
      </c>
      <c r="H947" t="s">
        <v>37</v>
      </c>
      <c r="I947">
        <v>31</v>
      </c>
      <c r="J947" t="s">
        <v>24</v>
      </c>
      <c r="K947" t="s">
        <v>33</v>
      </c>
      <c r="L947" t="s">
        <v>38</v>
      </c>
      <c r="M947">
        <v>89</v>
      </c>
      <c r="N947">
        <v>245</v>
      </c>
      <c r="O947" t="s">
        <v>57</v>
      </c>
      <c r="P947">
        <v>70</v>
      </c>
      <c r="Q947">
        <v>100</v>
      </c>
      <c r="R947">
        <v>70</v>
      </c>
      <c r="S947">
        <v>170</v>
      </c>
      <c r="T947">
        <v>54</v>
      </c>
      <c r="U947" t="s">
        <v>36</v>
      </c>
      <c r="V947" s="2">
        <v>0.36326530612244901</v>
      </c>
      <c r="W947" s="2">
        <v>0.58367346938775511</v>
      </c>
      <c r="X947">
        <v>23</v>
      </c>
    </row>
    <row r="948" spans="1:24" x14ac:dyDescent="0.3">
      <c r="A948">
        <v>714</v>
      </c>
      <c r="B948">
        <v>224</v>
      </c>
      <c r="C948">
        <v>1</v>
      </c>
      <c r="D948" s="1">
        <v>41864</v>
      </c>
      <c r="E948">
        <v>4216</v>
      </c>
      <c r="F948">
        <v>-32</v>
      </c>
      <c r="G948" t="s">
        <v>22</v>
      </c>
      <c r="H948" t="s">
        <v>37</v>
      </c>
      <c r="I948">
        <v>73</v>
      </c>
      <c r="J948" t="s">
        <v>41</v>
      </c>
      <c r="K948" t="s">
        <v>46</v>
      </c>
      <c r="L948" t="s">
        <v>47</v>
      </c>
      <c r="M948">
        <v>-149</v>
      </c>
      <c r="N948">
        <v>192</v>
      </c>
      <c r="O948" t="s">
        <v>39</v>
      </c>
      <c r="P948">
        <v>260</v>
      </c>
      <c r="Q948">
        <v>-40</v>
      </c>
      <c r="R948">
        <v>-150</v>
      </c>
      <c r="S948">
        <v>220</v>
      </c>
      <c r="T948">
        <v>117</v>
      </c>
      <c r="U948" t="s">
        <v>28</v>
      </c>
      <c r="V948" s="2">
        <v>-0.77604166666666663</v>
      </c>
      <c r="W948" s="2">
        <v>-0.16666666666666666</v>
      </c>
      <c r="X948">
        <v>44</v>
      </c>
    </row>
    <row r="949" spans="1:24" x14ac:dyDescent="0.3">
      <c r="A949">
        <v>209</v>
      </c>
      <c r="B949">
        <v>247</v>
      </c>
      <c r="C949">
        <v>6</v>
      </c>
      <c r="D949" s="1">
        <v>41865</v>
      </c>
      <c r="E949">
        <v>1744</v>
      </c>
      <c r="F949">
        <v>329</v>
      </c>
      <c r="G949" t="s">
        <v>22</v>
      </c>
      <c r="H949" t="s">
        <v>37</v>
      </c>
      <c r="I949">
        <v>81</v>
      </c>
      <c r="J949" t="s">
        <v>41</v>
      </c>
      <c r="K949" t="s">
        <v>42</v>
      </c>
      <c r="L949" t="s">
        <v>43</v>
      </c>
      <c r="M949">
        <v>216</v>
      </c>
      <c r="N949">
        <v>576</v>
      </c>
      <c r="O949" t="s">
        <v>39</v>
      </c>
      <c r="P949">
        <v>240</v>
      </c>
      <c r="Q949">
        <v>310</v>
      </c>
      <c r="R949">
        <v>210</v>
      </c>
      <c r="S949">
        <v>550</v>
      </c>
      <c r="T949">
        <v>113</v>
      </c>
      <c r="U949" t="s">
        <v>28</v>
      </c>
      <c r="V949" s="2">
        <v>0.375</v>
      </c>
      <c r="W949" s="2">
        <v>0.57118055555555558</v>
      </c>
      <c r="X949">
        <v>32</v>
      </c>
    </row>
    <row r="950" spans="1:24" x14ac:dyDescent="0.3">
      <c r="A950">
        <v>951</v>
      </c>
      <c r="B950">
        <v>127</v>
      </c>
      <c r="C950">
        <v>2</v>
      </c>
      <c r="D950" s="1">
        <v>41866</v>
      </c>
      <c r="E950">
        <v>2947</v>
      </c>
      <c r="F950">
        <v>-25</v>
      </c>
      <c r="G950" t="s">
        <v>22</v>
      </c>
      <c r="H950" t="s">
        <v>37</v>
      </c>
      <c r="I950">
        <v>40</v>
      </c>
      <c r="J950" t="s">
        <v>41</v>
      </c>
      <c r="K950" t="s">
        <v>46</v>
      </c>
      <c r="L950" t="s">
        <v>51</v>
      </c>
      <c r="M950">
        <v>-88</v>
      </c>
      <c r="N950">
        <v>102</v>
      </c>
      <c r="O950" t="s">
        <v>39</v>
      </c>
      <c r="P950">
        <v>150</v>
      </c>
      <c r="Q950">
        <v>-30</v>
      </c>
      <c r="R950">
        <v>-90</v>
      </c>
      <c r="S950">
        <v>120</v>
      </c>
      <c r="T950">
        <v>63</v>
      </c>
      <c r="U950" t="s">
        <v>36</v>
      </c>
      <c r="V950" s="2">
        <v>-0.86274509803921573</v>
      </c>
      <c r="W950" s="2">
        <v>-0.24509803921568626</v>
      </c>
      <c r="X950">
        <v>23</v>
      </c>
    </row>
    <row r="951" spans="1:24" x14ac:dyDescent="0.3">
      <c r="A951">
        <v>707</v>
      </c>
      <c r="B951">
        <v>279</v>
      </c>
      <c r="C951">
        <v>-79</v>
      </c>
      <c r="D951" s="1">
        <v>41867</v>
      </c>
      <c r="E951">
        <v>2642</v>
      </c>
      <c r="F951">
        <v>420</v>
      </c>
      <c r="G951" t="s">
        <v>22</v>
      </c>
      <c r="H951" t="s">
        <v>37</v>
      </c>
      <c r="I951">
        <v>97</v>
      </c>
      <c r="J951" t="s">
        <v>41</v>
      </c>
      <c r="K951" t="s">
        <v>46</v>
      </c>
      <c r="L951" t="s">
        <v>53</v>
      </c>
      <c r="M951">
        <v>271</v>
      </c>
      <c r="N951">
        <v>699</v>
      </c>
      <c r="O951" t="s">
        <v>39</v>
      </c>
      <c r="P951">
        <v>330</v>
      </c>
      <c r="Q951">
        <v>500</v>
      </c>
      <c r="R951">
        <v>350</v>
      </c>
      <c r="S951">
        <v>830</v>
      </c>
      <c r="T951">
        <v>149</v>
      </c>
      <c r="U951" t="s">
        <v>36</v>
      </c>
      <c r="V951" s="2">
        <v>0.38769670958512159</v>
      </c>
      <c r="W951" s="2">
        <v>0.60085836909871249</v>
      </c>
      <c r="X951">
        <v>52</v>
      </c>
    </row>
    <row r="952" spans="1:24" x14ac:dyDescent="0.3">
      <c r="A952">
        <v>916</v>
      </c>
      <c r="B952">
        <v>250</v>
      </c>
      <c r="C952">
        <v>-3</v>
      </c>
      <c r="D952" s="1">
        <v>41868</v>
      </c>
      <c r="E952">
        <v>1820</v>
      </c>
      <c r="F952">
        <v>251</v>
      </c>
      <c r="G952" t="s">
        <v>22</v>
      </c>
      <c r="H952" t="s">
        <v>37</v>
      </c>
      <c r="I952">
        <v>70</v>
      </c>
      <c r="J952" t="s">
        <v>41</v>
      </c>
      <c r="K952" t="s">
        <v>42</v>
      </c>
      <c r="L952" t="s">
        <v>55</v>
      </c>
      <c r="M952">
        <v>157</v>
      </c>
      <c r="N952">
        <v>501</v>
      </c>
      <c r="O952" t="s">
        <v>39</v>
      </c>
      <c r="P952">
        <v>240</v>
      </c>
      <c r="Q952">
        <v>240</v>
      </c>
      <c r="R952">
        <v>160</v>
      </c>
      <c r="S952">
        <v>480</v>
      </c>
      <c r="T952">
        <v>94</v>
      </c>
      <c r="U952" t="s">
        <v>36</v>
      </c>
      <c r="V952" s="2">
        <v>0.31337325349301398</v>
      </c>
      <c r="W952" s="2">
        <v>0.50099800399201599</v>
      </c>
      <c r="X952">
        <v>24</v>
      </c>
    </row>
    <row r="953" spans="1:24" x14ac:dyDescent="0.3">
      <c r="A953">
        <v>530</v>
      </c>
      <c r="B953">
        <v>135</v>
      </c>
      <c r="C953">
        <v>-9</v>
      </c>
      <c r="D953" s="1">
        <v>41869</v>
      </c>
      <c r="E953">
        <v>940</v>
      </c>
      <c r="F953">
        <v>187</v>
      </c>
      <c r="G953" t="s">
        <v>22</v>
      </c>
      <c r="H953" t="s">
        <v>37</v>
      </c>
      <c r="I953">
        <v>122</v>
      </c>
      <c r="J953" t="s">
        <v>41</v>
      </c>
      <c r="K953" t="s">
        <v>42</v>
      </c>
      <c r="L953" t="s">
        <v>54</v>
      </c>
      <c r="M953">
        <v>31</v>
      </c>
      <c r="N953">
        <v>322</v>
      </c>
      <c r="O953" t="s">
        <v>39</v>
      </c>
      <c r="P953">
        <v>130</v>
      </c>
      <c r="Q953">
        <v>180</v>
      </c>
      <c r="R953">
        <v>40</v>
      </c>
      <c r="S953">
        <v>310</v>
      </c>
      <c r="T953">
        <v>156</v>
      </c>
      <c r="U953" t="s">
        <v>36</v>
      </c>
      <c r="V953" s="2">
        <v>9.627329192546584E-2</v>
      </c>
      <c r="W953" s="2">
        <v>0.58074534161490687</v>
      </c>
      <c r="X953">
        <v>34</v>
      </c>
    </row>
    <row r="954" spans="1:24" x14ac:dyDescent="0.3">
      <c r="A954">
        <v>626</v>
      </c>
      <c r="B954">
        <v>86</v>
      </c>
      <c r="C954">
        <v>9</v>
      </c>
      <c r="D954" s="1">
        <v>41870</v>
      </c>
      <c r="E954">
        <v>1003</v>
      </c>
      <c r="F954">
        <v>124</v>
      </c>
      <c r="G954" t="s">
        <v>22</v>
      </c>
      <c r="H954" t="s">
        <v>37</v>
      </c>
      <c r="I954">
        <v>24</v>
      </c>
      <c r="J954" t="s">
        <v>24</v>
      </c>
      <c r="K954" t="s">
        <v>25</v>
      </c>
      <c r="L954" t="s">
        <v>58</v>
      </c>
      <c r="M954">
        <v>89</v>
      </c>
      <c r="N954">
        <v>210</v>
      </c>
      <c r="O954" t="s">
        <v>39</v>
      </c>
      <c r="P954">
        <v>80</v>
      </c>
      <c r="Q954">
        <v>110</v>
      </c>
      <c r="R954">
        <v>80</v>
      </c>
      <c r="S954">
        <v>190</v>
      </c>
      <c r="T954">
        <v>35</v>
      </c>
      <c r="U954" t="s">
        <v>28</v>
      </c>
      <c r="V954" s="2">
        <v>0.4238095238095238</v>
      </c>
      <c r="W954" s="2">
        <v>0.59047619047619049</v>
      </c>
      <c r="X954">
        <v>11</v>
      </c>
    </row>
    <row r="955" spans="1:24" x14ac:dyDescent="0.3">
      <c r="A955">
        <v>415</v>
      </c>
      <c r="B955">
        <v>241</v>
      </c>
      <c r="C955">
        <v>18</v>
      </c>
      <c r="D955" s="1">
        <v>41871</v>
      </c>
      <c r="E955">
        <v>1321</v>
      </c>
      <c r="F955">
        <v>284</v>
      </c>
      <c r="G955" t="s">
        <v>22</v>
      </c>
      <c r="H955" t="s">
        <v>37</v>
      </c>
      <c r="I955">
        <v>74</v>
      </c>
      <c r="J955" t="s">
        <v>24</v>
      </c>
      <c r="K955" t="s">
        <v>25</v>
      </c>
      <c r="L955" t="s">
        <v>26</v>
      </c>
      <c r="M955">
        <v>188</v>
      </c>
      <c r="N955">
        <v>525</v>
      </c>
      <c r="O955" t="s">
        <v>39</v>
      </c>
      <c r="P955">
        <v>220</v>
      </c>
      <c r="Q955">
        <v>260</v>
      </c>
      <c r="R955">
        <v>170</v>
      </c>
      <c r="S955">
        <v>480</v>
      </c>
      <c r="T955">
        <v>96</v>
      </c>
      <c r="U955" t="s">
        <v>28</v>
      </c>
      <c r="V955" s="2">
        <v>0.35809523809523808</v>
      </c>
      <c r="W955" s="2">
        <v>0.54095238095238096</v>
      </c>
      <c r="X955">
        <v>22</v>
      </c>
    </row>
    <row r="956" spans="1:24" x14ac:dyDescent="0.3">
      <c r="A956">
        <v>916</v>
      </c>
      <c r="B956">
        <v>123</v>
      </c>
      <c r="C956">
        <v>24</v>
      </c>
      <c r="D956" s="1">
        <v>41872</v>
      </c>
      <c r="E956">
        <v>959</v>
      </c>
      <c r="F956">
        <v>179</v>
      </c>
      <c r="G956" t="s">
        <v>22</v>
      </c>
      <c r="H956" t="s">
        <v>37</v>
      </c>
      <c r="I956">
        <v>34</v>
      </c>
      <c r="J956" t="s">
        <v>24</v>
      </c>
      <c r="K956" t="s">
        <v>33</v>
      </c>
      <c r="L956" t="s">
        <v>34</v>
      </c>
      <c r="M956">
        <v>134</v>
      </c>
      <c r="N956">
        <v>302</v>
      </c>
      <c r="O956" t="s">
        <v>39</v>
      </c>
      <c r="P956">
        <v>90</v>
      </c>
      <c r="Q956">
        <v>130</v>
      </c>
      <c r="R956">
        <v>110</v>
      </c>
      <c r="S956">
        <v>220</v>
      </c>
      <c r="T956">
        <v>45</v>
      </c>
      <c r="U956" t="s">
        <v>36</v>
      </c>
      <c r="V956" s="2">
        <v>0.44370860927152317</v>
      </c>
      <c r="W956" s="2">
        <v>0.5927152317880795</v>
      </c>
      <c r="X956">
        <v>11</v>
      </c>
    </row>
    <row r="957" spans="1:24" x14ac:dyDescent="0.3">
      <c r="A957">
        <v>435</v>
      </c>
      <c r="B957">
        <v>68</v>
      </c>
      <c r="C957">
        <v>-24</v>
      </c>
      <c r="D957" s="1">
        <v>41873</v>
      </c>
      <c r="E957">
        <v>619</v>
      </c>
      <c r="F957">
        <v>85</v>
      </c>
      <c r="G957" t="s">
        <v>40</v>
      </c>
      <c r="H957" t="s">
        <v>37</v>
      </c>
      <c r="I957">
        <v>25</v>
      </c>
      <c r="J957" t="s">
        <v>41</v>
      </c>
      <c r="K957" t="s">
        <v>46</v>
      </c>
      <c r="L957" t="s">
        <v>47</v>
      </c>
      <c r="M957">
        <v>26</v>
      </c>
      <c r="N957">
        <v>153</v>
      </c>
      <c r="O957" t="s">
        <v>50</v>
      </c>
      <c r="P957">
        <v>80</v>
      </c>
      <c r="Q957">
        <v>100</v>
      </c>
      <c r="R957">
        <v>50</v>
      </c>
      <c r="S957">
        <v>180</v>
      </c>
      <c r="T957">
        <v>59</v>
      </c>
      <c r="U957" t="s">
        <v>28</v>
      </c>
      <c r="V957" s="2">
        <v>0.16993464052287582</v>
      </c>
      <c r="W957" s="2">
        <v>0.55555555555555558</v>
      </c>
      <c r="X957">
        <v>34</v>
      </c>
    </row>
    <row r="958" spans="1:24" x14ac:dyDescent="0.3">
      <c r="A958">
        <v>509</v>
      </c>
      <c r="B958">
        <v>105</v>
      </c>
      <c r="C958">
        <v>-30</v>
      </c>
      <c r="D958" s="1">
        <v>41874</v>
      </c>
      <c r="E958">
        <v>716</v>
      </c>
      <c r="F958">
        <v>145</v>
      </c>
      <c r="G958" t="s">
        <v>40</v>
      </c>
      <c r="H958" t="s">
        <v>37</v>
      </c>
      <c r="I958">
        <v>95</v>
      </c>
      <c r="J958" t="s">
        <v>41</v>
      </c>
      <c r="K958" t="s">
        <v>46</v>
      </c>
      <c r="L958" t="s">
        <v>47</v>
      </c>
      <c r="M958">
        <v>20</v>
      </c>
      <c r="N958">
        <v>250</v>
      </c>
      <c r="O958" t="s">
        <v>61</v>
      </c>
      <c r="P958">
        <v>120</v>
      </c>
      <c r="Q958">
        <v>170</v>
      </c>
      <c r="R958">
        <v>50</v>
      </c>
      <c r="S958">
        <v>290</v>
      </c>
      <c r="T958">
        <v>125</v>
      </c>
      <c r="U958" t="s">
        <v>28</v>
      </c>
      <c r="V958" s="2">
        <v>0.08</v>
      </c>
      <c r="W958" s="2">
        <v>0.57999999999999996</v>
      </c>
      <c r="X958">
        <v>30</v>
      </c>
    </row>
    <row r="959" spans="1:24" x14ac:dyDescent="0.3">
      <c r="A959">
        <v>971</v>
      </c>
      <c r="B959">
        <v>153</v>
      </c>
      <c r="C959">
        <v>7</v>
      </c>
      <c r="D959" s="1">
        <v>41875</v>
      </c>
      <c r="E959">
        <v>1319</v>
      </c>
      <c r="F959">
        <v>153</v>
      </c>
      <c r="G959" t="s">
        <v>40</v>
      </c>
      <c r="H959" t="s">
        <v>37</v>
      </c>
      <c r="I959">
        <v>42</v>
      </c>
      <c r="J959" t="s">
        <v>41</v>
      </c>
      <c r="K959" t="s">
        <v>42</v>
      </c>
      <c r="L959" t="s">
        <v>43</v>
      </c>
      <c r="M959">
        <v>87</v>
      </c>
      <c r="N959">
        <v>306</v>
      </c>
      <c r="O959" t="s">
        <v>57</v>
      </c>
      <c r="P959">
        <v>150</v>
      </c>
      <c r="Q959">
        <v>140</v>
      </c>
      <c r="R959">
        <v>80</v>
      </c>
      <c r="S959">
        <v>290</v>
      </c>
      <c r="T959">
        <v>66</v>
      </c>
      <c r="U959" t="s">
        <v>28</v>
      </c>
      <c r="V959" s="2">
        <v>0.28431372549019607</v>
      </c>
      <c r="W959" s="2">
        <v>0.5</v>
      </c>
      <c r="X959">
        <v>24</v>
      </c>
    </row>
    <row r="960" spans="1:24" x14ac:dyDescent="0.3">
      <c r="A960">
        <v>253</v>
      </c>
      <c r="B960">
        <v>80</v>
      </c>
      <c r="C960">
        <v>-9</v>
      </c>
      <c r="D960" s="1">
        <v>41876</v>
      </c>
      <c r="E960">
        <v>1079</v>
      </c>
      <c r="F960">
        <v>96</v>
      </c>
      <c r="G960" t="s">
        <v>40</v>
      </c>
      <c r="H960" t="s">
        <v>37</v>
      </c>
      <c r="I960">
        <v>24</v>
      </c>
      <c r="J960" t="s">
        <v>41</v>
      </c>
      <c r="K960" t="s">
        <v>42</v>
      </c>
      <c r="L960" t="s">
        <v>43</v>
      </c>
      <c r="M960">
        <v>51</v>
      </c>
      <c r="N960">
        <v>176</v>
      </c>
      <c r="O960" t="s">
        <v>61</v>
      </c>
      <c r="P960">
        <v>70</v>
      </c>
      <c r="Q960">
        <v>100</v>
      </c>
      <c r="R960">
        <v>60</v>
      </c>
      <c r="S960">
        <v>170</v>
      </c>
      <c r="T960">
        <v>45</v>
      </c>
      <c r="U960" t="s">
        <v>28</v>
      </c>
      <c r="V960" s="2">
        <v>0.28977272727272729</v>
      </c>
      <c r="W960" s="2">
        <v>0.54545454545454541</v>
      </c>
      <c r="X960">
        <v>21</v>
      </c>
    </row>
    <row r="961" spans="1:24" x14ac:dyDescent="0.3">
      <c r="A961">
        <v>435</v>
      </c>
      <c r="B961">
        <v>63</v>
      </c>
      <c r="C961">
        <v>-14</v>
      </c>
      <c r="D961" s="1">
        <v>41877</v>
      </c>
      <c r="E961">
        <v>1075</v>
      </c>
      <c r="F961">
        <v>76</v>
      </c>
      <c r="G961" t="s">
        <v>40</v>
      </c>
      <c r="H961" t="s">
        <v>37</v>
      </c>
      <c r="I961">
        <v>19</v>
      </c>
      <c r="J961" t="s">
        <v>41</v>
      </c>
      <c r="K961" t="s">
        <v>46</v>
      </c>
      <c r="L961" t="s">
        <v>51</v>
      </c>
      <c r="M961">
        <v>36</v>
      </c>
      <c r="N961">
        <v>139</v>
      </c>
      <c r="O961" t="s">
        <v>50</v>
      </c>
      <c r="P961">
        <v>70</v>
      </c>
      <c r="Q961">
        <v>90</v>
      </c>
      <c r="R961">
        <v>50</v>
      </c>
      <c r="S961">
        <v>160</v>
      </c>
      <c r="T961">
        <v>40</v>
      </c>
      <c r="U961" t="s">
        <v>36</v>
      </c>
      <c r="V961" s="2">
        <v>0.25899280575539568</v>
      </c>
      <c r="W961" s="2">
        <v>0.5467625899280576</v>
      </c>
      <c r="X961">
        <v>21</v>
      </c>
    </row>
    <row r="962" spans="1:24" x14ac:dyDescent="0.3">
      <c r="A962">
        <v>253</v>
      </c>
      <c r="B962">
        <v>72</v>
      </c>
      <c r="C962">
        <v>-22</v>
      </c>
      <c r="D962" s="1">
        <v>41878</v>
      </c>
      <c r="E962">
        <v>461</v>
      </c>
      <c r="F962">
        <v>104</v>
      </c>
      <c r="G962" t="s">
        <v>40</v>
      </c>
      <c r="H962" t="s">
        <v>37</v>
      </c>
      <c r="I962">
        <v>23</v>
      </c>
      <c r="J962" t="s">
        <v>41</v>
      </c>
      <c r="K962" t="s">
        <v>46</v>
      </c>
      <c r="L962" t="s">
        <v>53</v>
      </c>
      <c r="M962">
        <v>58</v>
      </c>
      <c r="N962">
        <v>176</v>
      </c>
      <c r="O962" t="s">
        <v>61</v>
      </c>
      <c r="P962">
        <v>80</v>
      </c>
      <c r="Q962">
        <v>120</v>
      </c>
      <c r="R962">
        <v>80</v>
      </c>
      <c r="S962">
        <v>200</v>
      </c>
      <c r="T962">
        <v>46</v>
      </c>
      <c r="U962" t="s">
        <v>36</v>
      </c>
      <c r="V962" s="2">
        <v>0.32954545454545453</v>
      </c>
      <c r="W962" s="2">
        <v>0.59090909090909094</v>
      </c>
      <c r="X962">
        <v>23</v>
      </c>
    </row>
    <row r="963" spans="1:24" x14ac:dyDescent="0.3">
      <c r="A963">
        <v>775</v>
      </c>
      <c r="B963">
        <v>16</v>
      </c>
      <c r="C963">
        <v>0</v>
      </c>
      <c r="D963" s="1">
        <v>41879</v>
      </c>
      <c r="E963">
        <v>851</v>
      </c>
      <c r="F963">
        <v>25</v>
      </c>
      <c r="G963" t="s">
        <v>40</v>
      </c>
      <c r="H963" t="s">
        <v>37</v>
      </c>
      <c r="I963">
        <v>4</v>
      </c>
      <c r="J963" t="s">
        <v>41</v>
      </c>
      <c r="K963" t="s">
        <v>42</v>
      </c>
      <c r="L963" t="s">
        <v>54</v>
      </c>
      <c r="M963">
        <v>10</v>
      </c>
      <c r="N963">
        <v>41</v>
      </c>
      <c r="O963" t="s">
        <v>49</v>
      </c>
      <c r="P963">
        <v>10</v>
      </c>
      <c r="Q963">
        <v>20</v>
      </c>
      <c r="R963">
        <v>10</v>
      </c>
      <c r="S963">
        <v>30</v>
      </c>
      <c r="T963">
        <v>15</v>
      </c>
      <c r="U963" t="s">
        <v>36</v>
      </c>
      <c r="V963" s="2">
        <v>0.24390243902439024</v>
      </c>
      <c r="W963" s="2">
        <v>0.6097560975609756</v>
      </c>
      <c r="X963">
        <v>11</v>
      </c>
    </row>
    <row r="964" spans="1:24" x14ac:dyDescent="0.3">
      <c r="A964">
        <v>435</v>
      </c>
      <c r="B964">
        <v>94</v>
      </c>
      <c r="C964">
        <v>7</v>
      </c>
      <c r="D964" s="1">
        <v>41880</v>
      </c>
      <c r="E964">
        <v>540</v>
      </c>
      <c r="F964">
        <v>120</v>
      </c>
      <c r="G964" t="s">
        <v>40</v>
      </c>
      <c r="H964" t="s">
        <v>37</v>
      </c>
      <c r="I964">
        <v>31</v>
      </c>
      <c r="J964" t="s">
        <v>41</v>
      </c>
      <c r="K964" t="s">
        <v>42</v>
      </c>
      <c r="L964" t="s">
        <v>54</v>
      </c>
      <c r="M964">
        <v>77</v>
      </c>
      <c r="N964">
        <v>214</v>
      </c>
      <c r="O964" t="s">
        <v>50</v>
      </c>
      <c r="P964">
        <v>90</v>
      </c>
      <c r="Q964">
        <v>110</v>
      </c>
      <c r="R964">
        <v>70</v>
      </c>
      <c r="S964">
        <v>200</v>
      </c>
      <c r="T964">
        <v>43</v>
      </c>
      <c r="U964" t="s">
        <v>36</v>
      </c>
      <c r="V964" s="2">
        <v>0.35981308411214952</v>
      </c>
      <c r="W964" s="2">
        <v>0.56074766355140182</v>
      </c>
      <c r="X964">
        <v>12</v>
      </c>
    </row>
    <row r="965" spans="1:24" x14ac:dyDescent="0.3">
      <c r="A965">
        <v>702</v>
      </c>
      <c r="B965">
        <v>135</v>
      </c>
      <c r="C965">
        <v>2</v>
      </c>
      <c r="D965" s="1">
        <v>41881</v>
      </c>
      <c r="E965">
        <v>940</v>
      </c>
      <c r="F965">
        <v>187</v>
      </c>
      <c r="G965" t="s">
        <v>40</v>
      </c>
      <c r="H965" t="s">
        <v>37</v>
      </c>
      <c r="I965">
        <v>122</v>
      </c>
      <c r="J965" t="s">
        <v>24</v>
      </c>
      <c r="K965" t="s">
        <v>25</v>
      </c>
      <c r="L965" t="s">
        <v>58</v>
      </c>
      <c r="M965">
        <v>32</v>
      </c>
      <c r="N965">
        <v>322</v>
      </c>
      <c r="O965" t="s">
        <v>49</v>
      </c>
      <c r="P965">
        <v>120</v>
      </c>
      <c r="Q965">
        <v>170</v>
      </c>
      <c r="R965">
        <v>30</v>
      </c>
      <c r="S965">
        <v>290</v>
      </c>
      <c r="T965">
        <v>155</v>
      </c>
      <c r="U965" t="s">
        <v>28</v>
      </c>
      <c r="V965" s="2">
        <v>9.9378881987577633E-2</v>
      </c>
      <c r="W965" s="2">
        <v>0.58074534161490687</v>
      </c>
      <c r="X965">
        <v>33</v>
      </c>
    </row>
    <row r="966" spans="1:24" x14ac:dyDescent="0.3">
      <c r="A966">
        <v>509</v>
      </c>
      <c r="B966">
        <v>115</v>
      </c>
      <c r="C966">
        <v>-5</v>
      </c>
      <c r="D966" s="1">
        <v>41882</v>
      </c>
      <c r="E966">
        <v>1166</v>
      </c>
      <c r="F966">
        <v>174</v>
      </c>
      <c r="G966" t="s">
        <v>40</v>
      </c>
      <c r="H966" t="s">
        <v>37</v>
      </c>
      <c r="I966">
        <v>37</v>
      </c>
      <c r="J966" t="s">
        <v>24</v>
      </c>
      <c r="K966" t="s">
        <v>25</v>
      </c>
      <c r="L966" t="s">
        <v>58</v>
      </c>
      <c r="M966">
        <v>105</v>
      </c>
      <c r="N966">
        <v>289</v>
      </c>
      <c r="O966" t="s">
        <v>61</v>
      </c>
      <c r="P966">
        <v>100</v>
      </c>
      <c r="Q966">
        <v>160</v>
      </c>
      <c r="R966">
        <v>110</v>
      </c>
      <c r="S966">
        <v>260</v>
      </c>
      <c r="T966">
        <v>69</v>
      </c>
      <c r="U966" t="s">
        <v>28</v>
      </c>
      <c r="V966" s="2">
        <v>0.36332179930795849</v>
      </c>
      <c r="W966" s="2">
        <v>0.60207612456747406</v>
      </c>
      <c r="X966">
        <v>32</v>
      </c>
    </row>
    <row r="967" spans="1:24" x14ac:dyDescent="0.3">
      <c r="A967">
        <v>775</v>
      </c>
      <c r="B967">
        <v>224</v>
      </c>
      <c r="C967">
        <v>24</v>
      </c>
      <c r="D967" s="1">
        <v>41883</v>
      </c>
      <c r="E967">
        <v>1191</v>
      </c>
      <c r="F967">
        <v>310</v>
      </c>
      <c r="G967" t="s">
        <v>40</v>
      </c>
      <c r="H967" t="s">
        <v>37</v>
      </c>
      <c r="I967">
        <v>73</v>
      </c>
      <c r="J967" t="s">
        <v>24</v>
      </c>
      <c r="K967" t="s">
        <v>25</v>
      </c>
      <c r="L967" t="s">
        <v>26</v>
      </c>
      <c r="M967">
        <v>194</v>
      </c>
      <c r="N967">
        <v>534</v>
      </c>
      <c r="O967" t="s">
        <v>49</v>
      </c>
      <c r="P967">
        <v>210</v>
      </c>
      <c r="Q967">
        <v>280</v>
      </c>
      <c r="R967">
        <v>170</v>
      </c>
      <c r="S967">
        <v>490</v>
      </c>
      <c r="T967">
        <v>116</v>
      </c>
      <c r="U967" t="s">
        <v>28</v>
      </c>
      <c r="V967" s="2">
        <v>0.36329588014981273</v>
      </c>
      <c r="W967" s="2">
        <v>0.58052434456928836</v>
      </c>
      <c r="X967">
        <v>43</v>
      </c>
    </row>
    <row r="968" spans="1:24" x14ac:dyDescent="0.3">
      <c r="A968">
        <v>541</v>
      </c>
      <c r="B968">
        <v>81</v>
      </c>
      <c r="C968">
        <v>-4</v>
      </c>
      <c r="D968" s="1">
        <v>41884</v>
      </c>
      <c r="E968">
        <v>551</v>
      </c>
      <c r="F968">
        <v>104</v>
      </c>
      <c r="G968" t="s">
        <v>40</v>
      </c>
      <c r="H968" t="s">
        <v>37</v>
      </c>
      <c r="I968">
        <v>26</v>
      </c>
      <c r="J968" t="s">
        <v>24</v>
      </c>
      <c r="K968" t="s">
        <v>25</v>
      </c>
      <c r="L968" t="s">
        <v>26</v>
      </c>
      <c r="M968">
        <v>66</v>
      </c>
      <c r="N968">
        <v>185</v>
      </c>
      <c r="O968" t="s">
        <v>57</v>
      </c>
      <c r="P968">
        <v>70</v>
      </c>
      <c r="Q968">
        <v>100</v>
      </c>
      <c r="R968">
        <v>70</v>
      </c>
      <c r="S968">
        <v>170</v>
      </c>
      <c r="T968">
        <v>38</v>
      </c>
      <c r="U968" t="s">
        <v>28</v>
      </c>
      <c r="V968" s="2">
        <v>0.35675675675675678</v>
      </c>
      <c r="W968" s="2">
        <v>0.56216216216216219</v>
      </c>
      <c r="X968">
        <v>12</v>
      </c>
    </row>
    <row r="969" spans="1:24" x14ac:dyDescent="0.3">
      <c r="A969">
        <v>775</v>
      </c>
      <c r="B969">
        <v>127</v>
      </c>
      <c r="C969">
        <v>2</v>
      </c>
      <c r="D969" s="1">
        <v>41885</v>
      </c>
      <c r="E969">
        <v>830</v>
      </c>
      <c r="F969">
        <v>185</v>
      </c>
      <c r="G969" t="s">
        <v>40</v>
      </c>
      <c r="H969" t="s">
        <v>37</v>
      </c>
      <c r="I969">
        <v>40</v>
      </c>
      <c r="J969" t="s">
        <v>24</v>
      </c>
      <c r="K969" t="s">
        <v>25</v>
      </c>
      <c r="L969" t="s">
        <v>29</v>
      </c>
      <c r="M969">
        <v>122</v>
      </c>
      <c r="N969">
        <v>312</v>
      </c>
      <c r="O969" t="s">
        <v>49</v>
      </c>
      <c r="P969">
        <v>120</v>
      </c>
      <c r="Q969">
        <v>170</v>
      </c>
      <c r="R969">
        <v>120</v>
      </c>
      <c r="S969">
        <v>290</v>
      </c>
      <c r="T969">
        <v>63</v>
      </c>
      <c r="U969" t="s">
        <v>28</v>
      </c>
      <c r="V969" s="2">
        <v>0.39102564102564102</v>
      </c>
      <c r="W969" s="2">
        <v>0.59294871794871795</v>
      </c>
      <c r="X969">
        <v>23</v>
      </c>
    </row>
    <row r="970" spans="1:24" x14ac:dyDescent="0.3">
      <c r="A970">
        <v>702</v>
      </c>
      <c r="B970">
        <v>247</v>
      </c>
      <c r="C970">
        <v>65</v>
      </c>
      <c r="D970" s="1">
        <v>41886</v>
      </c>
      <c r="E970">
        <v>1744</v>
      </c>
      <c r="F970">
        <v>329</v>
      </c>
      <c r="G970" t="s">
        <v>40</v>
      </c>
      <c r="H970" t="s">
        <v>37</v>
      </c>
      <c r="I970">
        <v>81</v>
      </c>
      <c r="J970" t="s">
        <v>24</v>
      </c>
      <c r="K970" t="s">
        <v>33</v>
      </c>
      <c r="L970" t="s">
        <v>34</v>
      </c>
      <c r="M970">
        <v>215</v>
      </c>
      <c r="N970">
        <v>576</v>
      </c>
      <c r="O970" t="s">
        <v>49</v>
      </c>
      <c r="P970">
        <v>180</v>
      </c>
      <c r="Q970">
        <v>240</v>
      </c>
      <c r="R970">
        <v>150</v>
      </c>
      <c r="S970">
        <v>420</v>
      </c>
      <c r="T970">
        <v>114</v>
      </c>
      <c r="U970" t="s">
        <v>36</v>
      </c>
      <c r="V970" s="2">
        <v>0.3732638888888889</v>
      </c>
      <c r="W970" s="2">
        <v>0.57118055555555558</v>
      </c>
      <c r="X970">
        <v>33</v>
      </c>
    </row>
    <row r="971" spans="1:24" x14ac:dyDescent="0.3">
      <c r="A971">
        <v>702</v>
      </c>
      <c r="B971">
        <v>250</v>
      </c>
      <c r="C971">
        <v>57</v>
      </c>
      <c r="D971" s="1">
        <v>41887</v>
      </c>
      <c r="E971">
        <v>1820</v>
      </c>
      <c r="F971">
        <v>251</v>
      </c>
      <c r="G971" t="s">
        <v>40</v>
      </c>
      <c r="H971" t="s">
        <v>37</v>
      </c>
      <c r="I971">
        <v>70</v>
      </c>
      <c r="J971" t="s">
        <v>24</v>
      </c>
      <c r="K971" t="s">
        <v>33</v>
      </c>
      <c r="L971" t="s">
        <v>62</v>
      </c>
      <c r="M971">
        <v>157</v>
      </c>
      <c r="N971">
        <v>501</v>
      </c>
      <c r="O971" t="s">
        <v>49</v>
      </c>
      <c r="P971">
        <v>180</v>
      </c>
      <c r="Q971">
        <v>180</v>
      </c>
      <c r="R971">
        <v>100</v>
      </c>
      <c r="S971">
        <v>360</v>
      </c>
      <c r="T971">
        <v>94</v>
      </c>
      <c r="U971" t="s">
        <v>36</v>
      </c>
      <c r="V971" s="2">
        <v>0.31337325349301398</v>
      </c>
      <c r="W971" s="2">
        <v>0.50099800399201599</v>
      </c>
      <c r="X971">
        <v>24</v>
      </c>
    </row>
    <row r="972" spans="1:24" x14ac:dyDescent="0.3">
      <c r="A972">
        <v>971</v>
      </c>
      <c r="B972">
        <v>88</v>
      </c>
      <c r="C972">
        <v>13</v>
      </c>
      <c r="D972" s="1">
        <v>41888</v>
      </c>
      <c r="E972">
        <v>817</v>
      </c>
      <c r="F972">
        <v>133</v>
      </c>
      <c r="G972" t="s">
        <v>40</v>
      </c>
      <c r="H972" t="s">
        <v>37</v>
      </c>
      <c r="I972">
        <v>29</v>
      </c>
      <c r="J972" t="s">
        <v>24</v>
      </c>
      <c r="K972" t="s">
        <v>33</v>
      </c>
      <c r="L972" t="s">
        <v>62</v>
      </c>
      <c r="M972">
        <v>73</v>
      </c>
      <c r="N972">
        <v>221</v>
      </c>
      <c r="O972" t="s">
        <v>57</v>
      </c>
      <c r="P972">
        <v>60</v>
      </c>
      <c r="Q972">
        <v>100</v>
      </c>
      <c r="R972">
        <v>60</v>
      </c>
      <c r="S972">
        <v>160</v>
      </c>
      <c r="T972">
        <v>60</v>
      </c>
      <c r="U972" t="s">
        <v>36</v>
      </c>
      <c r="V972" s="2">
        <v>0.33031674208144796</v>
      </c>
      <c r="W972" s="2">
        <v>0.60180995475113119</v>
      </c>
      <c r="X972">
        <v>31</v>
      </c>
    </row>
    <row r="973" spans="1:24" x14ac:dyDescent="0.3">
      <c r="A973">
        <v>775</v>
      </c>
      <c r="B973">
        <v>294</v>
      </c>
      <c r="C973">
        <v>-88</v>
      </c>
      <c r="D973" s="1">
        <v>41889</v>
      </c>
      <c r="E973">
        <v>8252</v>
      </c>
      <c r="F973">
        <v>-294</v>
      </c>
      <c r="G973" t="s">
        <v>40</v>
      </c>
      <c r="H973" t="s">
        <v>37</v>
      </c>
      <c r="I973">
        <v>111</v>
      </c>
      <c r="J973" t="s">
        <v>24</v>
      </c>
      <c r="K973" t="s">
        <v>33</v>
      </c>
      <c r="L973" t="s">
        <v>38</v>
      </c>
      <c r="M973">
        <v>-408</v>
      </c>
      <c r="N973">
        <v>31</v>
      </c>
      <c r="O973" t="s">
        <v>49</v>
      </c>
      <c r="P973">
        <v>210</v>
      </c>
      <c r="Q973">
        <v>-210</v>
      </c>
      <c r="R973">
        <v>-320</v>
      </c>
      <c r="S973">
        <v>0</v>
      </c>
      <c r="T973">
        <v>145</v>
      </c>
      <c r="U973" t="s">
        <v>36</v>
      </c>
      <c r="V973" s="2">
        <v>-13.161290322580646</v>
      </c>
      <c r="W973" s="2">
        <v>-8.4838709677419359</v>
      </c>
      <c r="X973">
        <v>34</v>
      </c>
    </row>
    <row r="974" spans="1:24" x14ac:dyDescent="0.3">
      <c r="A974">
        <v>503</v>
      </c>
      <c r="B974">
        <v>134</v>
      </c>
      <c r="C974">
        <v>21</v>
      </c>
      <c r="D974" s="1">
        <v>41890</v>
      </c>
      <c r="E974">
        <v>690</v>
      </c>
      <c r="F974">
        <v>186</v>
      </c>
      <c r="G974" t="s">
        <v>40</v>
      </c>
      <c r="H974" t="s">
        <v>37</v>
      </c>
      <c r="I974">
        <v>41</v>
      </c>
      <c r="J974" t="s">
        <v>24</v>
      </c>
      <c r="K974" t="s">
        <v>33</v>
      </c>
      <c r="L974" t="s">
        <v>38</v>
      </c>
      <c r="M974">
        <v>121</v>
      </c>
      <c r="N974">
        <v>320</v>
      </c>
      <c r="O974" t="s">
        <v>57</v>
      </c>
      <c r="P974">
        <v>90</v>
      </c>
      <c r="Q974">
        <v>140</v>
      </c>
      <c r="R974">
        <v>100</v>
      </c>
      <c r="S974">
        <v>230</v>
      </c>
      <c r="T974">
        <v>65</v>
      </c>
      <c r="U974" t="s">
        <v>36</v>
      </c>
      <c r="V974" s="2">
        <v>0.37812499999999999</v>
      </c>
      <c r="W974" s="2">
        <v>0.58125000000000004</v>
      </c>
      <c r="X974">
        <v>24</v>
      </c>
    </row>
    <row r="975" spans="1:24" x14ac:dyDescent="0.3">
      <c r="A975">
        <v>435</v>
      </c>
      <c r="B975">
        <v>20</v>
      </c>
      <c r="C975">
        <v>-15</v>
      </c>
      <c r="D975" s="1">
        <v>41891</v>
      </c>
      <c r="E975">
        <v>218</v>
      </c>
      <c r="F975">
        <v>25</v>
      </c>
      <c r="G975" t="s">
        <v>40</v>
      </c>
      <c r="H975" t="s">
        <v>37</v>
      </c>
      <c r="I975">
        <v>7</v>
      </c>
      <c r="J975" t="s">
        <v>24</v>
      </c>
      <c r="K975" t="s">
        <v>33</v>
      </c>
      <c r="L975" t="s">
        <v>38</v>
      </c>
      <c r="M975">
        <v>-15</v>
      </c>
      <c r="N975">
        <v>45</v>
      </c>
      <c r="O975" t="s">
        <v>50</v>
      </c>
      <c r="P975">
        <v>10</v>
      </c>
      <c r="Q975">
        <v>20</v>
      </c>
      <c r="R975">
        <v>0</v>
      </c>
      <c r="S975">
        <v>30</v>
      </c>
      <c r="T975">
        <v>40</v>
      </c>
      <c r="U975" t="s">
        <v>36</v>
      </c>
      <c r="V975" s="2">
        <v>-0.33333333333333331</v>
      </c>
      <c r="W975" s="2">
        <v>0.55555555555555558</v>
      </c>
      <c r="X975">
        <v>33</v>
      </c>
    </row>
    <row r="976" spans="1:24" x14ac:dyDescent="0.3">
      <c r="A976">
        <v>650</v>
      </c>
      <c r="B976">
        <v>154</v>
      </c>
      <c r="C976">
        <v>-74</v>
      </c>
      <c r="D976" s="1">
        <v>41892</v>
      </c>
      <c r="E976">
        <v>3654</v>
      </c>
      <c r="F976">
        <v>-24</v>
      </c>
      <c r="G976" t="s">
        <v>22</v>
      </c>
      <c r="H976" t="s">
        <v>37</v>
      </c>
      <c r="I976">
        <v>50</v>
      </c>
      <c r="J976" t="s">
        <v>41</v>
      </c>
      <c r="K976" t="s">
        <v>46</v>
      </c>
      <c r="L976" t="s">
        <v>47</v>
      </c>
      <c r="M976">
        <v>-174</v>
      </c>
      <c r="N976">
        <v>139</v>
      </c>
      <c r="O976" t="s">
        <v>39</v>
      </c>
      <c r="P976">
        <v>220</v>
      </c>
      <c r="Q976">
        <v>-30</v>
      </c>
      <c r="R976">
        <v>-100</v>
      </c>
      <c r="S976">
        <v>190</v>
      </c>
      <c r="T976">
        <v>93</v>
      </c>
      <c r="U976" t="s">
        <v>28</v>
      </c>
      <c r="V976" s="2">
        <v>-1.2517985611510791</v>
      </c>
      <c r="W976" s="2">
        <v>-0.1079136690647482</v>
      </c>
      <c r="X976">
        <v>43</v>
      </c>
    </row>
    <row r="977" spans="1:24" x14ac:dyDescent="0.3">
      <c r="A977">
        <v>415</v>
      </c>
      <c r="B977">
        <v>257</v>
      </c>
      <c r="C977">
        <v>94</v>
      </c>
      <c r="D977" s="1">
        <v>41893</v>
      </c>
      <c r="E977">
        <v>1662</v>
      </c>
      <c r="F977">
        <v>341</v>
      </c>
      <c r="G977" t="s">
        <v>22</v>
      </c>
      <c r="H977" t="s">
        <v>37</v>
      </c>
      <c r="I977">
        <v>84</v>
      </c>
      <c r="J977" t="s">
        <v>41</v>
      </c>
      <c r="K977" t="s">
        <v>42</v>
      </c>
      <c r="L977" t="s">
        <v>43</v>
      </c>
      <c r="M977">
        <v>334</v>
      </c>
      <c r="N977">
        <v>637</v>
      </c>
      <c r="O977" t="s">
        <v>39</v>
      </c>
      <c r="P977">
        <v>230</v>
      </c>
      <c r="Q977">
        <v>320</v>
      </c>
      <c r="R977">
        <v>240</v>
      </c>
      <c r="S977">
        <v>550</v>
      </c>
      <c r="T977">
        <v>116</v>
      </c>
      <c r="U977" t="s">
        <v>28</v>
      </c>
      <c r="V977" s="2">
        <v>0.52433281004709575</v>
      </c>
      <c r="W977" s="2">
        <v>0.59654631083202514</v>
      </c>
      <c r="X977">
        <v>32</v>
      </c>
    </row>
    <row r="978" spans="1:24" x14ac:dyDescent="0.3">
      <c r="A978">
        <v>909</v>
      </c>
      <c r="B978">
        <v>122</v>
      </c>
      <c r="C978">
        <v>-50</v>
      </c>
      <c r="D978" s="1">
        <v>41894</v>
      </c>
      <c r="E978">
        <v>2555</v>
      </c>
      <c r="F978">
        <v>-13</v>
      </c>
      <c r="G978" t="s">
        <v>22</v>
      </c>
      <c r="H978" t="s">
        <v>37</v>
      </c>
      <c r="I978">
        <v>39</v>
      </c>
      <c r="J978" t="s">
        <v>41</v>
      </c>
      <c r="K978" t="s">
        <v>46</v>
      </c>
      <c r="L978" t="s">
        <v>51</v>
      </c>
      <c r="M978">
        <v>-110</v>
      </c>
      <c r="N978">
        <v>116</v>
      </c>
      <c r="O978" t="s">
        <v>39</v>
      </c>
      <c r="P978">
        <v>170</v>
      </c>
      <c r="Q978">
        <v>-20</v>
      </c>
      <c r="R978">
        <v>-60</v>
      </c>
      <c r="S978">
        <v>150</v>
      </c>
      <c r="T978">
        <v>61</v>
      </c>
      <c r="U978" t="s">
        <v>36</v>
      </c>
      <c r="V978" s="2">
        <v>-0.94827586206896552</v>
      </c>
      <c r="W978" s="2">
        <v>-5.1724137931034482E-2</v>
      </c>
      <c r="X978">
        <v>22</v>
      </c>
    </row>
    <row r="979" spans="1:24" x14ac:dyDescent="0.3">
      <c r="A979">
        <v>818</v>
      </c>
      <c r="B979">
        <v>260</v>
      </c>
      <c r="C979">
        <v>-103</v>
      </c>
      <c r="D979" s="1">
        <v>41895</v>
      </c>
      <c r="E979">
        <v>2548</v>
      </c>
      <c r="F979">
        <v>390</v>
      </c>
      <c r="G979" t="s">
        <v>22</v>
      </c>
      <c r="H979" t="s">
        <v>37</v>
      </c>
      <c r="I979">
        <v>91</v>
      </c>
      <c r="J979" t="s">
        <v>41</v>
      </c>
      <c r="K979" t="s">
        <v>46</v>
      </c>
      <c r="L979" t="s">
        <v>53</v>
      </c>
      <c r="M979">
        <v>367</v>
      </c>
      <c r="N979">
        <v>693</v>
      </c>
      <c r="O979" t="s">
        <v>39</v>
      </c>
      <c r="P979">
        <v>380</v>
      </c>
      <c r="Q979">
        <v>580</v>
      </c>
      <c r="R979">
        <v>470</v>
      </c>
      <c r="S979">
        <v>960</v>
      </c>
      <c r="T979">
        <v>143</v>
      </c>
      <c r="U979" t="s">
        <v>36</v>
      </c>
      <c r="V979" s="2">
        <v>0.5295815295815296</v>
      </c>
      <c r="W979" s="2">
        <v>0.62481962481962483</v>
      </c>
      <c r="X979">
        <v>52</v>
      </c>
    </row>
    <row r="980" spans="1:24" x14ac:dyDescent="0.3">
      <c r="A980">
        <v>714</v>
      </c>
      <c r="B980">
        <v>239</v>
      </c>
      <c r="C980">
        <v>61</v>
      </c>
      <c r="D980" s="1">
        <v>41896</v>
      </c>
      <c r="E980">
        <v>1755</v>
      </c>
      <c r="F980">
        <v>239</v>
      </c>
      <c r="G980" t="s">
        <v>22</v>
      </c>
      <c r="H980" t="s">
        <v>37</v>
      </c>
      <c r="I980">
        <v>66</v>
      </c>
      <c r="J980" t="s">
        <v>41</v>
      </c>
      <c r="K980" t="s">
        <v>42</v>
      </c>
      <c r="L980" t="s">
        <v>55</v>
      </c>
      <c r="M980">
        <v>221</v>
      </c>
      <c r="N980">
        <v>509</v>
      </c>
      <c r="O980" t="s">
        <v>39</v>
      </c>
      <c r="P980">
        <v>210</v>
      </c>
      <c r="Q980">
        <v>220</v>
      </c>
      <c r="R980">
        <v>160</v>
      </c>
      <c r="S980">
        <v>430</v>
      </c>
      <c r="T980">
        <v>90</v>
      </c>
      <c r="U980" t="s">
        <v>36</v>
      </c>
      <c r="V980" s="2">
        <v>0.43418467583497056</v>
      </c>
      <c r="W980" s="2">
        <v>0.53045186640471509</v>
      </c>
      <c r="X980">
        <v>24</v>
      </c>
    </row>
    <row r="981" spans="1:24" x14ac:dyDescent="0.3">
      <c r="A981">
        <v>805</v>
      </c>
      <c r="B981">
        <v>125</v>
      </c>
      <c r="C981">
        <v>-10</v>
      </c>
      <c r="D981" s="1">
        <v>41897</v>
      </c>
      <c r="E981">
        <v>898</v>
      </c>
      <c r="F981">
        <v>173</v>
      </c>
      <c r="G981" t="s">
        <v>22</v>
      </c>
      <c r="H981" t="s">
        <v>37</v>
      </c>
      <c r="I981">
        <v>113</v>
      </c>
      <c r="J981" t="s">
        <v>41</v>
      </c>
      <c r="K981" t="s">
        <v>42</v>
      </c>
      <c r="L981" t="s">
        <v>54</v>
      </c>
      <c r="M981">
        <v>40</v>
      </c>
      <c r="N981">
        <v>318</v>
      </c>
      <c r="O981" t="s">
        <v>39</v>
      </c>
      <c r="P981">
        <v>110</v>
      </c>
      <c r="Q981">
        <v>160</v>
      </c>
      <c r="R981">
        <v>50</v>
      </c>
      <c r="S981">
        <v>270</v>
      </c>
      <c r="T981">
        <v>146</v>
      </c>
      <c r="U981" t="s">
        <v>36</v>
      </c>
      <c r="V981" s="2">
        <v>0.12578616352201258</v>
      </c>
      <c r="W981" s="2">
        <v>0.60691823899371067</v>
      </c>
      <c r="X981">
        <v>33</v>
      </c>
    </row>
    <row r="982" spans="1:24" x14ac:dyDescent="0.3">
      <c r="A982">
        <v>925</v>
      </c>
      <c r="B982">
        <v>108</v>
      </c>
      <c r="C982">
        <v>51</v>
      </c>
      <c r="D982" s="1">
        <v>41898</v>
      </c>
      <c r="E982">
        <v>971</v>
      </c>
      <c r="F982">
        <v>157</v>
      </c>
      <c r="G982" t="s">
        <v>22</v>
      </c>
      <c r="H982" t="s">
        <v>37</v>
      </c>
      <c r="I982">
        <v>30</v>
      </c>
      <c r="J982" t="s">
        <v>24</v>
      </c>
      <c r="K982" t="s">
        <v>25</v>
      </c>
      <c r="L982" t="s">
        <v>58</v>
      </c>
      <c r="M982">
        <v>171</v>
      </c>
      <c r="N982">
        <v>282</v>
      </c>
      <c r="O982" t="s">
        <v>39</v>
      </c>
      <c r="P982">
        <v>80</v>
      </c>
      <c r="Q982">
        <v>130</v>
      </c>
      <c r="R982">
        <v>120</v>
      </c>
      <c r="S982">
        <v>210</v>
      </c>
      <c r="T982">
        <v>42</v>
      </c>
      <c r="U982" t="s">
        <v>28</v>
      </c>
      <c r="V982" s="2">
        <v>0.6063829787234043</v>
      </c>
      <c r="W982" s="2">
        <v>0.61702127659574468</v>
      </c>
      <c r="X982">
        <v>12</v>
      </c>
    </row>
    <row r="983" spans="1:24" x14ac:dyDescent="0.3">
      <c r="A983">
        <v>951</v>
      </c>
      <c r="B983">
        <v>239</v>
      </c>
      <c r="C983">
        <v>106</v>
      </c>
      <c r="D983" s="1">
        <v>41899</v>
      </c>
      <c r="E983">
        <v>1246</v>
      </c>
      <c r="F983">
        <v>281</v>
      </c>
      <c r="G983" t="s">
        <v>22</v>
      </c>
      <c r="H983" t="s">
        <v>37</v>
      </c>
      <c r="I983">
        <v>74</v>
      </c>
      <c r="J983" t="s">
        <v>24</v>
      </c>
      <c r="K983" t="s">
        <v>25</v>
      </c>
      <c r="L983" t="s">
        <v>26</v>
      </c>
      <c r="M983">
        <v>276</v>
      </c>
      <c r="N983">
        <v>554</v>
      </c>
      <c r="O983" t="s">
        <v>39</v>
      </c>
      <c r="P983">
        <v>190</v>
      </c>
      <c r="Q983">
        <v>220</v>
      </c>
      <c r="R983">
        <v>170</v>
      </c>
      <c r="S983">
        <v>410</v>
      </c>
      <c r="T983">
        <v>95</v>
      </c>
      <c r="U983" t="s">
        <v>28</v>
      </c>
      <c r="V983" s="2">
        <v>0.49819494584837543</v>
      </c>
      <c r="W983" s="2">
        <v>0.56859205776173283</v>
      </c>
      <c r="X983">
        <v>21</v>
      </c>
    </row>
    <row r="984" spans="1:24" x14ac:dyDescent="0.3">
      <c r="A984">
        <v>831</v>
      </c>
      <c r="B984">
        <v>123</v>
      </c>
      <c r="C984">
        <v>119</v>
      </c>
      <c r="D984" s="1">
        <v>41900</v>
      </c>
      <c r="E984">
        <v>915</v>
      </c>
      <c r="F984">
        <v>179</v>
      </c>
      <c r="G984" t="s">
        <v>22</v>
      </c>
      <c r="H984" t="s">
        <v>37</v>
      </c>
      <c r="I984">
        <v>34</v>
      </c>
      <c r="J984" t="s">
        <v>24</v>
      </c>
      <c r="K984" t="s">
        <v>33</v>
      </c>
      <c r="L984" t="s">
        <v>34</v>
      </c>
      <c r="M984">
        <v>199</v>
      </c>
      <c r="N984">
        <v>322</v>
      </c>
      <c r="O984" t="s">
        <v>39</v>
      </c>
      <c r="P984">
        <v>50</v>
      </c>
      <c r="Q984">
        <v>90</v>
      </c>
      <c r="R984">
        <v>80</v>
      </c>
      <c r="S984">
        <v>140</v>
      </c>
      <c r="T984">
        <v>45</v>
      </c>
      <c r="U984" t="s">
        <v>36</v>
      </c>
      <c r="V984" s="2">
        <v>0.61801242236024845</v>
      </c>
      <c r="W984" s="2">
        <v>0.61801242236024845</v>
      </c>
      <c r="X984">
        <v>11</v>
      </c>
    </row>
    <row r="985" spans="1:24" x14ac:dyDescent="0.3">
      <c r="A985">
        <v>971</v>
      </c>
      <c r="B985">
        <v>43</v>
      </c>
      <c r="C985">
        <v>-37</v>
      </c>
      <c r="D985" s="1">
        <v>41901</v>
      </c>
      <c r="E985">
        <v>419</v>
      </c>
      <c r="F985">
        <v>64</v>
      </c>
      <c r="G985" t="s">
        <v>40</v>
      </c>
      <c r="H985" t="s">
        <v>37</v>
      </c>
      <c r="I985">
        <v>13</v>
      </c>
      <c r="J985" t="s">
        <v>41</v>
      </c>
      <c r="K985" t="s">
        <v>46</v>
      </c>
      <c r="L985" t="s">
        <v>47</v>
      </c>
      <c r="M985">
        <v>43</v>
      </c>
      <c r="N985">
        <v>114</v>
      </c>
      <c r="O985" t="s">
        <v>57</v>
      </c>
      <c r="P985">
        <v>50</v>
      </c>
      <c r="Q985">
        <v>100</v>
      </c>
      <c r="R985">
        <v>80</v>
      </c>
      <c r="S985">
        <v>150</v>
      </c>
      <c r="T985">
        <v>35</v>
      </c>
      <c r="U985" t="s">
        <v>28</v>
      </c>
      <c r="V985" s="2">
        <v>0.37719298245614036</v>
      </c>
      <c r="W985" s="2">
        <v>0.6228070175438597</v>
      </c>
      <c r="X985">
        <v>22</v>
      </c>
    </row>
    <row r="986" spans="1:24" x14ac:dyDescent="0.3">
      <c r="A986">
        <v>435</v>
      </c>
      <c r="B986">
        <v>79</v>
      </c>
      <c r="C986">
        <v>-70</v>
      </c>
      <c r="D986" s="1">
        <v>41902</v>
      </c>
      <c r="E986">
        <v>593</v>
      </c>
      <c r="F986">
        <v>98</v>
      </c>
      <c r="G986" t="s">
        <v>40</v>
      </c>
      <c r="H986" t="s">
        <v>37</v>
      </c>
      <c r="I986">
        <v>30</v>
      </c>
      <c r="J986" t="s">
        <v>41</v>
      </c>
      <c r="K986" t="s">
        <v>46</v>
      </c>
      <c r="L986" t="s">
        <v>47</v>
      </c>
      <c r="M986">
        <v>50</v>
      </c>
      <c r="N986">
        <v>189</v>
      </c>
      <c r="O986" t="s">
        <v>50</v>
      </c>
      <c r="P986">
        <v>100</v>
      </c>
      <c r="Q986">
        <v>160</v>
      </c>
      <c r="R986">
        <v>120</v>
      </c>
      <c r="S986">
        <v>260</v>
      </c>
      <c r="T986">
        <v>64</v>
      </c>
      <c r="U986" t="s">
        <v>28</v>
      </c>
      <c r="V986" s="2">
        <v>0.26455026455026454</v>
      </c>
      <c r="W986" s="2">
        <v>0.58201058201058198</v>
      </c>
      <c r="X986">
        <v>34</v>
      </c>
    </row>
    <row r="987" spans="1:24" x14ac:dyDescent="0.3">
      <c r="A987">
        <v>206</v>
      </c>
      <c r="B987">
        <v>96</v>
      </c>
      <c r="C987">
        <v>-75</v>
      </c>
      <c r="D987" s="1">
        <v>41903</v>
      </c>
      <c r="E987">
        <v>683</v>
      </c>
      <c r="F987">
        <v>134</v>
      </c>
      <c r="G987" t="s">
        <v>40</v>
      </c>
      <c r="H987" t="s">
        <v>37</v>
      </c>
      <c r="I987">
        <v>87</v>
      </c>
      <c r="J987" t="s">
        <v>41</v>
      </c>
      <c r="K987" t="s">
        <v>46</v>
      </c>
      <c r="L987" t="s">
        <v>47</v>
      </c>
      <c r="M987">
        <v>25</v>
      </c>
      <c r="N987">
        <v>245</v>
      </c>
      <c r="O987" t="s">
        <v>61</v>
      </c>
      <c r="P987">
        <v>140</v>
      </c>
      <c r="Q987">
        <v>190</v>
      </c>
      <c r="R987">
        <v>100</v>
      </c>
      <c r="S987">
        <v>330</v>
      </c>
      <c r="T987">
        <v>117</v>
      </c>
      <c r="U987" t="s">
        <v>28</v>
      </c>
      <c r="V987" s="2">
        <v>0.10204081632653061</v>
      </c>
      <c r="W987" s="2">
        <v>0.60816326530612241</v>
      </c>
      <c r="X987">
        <v>30</v>
      </c>
    </row>
    <row r="988" spans="1:24" x14ac:dyDescent="0.3">
      <c r="A988">
        <v>503</v>
      </c>
      <c r="B988">
        <v>161</v>
      </c>
      <c r="C988">
        <v>25</v>
      </c>
      <c r="D988" s="1">
        <v>41904</v>
      </c>
      <c r="E988">
        <v>1267</v>
      </c>
      <c r="F988">
        <v>161</v>
      </c>
      <c r="G988" t="s">
        <v>40</v>
      </c>
      <c r="H988" t="s">
        <v>37</v>
      </c>
      <c r="I988">
        <v>45</v>
      </c>
      <c r="J988" t="s">
        <v>41</v>
      </c>
      <c r="K988" t="s">
        <v>42</v>
      </c>
      <c r="L988" t="s">
        <v>43</v>
      </c>
      <c r="M988">
        <v>135</v>
      </c>
      <c r="N988">
        <v>343</v>
      </c>
      <c r="O988" t="s">
        <v>57</v>
      </c>
      <c r="P988">
        <v>140</v>
      </c>
      <c r="Q988">
        <v>150</v>
      </c>
      <c r="R988">
        <v>110</v>
      </c>
      <c r="S988">
        <v>290</v>
      </c>
      <c r="T988">
        <v>70</v>
      </c>
      <c r="U988" t="s">
        <v>28</v>
      </c>
      <c r="V988" s="2">
        <v>0.39358600583090381</v>
      </c>
      <c r="W988" s="2">
        <v>0.53061224489795922</v>
      </c>
      <c r="X988">
        <v>25</v>
      </c>
    </row>
    <row r="989" spans="1:24" x14ac:dyDescent="0.3">
      <c r="A989">
        <v>360</v>
      </c>
      <c r="B989">
        <v>80</v>
      </c>
      <c r="C989">
        <v>-9</v>
      </c>
      <c r="D989" s="1">
        <v>41905</v>
      </c>
      <c r="E989">
        <v>1055</v>
      </c>
      <c r="F989">
        <v>94</v>
      </c>
      <c r="G989" t="s">
        <v>40</v>
      </c>
      <c r="H989" t="s">
        <v>37</v>
      </c>
      <c r="I989">
        <v>24</v>
      </c>
      <c r="J989" t="s">
        <v>41</v>
      </c>
      <c r="K989" t="s">
        <v>42</v>
      </c>
      <c r="L989" t="s">
        <v>43</v>
      </c>
      <c r="M989">
        <v>71</v>
      </c>
      <c r="N989">
        <v>185</v>
      </c>
      <c r="O989" t="s">
        <v>61</v>
      </c>
      <c r="P989">
        <v>60</v>
      </c>
      <c r="Q989">
        <v>90</v>
      </c>
      <c r="R989">
        <v>80</v>
      </c>
      <c r="S989">
        <v>150</v>
      </c>
      <c r="T989">
        <v>46</v>
      </c>
      <c r="U989" t="s">
        <v>28</v>
      </c>
      <c r="V989" s="2">
        <v>0.38378378378378381</v>
      </c>
      <c r="W989" s="2">
        <v>0.56756756756756754</v>
      </c>
      <c r="X989">
        <v>22</v>
      </c>
    </row>
    <row r="990" spans="1:24" x14ac:dyDescent="0.3">
      <c r="A990">
        <v>503</v>
      </c>
      <c r="B990">
        <v>51</v>
      </c>
      <c r="C990">
        <v>-57</v>
      </c>
      <c r="D990" s="1">
        <v>41906</v>
      </c>
      <c r="E990">
        <v>503</v>
      </c>
      <c r="F990">
        <v>71</v>
      </c>
      <c r="G990" t="s">
        <v>40</v>
      </c>
      <c r="H990" t="s">
        <v>37</v>
      </c>
      <c r="I990">
        <v>46</v>
      </c>
      <c r="J990" t="s">
        <v>41</v>
      </c>
      <c r="K990" t="s">
        <v>46</v>
      </c>
      <c r="L990" t="s">
        <v>51</v>
      </c>
      <c r="M990">
        <v>-7</v>
      </c>
      <c r="N990">
        <v>130</v>
      </c>
      <c r="O990" t="s">
        <v>57</v>
      </c>
      <c r="P990">
        <v>70</v>
      </c>
      <c r="Q990">
        <v>100</v>
      </c>
      <c r="R990">
        <v>50</v>
      </c>
      <c r="S990">
        <v>170</v>
      </c>
      <c r="T990">
        <v>76</v>
      </c>
      <c r="U990" t="s">
        <v>36</v>
      </c>
      <c r="V990" s="2">
        <v>-5.3846153846153849E-2</v>
      </c>
      <c r="W990" s="2">
        <v>0.60769230769230764</v>
      </c>
      <c r="X990">
        <v>30</v>
      </c>
    </row>
    <row r="991" spans="1:24" x14ac:dyDescent="0.3">
      <c r="A991">
        <v>435</v>
      </c>
      <c r="B991">
        <v>65</v>
      </c>
      <c r="C991">
        <v>-37</v>
      </c>
      <c r="D991" s="1">
        <v>41907</v>
      </c>
      <c r="E991">
        <v>1053</v>
      </c>
      <c r="F991">
        <v>77</v>
      </c>
      <c r="G991" t="s">
        <v>40</v>
      </c>
      <c r="H991" t="s">
        <v>37</v>
      </c>
      <c r="I991">
        <v>20</v>
      </c>
      <c r="J991" t="s">
        <v>41</v>
      </c>
      <c r="K991" t="s">
        <v>46</v>
      </c>
      <c r="L991" t="s">
        <v>51</v>
      </c>
      <c r="M991">
        <v>53</v>
      </c>
      <c r="N991">
        <v>151</v>
      </c>
      <c r="O991" t="s">
        <v>50</v>
      </c>
      <c r="P991">
        <v>90</v>
      </c>
      <c r="Q991">
        <v>110</v>
      </c>
      <c r="R991">
        <v>90</v>
      </c>
      <c r="S991">
        <v>200</v>
      </c>
      <c r="T991">
        <v>41</v>
      </c>
      <c r="U991" t="s">
        <v>36</v>
      </c>
      <c r="V991" s="2">
        <v>0.35099337748344372</v>
      </c>
      <c r="W991" s="2">
        <v>0.56953642384105962</v>
      </c>
      <c r="X991">
        <v>21</v>
      </c>
    </row>
    <row r="992" spans="1:24" x14ac:dyDescent="0.3">
      <c r="A992">
        <v>503</v>
      </c>
      <c r="B992">
        <v>60</v>
      </c>
      <c r="C992">
        <v>-59</v>
      </c>
      <c r="D992" s="1">
        <v>41908</v>
      </c>
      <c r="E992">
        <v>463</v>
      </c>
      <c r="F992">
        <v>84</v>
      </c>
      <c r="G992" t="s">
        <v>40</v>
      </c>
      <c r="H992" t="s">
        <v>37</v>
      </c>
      <c r="I992">
        <v>19</v>
      </c>
      <c r="J992" t="s">
        <v>41</v>
      </c>
      <c r="K992" t="s">
        <v>46</v>
      </c>
      <c r="L992" t="s">
        <v>53</v>
      </c>
      <c r="M992">
        <v>31</v>
      </c>
      <c r="N992">
        <v>153</v>
      </c>
      <c r="O992" t="s">
        <v>57</v>
      </c>
      <c r="P992">
        <v>80</v>
      </c>
      <c r="Q992">
        <v>130</v>
      </c>
      <c r="R992">
        <v>90</v>
      </c>
      <c r="S992">
        <v>210</v>
      </c>
      <c r="T992">
        <v>63</v>
      </c>
      <c r="U992" t="s">
        <v>36</v>
      </c>
      <c r="V992" s="2">
        <v>0.20261437908496732</v>
      </c>
      <c r="W992" s="2">
        <v>0.60784313725490191</v>
      </c>
      <c r="X992">
        <v>44</v>
      </c>
    </row>
    <row r="993" spans="1:24" x14ac:dyDescent="0.3">
      <c r="A993">
        <v>435</v>
      </c>
      <c r="B993">
        <v>47</v>
      </c>
      <c r="C993">
        <v>-47</v>
      </c>
      <c r="D993" s="1">
        <v>41909</v>
      </c>
      <c r="E993">
        <v>375</v>
      </c>
      <c r="F993">
        <v>64</v>
      </c>
      <c r="G993" t="s">
        <v>40</v>
      </c>
      <c r="H993" t="s">
        <v>37</v>
      </c>
      <c r="I993">
        <v>15</v>
      </c>
      <c r="J993" t="s">
        <v>41</v>
      </c>
      <c r="K993" t="s">
        <v>46</v>
      </c>
      <c r="L993" t="s">
        <v>53</v>
      </c>
      <c r="M993">
        <v>33</v>
      </c>
      <c r="N993">
        <v>118</v>
      </c>
      <c r="O993" t="s">
        <v>50</v>
      </c>
      <c r="P993">
        <v>50</v>
      </c>
      <c r="Q993">
        <v>100</v>
      </c>
      <c r="R993">
        <v>80</v>
      </c>
      <c r="S993">
        <v>150</v>
      </c>
      <c r="T993">
        <v>42</v>
      </c>
      <c r="U993" t="s">
        <v>36</v>
      </c>
      <c r="V993" s="2">
        <v>0.27966101694915252</v>
      </c>
      <c r="W993" s="2">
        <v>0.60169491525423724</v>
      </c>
      <c r="X993">
        <v>27</v>
      </c>
    </row>
    <row r="994" spans="1:24" x14ac:dyDescent="0.3">
      <c r="A994">
        <v>360</v>
      </c>
      <c r="B994">
        <v>68</v>
      </c>
      <c r="C994">
        <v>-27</v>
      </c>
      <c r="D994" s="1">
        <v>41910</v>
      </c>
      <c r="E994">
        <v>438</v>
      </c>
      <c r="F994">
        <v>99</v>
      </c>
      <c r="G994" t="s">
        <v>40</v>
      </c>
      <c r="H994" t="s">
        <v>37</v>
      </c>
      <c r="I994">
        <v>21</v>
      </c>
      <c r="J994" t="s">
        <v>41</v>
      </c>
      <c r="K994" t="s">
        <v>46</v>
      </c>
      <c r="L994" t="s">
        <v>53</v>
      </c>
      <c r="M994">
        <v>83</v>
      </c>
      <c r="N994">
        <v>178</v>
      </c>
      <c r="O994" t="s">
        <v>61</v>
      </c>
      <c r="P994">
        <v>90</v>
      </c>
      <c r="Q994">
        <v>140</v>
      </c>
      <c r="R994">
        <v>110</v>
      </c>
      <c r="S994">
        <v>230</v>
      </c>
      <c r="T994">
        <v>43</v>
      </c>
      <c r="U994" t="s">
        <v>36</v>
      </c>
      <c r="V994" s="2">
        <v>0.46629213483146065</v>
      </c>
      <c r="W994" s="2">
        <v>0.6179775280898876</v>
      </c>
      <c r="X994">
        <v>22</v>
      </c>
    </row>
    <row r="995" spans="1:24" x14ac:dyDescent="0.3">
      <c r="A995">
        <v>206</v>
      </c>
      <c r="B995">
        <v>22</v>
      </c>
      <c r="C995">
        <v>-5</v>
      </c>
      <c r="D995" s="1">
        <v>41911</v>
      </c>
      <c r="E995">
        <v>573</v>
      </c>
      <c r="F995">
        <v>29</v>
      </c>
      <c r="G995" t="s">
        <v>40</v>
      </c>
      <c r="H995" t="s">
        <v>37</v>
      </c>
      <c r="I995">
        <v>7</v>
      </c>
      <c r="J995" t="s">
        <v>41</v>
      </c>
      <c r="K995" t="s">
        <v>42</v>
      </c>
      <c r="L995" t="s">
        <v>55</v>
      </c>
      <c r="M995">
        <v>15</v>
      </c>
      <c r="N995">
        <v>54</v>
      </c>
      <c r="O995" t="s">
        <v>61</v>
      </c>
      <c r="P995">
        <v>10</v>
      </c>
      <c r="Q995">
        <v>20</v>
      </c>
      <c r="R995">
        <v>20</v>
      </c>
      <c r="S995">
        <v>30</v>
      </c>
      <c r="T995">
        <v>19</v>
      </c>
      <c r="U995" t="s">
        <v>36</v>
      </c>
      <c r="V995" s="2">
        <v>0.27777777777777779</v>
      </c>
      <c r="W995" s="2">
        <v>0.59259259259259256</v>
      </c>
      <c r="X995">
        <v>12</v>
      </c>
    </row>
    <row r="996" spans="1:24" x14ac:dyDescent="0.3">
      <c r="A996">
        <v>775</v>
      </c>
      <c r="B996">
        <v>21</v>
      </c>
      <c r="C996">
        <v>1</v>
      </c>
      <c r="D996" s="1">
        <v>41912</v>
      </c>
      <c r="E996">
        <v>846</v>
      </c>
      <c r="F996">
        <v>31</v>
      </c>
      <c r="G996" t="s">
        <v>40</v>
      </c>
      <c r="H996" t="s">
        <v>37</v>
      </c>
      <c r="I996">
        <v>5</v>
      </c>
      <c r="J996" t="s">
        <v>41</v>
      </c>
      <c r="K996" t="s">
        <v>42</v>
      </c>
      <c r="L996" t="s">
        <v>54</v>
      </c>
      <c r="M996">
        <v>21</v>
      </c>
      <c r="N996">
        <v>55</v>
      </c>
      <c r="O996" t="s">
        <v>49</v>
      </c>
      <c r="P996">
        <v>10</v>
      </c>
      <c r="Q996">
        <v>20</v>
      </c>
      <c r="R996">
        <v>20</v>
      </c>
      <c r="S996">
        <v>30</v>
      </c>
      <c r="T996">
        <v>17</v>
      </c>
      <c r="U996" t="s">
        <v>36</v>
      </c>
      <c r="V996" s="2">
        <v>0.38181818181818183</v>
      </c>
      <c r="W996" s="2">
        <v>0.61818181818181817</v>
      </c>
      <c r="X996">
        <v>12</v>
      </c>
    </row>
    <row r="997" spans="1:24" x14ac:dyDescent="0.3">
      <c r="A997">
        <v>435</v>
      </c>
      <c r="B997">
        <v>103</v>
      </c>
      <c r="C997">
        <v>19</v>
      </c>
      <c r="D997" s="1">
        <v>41913</v>
      </c>
      <c r="E997">
        <v>564</v>
      </c>
      <c r="F997">
        <v>133</v>
      </c>
      <c r="G997" t="s">
        <v>40</v>
      </c>
      <c r="H997" t="s">
        <v>37</v>
      </c>
      <c r="I997">
        <v>33</v>
      </c>
      <c r="J997" t="s">
        <v>41</v>
      </c>
      <c r="K997" t="s">
        <v>42</v>
      </c>
      <c r="L997" t="s">
        <v>54</v>
      </c>
      <c r="M997">
        <v>129</v>
      </c>
      <c r="N997">
        <v>251</v>
      </c>
      <c r="O997" t="s">
        <v>50</v>
      </c>
      <c r="P997">
        <v>80</v>
      </c>
      <c r="Q997">
        <v>130</v>
      </c>
      <c r="R997">
        <v>110</v>
      </c>
      <c r="S997">
        <v>210</v>
      </c>
      <c r="T997">
        <v>46</v>
      </c>
      <c r="U997" t="s">
        <v>36</v>
      </c>
      <c r="V997" s="2">
        <v>0.51394422310756971</v>
      </c>
      <c r="W997" s="2">
        <v>0.58964143426294824</v>
      </c>
      <c r="X997">
        <v>13</v>
      </c>
    </row>
    <row r="998" spans="1:24" x14ac:dyDescent="0.3">
      <c r="A998">
        <v>702</v>
      </c>
      <c r="B998">
        <v>125</v>
      </c>
      <c r="C998">
        <v>-21</v>
      </c>
      <c r="D998" s="1">
        <v>41914</v>
      </c>
      <c r="E998">
        <v>898</v>
      </c>
      <c r="F998">
        <v>173</v>
      </c>
      <c r="G998" t="s">
        <v>40</v>
      </c>
      <c r="H998" t="s">
        <v>37</v>
      </c>
      <c r="I998">
        <v>113</v>
      </c>
      <c r="J998" t="s">
        <v>24</v>
      </c>
      <c r="K998" t="s">
        <v>25</v>
      </c>
      <c r="L998" t="s">
        <v>58</v>
      </c>
      <c r="M998">
        <v>39</v>
      </c>
      <c r="N998">
        <v>318</v>
      </c>
      <c r="O998" t="s">
        <v>49</v>
      </c>
      <c r="P998">
        <v>90</v>
      </c>
      <c r="Q998">
        <v>150</v>
      </c>
      <c r="R998">
        <v>60</v>
      </c>
      <c r="S998">
        <v>240</v>
      </c>
      <c r="T998">
        <v>147</v>
      </c>
      <c r="U998" t="s">
        <v>28</v>
      </c>
      <c r="V998" s="2">
        <v>0.12264150943396226</v>
      </c>
      <c r="W998" s="2">
        <v>0.60691823899371067</v>
      </c>
      <c r="X998">
        <v>34</v>
      </c>
    </row>
    <row r="999" spans="1:24" x14ac:dyDescent="0.3">
      <c r="A999">
        <v>360</v>
      </c>
      <c r="B999">
        <v>125</v>
      </c>
      <c r="C999">
        <v>41</v>
      </c>
      <c r="D999" s="1">
        <v>41915</v>
      </c>
      <c r="E999">
        <v>1119</v>
      </c>
      <c r="F999">
        <v>188</v>
      </c>
      <c r="G999" t="s">
        <v>40</v>
      </c>
      <c r="H999" t="s">
        <v>37</v>
      </c>
      <c r="I999">
        <v>41</v>
      </c>
      <c r="J999" t="s">
        <v>24</v>
      </c>
      <c r="K999" t="s">
        <v>25</v>
      </c>
      <c r="L999" t="s">
        <v>58</v>
      </c>
      <c r="M999">
        <v>171</v>
      </c>
      <c r="N999">
        <v>334</v>
      </c>
      <c r="O999" t="s">
        <v>61</v>
      </c>
      <c r="P999">
        <v>90</v>
      </c>
      <c r="Q999">
        <v>160</v>
      </c>
      <c r="R999">
        <v>130</v>
      </c>
      <c r="S999">
        <v>250</v>
      </c>
      <c r="T999">
        <v>73</v>
      </c>
      <c r="U999" t="s">
        <v>28</v>
      </c>
      <c r="V999" s="2">
        <v>0.5119760479041916</v>
      </c>
      <c r="W999" s="2">
        <v>0.62574850299401197</v>
      </c>
      <c r="X999">
        <v>32</v>
      </c>
    </row>
    <row r="1000" spans="1:24" x14ac:dyDescent="0.3">
      <c r="A1000">
        <v>775</v>
      </c>
      <c r="B1000">
        <v>154</v>
      </c>
      <c r="C1000">
        <v>58</v>
      </c>
      <c r="D1000" s="1">
        <v>41916</v>
      </c>
      <c r="E1000">
        <v>1132</v>
      </c>
      <c r="F1000">
        <v>213</v>
      </c>
      <c r="G1000" t="s">
        <v>40</v>
      </c>
      <c r="H1000" t="s">
        <v>37</v>
      </c>
      <c r="I1000">
        <v>50</v>
      </c>
      <c r="J1000" t="s">
        <v>24</v>
      </c>
      <c r="K1000" t="s">
        <v>25</v>
      </c>
      <c r="L1000" t="s">
        <v>26</v>
      </c>
      <c r="M1000">
        <v>178</v>
      </c>
      <c r="N1000">
        <v>391</v>
      </c>
      <c r="O1000" t="s">
        <v>49</v>
      </c>
      <c r="P1000">
        <v>120</v>
      </c>
      <c r="Q1000">
        <v>170</v>
      </c>
      <c r="R1000">
        <v>120</v>
      </c>
      <c r="S1000">
        <v>290</v>
      </c>
      <c r="T1000">
        <v>93</v>
      </c>
      <c r="U1000" t="s">
        <v>28</v>
      </c>
      <c r="V1000" s="2">
        <v>0.45524296675191817</v>
      </c>
      <c r="W1000" s="2">
        <v>0.60613810741687979</v>
      </c>
      <c r="X1000">
        <v>43</v>
      </c>
    </row>
    <row r="1001" spans="1:24" x14ac:dyDescent="0.3">
      <c r="A1001">
        <v>541</v>
      </c>
      <c r="B1001">
        <v>90</v>
      </c>
      <c r="C1001">
        <v>18</v>
      </c>
      <c r="D1001" s="1">
        <v>41917</v>
      </c>
      <c r="E1001">
        <v>572</v>
      </c>
      <c r="F1001">
        <v>115</v>
      </c>
      <c r="G1001" t="s">
        <v>40</v>
      </c>
      <c r="H1001" t="s">
        <v>37</v>
      </c>
      <c r="I1001">
        <v>29</v>
      </c>
      <c r="J1001" t="s">
        <v>24</v>
      </c>
      <c r="K1001" t="s">
        <v>25</v>
      </c>
      <c r="L1001" t="s">
        <v>26</v>
      </c>
      <c r="M1001">
        <v>108</v>
      </c>
      <c r="N1001">
        <v>218</v>
      </c>
      <c r="O1001" t="s">
        <v>57</v>
      </c>
      <c r="P1001">
        <v>60</v>
      </c>
      <c r="Q1001">
        <v>100</v>
      </c>
      <c r="R1001">
        <v>90</v>
      </c>
      <c r="S1001">
        <v>160</v>
      </c>
      <c r="T1001">
        <v>42</v>
      </c>
      <c r="U1001" t="s">
        <v>28</v>
      </c>
      <c r="V1001" s="2">
        <v>0.49541284403669728</v>
      </c>
      <c r="W1001" s="2">
        <v>0.58715596330275233</v>
      </c>
      <c r="X1001">
        <v>13</v>
      </c>
    </row>
    <row r="1002" spans="1:24" x14ac:dyDescent="0.3">
      <c r="A1002">
        <v>775</v>
      </c>
      <c r="B1002">
        <v>122</v>
      </c>
      <c r="C1002">
        <v>39</v>
      </c>
      <c r="D1002" s="1">
        <v>41918</v>
      </c>
      <c r="E1002">
        <v>789</v>
      </c>
      <c r="F1002">
        <v>176</v>
      </c>
      <c r="G1002" t="s">
        <v>40</v>
      </c>
      <c r="H1002" t="s">
        <v>37</v>
      </c>
      <c r="I1002">
        <v>39</v>
      </c>
      <c r="J1002" t="s">
        <v>24</v>
      </c>
      <c r="K1002" t="s">
        <v>25</v>
      </c>
      <c r="L1002" t="s">
        <v>29</v>
      </c>
      <c r="M1002">
        <v>169</v>
      </c>
      <c r="N1002">
        <v>318</v>
      </c>
      <c r="O1002" t="s">
        <v>49</v>
      </c>
      <c r="P1002">
        <v>90</v>
      </c>
      <c r="Q1002">
        <v>150</v>
      </c>
      <c r="R1002">
        <v>130</v>
      </c>
      <c r="S1002">
        <v>240</v>
      </c>
      <c r="T1002">
        <v>62</v>
      </c>
      <c r="U1002" t="s">
        <v>28</v>
      </c>
      <c r="V1002" s="2">
        <v>0.53144654088050314</v>
      </c>
      <c r="W1002" s="2">
        <v>0.61635220125786161</v>
      </c>
      <c r="X1002">
        <v>23</v>
      </c>
    </row>
    <row r="1003" spans="1:24" x14ac:dyDescent="0.3">
      <c r="A1003">
        <v>435</v>
      </c>
      <c r="B1003">
        <v>86</v>
      </c>
      <c r="C1003">
        <v>-40</v>
      </c>
      <c r="D1003" s="1">
        <v>41919</v>
      </c>
      <c r="E1003">
        <v>1698</v>
      </c>
      <c r="F1003">
        <v>23</v>
      </c>
      <c r="G1003" t="s">
        <v>40</v>
      </c>
      <c r="H1003" t="s">
        <v>37</v>
      </c>
      <c r="I1003">
        <v>26</v>
      </c>
      <c r="J1003" t="s">
        <v>24</v>
      </c>
      <c r="K1003" t="s">
        <v>25</v>
      </c>
      <c r="L1003" t="s">
        <v>29</v>
      </c>
      <c r="M1003">
        <v>-40</v>
      </c>
      <c r="N1003">
        <v>116</v>
      </c>
      <c r="O1003" t="s">
        <v>50</v>
      </c>
      <c r="P1003">
        <v>60</v>
      </c>
      <c r="Q1003">
        <v>20</v>
      </c>
      <c r="R1003">
        <v>0</v>
      </c>
      <c r="S1003">
        <v>80</v>
      </c>
      <c r="T1003">
        <v>50</v>
      </c>
      <c r="U1003" t="s">
        <v>28</v>
      </c>
      <c r="V1003" s="2">
        <v>-0.34482758620689657</v>
      </c>
      <c r="W1003" s="2">
        <v>0.25862068965517243</v>
      </c>
      <c r="X1003">
        <v>24</v>
      </c>
    </row>
    <row r="1004" spans="1:24" x14ac:dyDescent="0.3">
      <c r="A1004">
        <v>775</v>
      </c>
      <c r="B1004">
        <v>257</v>
      </c>
      <c r="C1004">
        <v>202</v>
      </c>
      <c r="D1004" s="1">
        <v>41920</v>
      </c>
      <c r="E1004">
        <v>1662</v>
      </c>
      <c r="F1004">
        <v>341</v>
      </c>
      <c r="G1004" t="s">
        <v>40</v>
      </c>
      <c r="H1004" t="s">
        <v>37</v>
      </c>
      <c r="I1004">
        <v>84</v>
      </c>
      <c r="J1004" t="s">
        <v>24</v>
      </c>
      <c r="K1004" t="s">
        <v>33</v>
      </c>
      <c r="L1004" t="s">
        <v>34</v>
      </c>
      <c r="M1004">
        <v>332</v>
      </c>
      <c r="N1004">
        <v>637</v>
      </c>
      <c r="O1004" t="s">
        <v>49</v>
      </c>
      <c r="P1004">
        <v>110</v>
      </c>
      <c r="Q1004">
        <v>180</v>
      </c>
      <c r="R1004">
        <v>130</v>
      </c>
      <c r="S1004">
        <v>290</v>
      </c>
      <c r="T1004">
        <v>117</v>
      </c>
      <c r="U1004" t="s">
        <v>36</v>
      </c>
      <c r="V1004" s="2">
        <v>0.52119309262166402</v>
      </c>
      <c r="W1004" s="2">
        <v>0.59654631083202514</v>
      </c>
      <c r="X1004">
        <v>33</v>
      </c>
    </row>
    <row r="1005" spans="1:24" x14ac:dyDescent="0.3">
      <c r="A1005">
        <v>971</v>
      </c>
      <c r="B1005">
        <v>21</v>
      </c>
      <c r="C1005">
        <v>4</v>
      </c>
      <c r="D1005" s="1">
        <v>41921</v>
      </c>
      <c r="E1005">
        <v>480</v>
      </c>
      <c r="F1005">
        <v>32</v>
      </c>
      <c r="G1005" t="s">
        <v>40</v>
      </c>
      <c r="H1005" t="s">
        <v>37</v>
      </c>
      <c r="I1005">
        <v>5</v>
      </c>
      <c r="J1005" t="s">
        <v>24</v>
      </c>
      <c r="K1005" t="s">
        <v>33</v>
      </c>
      <c r="L1005" t="s">
        <v>34</v>
      </c>
      <c r="M1005">
        <v>24</v>
      </c>
      <c r="N1005">
        <v>56</v>
      </c>
      <c r="O1005" t="s">
        <v>57</v>
      </c>
      <c r="P1005">
        <v>0</v>
      </c>
      <c r="Q1005">
        <v>20</v>
      </c>
      <c r="R1005">
        <v>20</v>
      </c>
      <c r="S1005">
        <v>20</v>
      </c>
      <c r="T1005">
        <v>16</v>
      </c>
      <c r="U1005" t="s">
        <v>36</v>
      </c>
      <c r="V1005" s="2">
        <v>0.42857142857142855</v>
      </c>
      <c r="W1005" s="2">
        <v>0.625</v>
      </c>
      <c r="X1005">
        <v>11</v>
      </c>
    </row>
    <row r="1006" spans="1:24" x14ac:dyDescent="0.3">
      <c r="A1006">
        <v>775</v>
      </c>
      <c r="B1006">
        <v>239</v>
      </c>
      <c r="C1006">
        <v>141</v>
      </c>
      <c r="D1006" s="1">
        <v>41922</v>
      </c>
      <c r="E1006">
        <v>1755</v>
      </c>
      <c r="F1006">
        <v>239</v>
      </c>
      <c r="G1006" t="s">
        <v>40</v>
      </c>
      <c r="H1006" t="s">
        <v>37</v>
      </c>
      <c r="I1006">
        <v>66</v>
      </c>
      <c r="J1006" t="s">
        <v>24</v>
      </c>
      <c r="K1006" t="s">
        <v>33</v>
      </c>
      <c r="L1006" t="s">
        <v>62</v>
      </c>
      <c r="M1006">
        <v>221</v>
      </c>
      <c r="N1006">
        <v>509</v>
      </c>
      <c r="O1006" t="s">
        <v>49</v>
      </c>
      <c r="P1006">
        <v>110</v>
      </c>
      <c r="Q1006">
        <v>120</v>
      </c>
      <c r="R1006">
        <v>80</v>
      </c>
      <c r="S1006">
        <v>230</v>
      </c>
      <c r="T1006">
        <v>90</v>
      </c>
      <c r="U1006" t="s">
        <v>36</v>
      </c>
      <c r="V1006" s="2">
        <v>0.43418467583497056</v>
      </c>
      <c r="W1006" s="2">
        <v>0.53045186640471509</v>
      </c>
      <c r="X1006">
        <v>24</v>
      </c>
    </row>
    <row r="1007" spans="1:24" x14ac:dyDescent="0.3">
      <c r="A1007">
        <v>702</v>
      </c>
      <c r="B1007">
        <v>255</v>
      </c>
      <c r="C1007">
        <v>-369</v>
      </c>
      <c r="D1007" s="1">
        <v>41923</v>
      </c>
      <c r="E1007">
        <v>7058</v>
      </c>
      <c r="F1007">
        <v>-255</v>
      </c>
      <c r="G1007" t="s">
        <v>40</v>
      </c>
      <c r="H1007" t="s">
        <v>37</v>
      </c>
      <c r="I1007">
        <v>96</v>
      </c>
      <c r="J1007" t="s">
        <v>24</v>
      </c>
      <c r="K1007" t="s">
        <v>33</v>
      </c>
      <c r="L1007" t="s">
        <v>38</v>
      </c>
      <c r="M1007">
        <v>-539</v>
      </c>
      <c r="N1007">
        <v>22</v>
      </c>
      <c r="O1007" t="s">
        <v>49</v>
      </c>
      <c r="P1007">
        <v>110</v>
      </c>
      <c r="Q1007">
        <v>-110</v>
      </c>
      <c r="R1007">
        <v>-170</v>
      </c>
      <c r="S1007">
        <v>0</v>
      </c>
      <c r="T1007">
        <v>129</v>
      </c>
      <c r="U1007" t="s">
        <v>36</v>
      </c>
      <c r="V1007" s="2">
        <v>-24.5</v>
      </c>
      <c r="W1007" s="2">
        <v>-10.590909090909092</v>
      </c>
      <c r="X1007">
        <v>33</v>
      </c>
    </row>
    <row r="1008" spans="1:24" x14ac:dyDescent="0.3">
      <c r="A1008">
        <v>435</v>
      </c>
      <c r="B1008">
        <v>25</v>
      </c>
      <c r="C1008">
        <v>-28</v>
      </c>
      <c r="D1008" s="1">
        <v>41924</v>
      </c>
      <c r="E1008">
        <v>209</v>
      </c>
      <c r="F1008">
        <v>31</v>
      </c>
      <c r="G1008" t="s">
        <v>40</v>
      </c>
      <c r="H1008" t="s">
        <v>37</v>
      </c>
      <c r="I1008">
        <v>9</v>
      </c>
      <c r="J1008" t="s">
        <v>24</v>
      </c>
      <c r="K1008" t="s">
        <v>33</v>
      </c>
      <c r="L1008" t="s">
        <v>38</v>
      </c>
      <c r="M1008">
        <v>-18</v>
      </c>
      <c r="N1008">
        <v>60</v>
      </c>
      <c r="O1008" t="s">
        <v>50</v>
      </c>
      <c r="P1008">
        <v>0</v>
      </c>
      <c r="Q1008">
        <v>20</v>
      </c>
      <c r="R1008">
        <v>10</v>
      </c>
      <c r="S1008">
        <v>20</v>
      </c>
      <c r="T1008">
        <v>43</v>
      </c>
      <c r="U1008" t="s">
        <v>36</v>
      </c>
      <c r="V1008" s="2">
        <v>-0.3</v>
      </c>
      <c r="W1008" s="2">
        <v>0.58333333333333337</v>
      </c>
      <c r="X1008">
        <v>34</v>
      </c>
    </row>
    <row r="1009" spans="1:24" x14ac:dyDescent="0.3">
      <c r="A1009">
        <v>626</v>
      </c>
      <c r="B1009">
        <v>173</v>
      </c>
      <c r="C1009">
        <v>-58</v>
      </c>
      <c r="D1009" s="1">
        <v>41925</v>
      </c>
      <c r="E1009">
        <v>3909</v>
      </c>
      <c r="F1009">
        <v>-27</v>
      </c>
      <c r="G1009" t="s">
        <v>22</v>
      </c>
      <c r="H1009" t="s">
        <v>37</v>
      </c>
      <c r="I1009">
        <v>57</v>
      </c>
      <c r="J1009" t="s">
        <v>41</v>
      </c>
      <c r="K1009" t="s">
        <v>46</v>
      </c>
      <c r="L1009" t="s">
        <v>47</v>
      </c>
      <c r="M1009">
        <v>-188</v>
      </c>
      <c r="N1009">
        <v>156</v>
      </c>
      <c r="O1009" t="s">
        <v>39</v>
      </c>
      <c r="P1009">
        <v>200</v>
      </c>
      <c r="Q1009">
        <v>-30</v>
      </c>
      <c r="R1009">
        <v>-130</v>
      </c>
      <c r="S1009">
        <v>170</v>
      </c>
      <c r="T1009">
        <v>100</v>
      </c>
      <c r="U1009" t="s">
        <v>28</v>
      </c>
      <c r="V1009" s="2">
        <v>-1.2051282051282051</v>
      </c>
      <c r="W1009" s="2">
        <v>-0.10897435897435898</v>
      </c>
      <c r="X1009">
        <v>43</v>
      </c>
    </row>
    <row r="1010" spans="1:24" x14ac:dyDescent="0.3">
      <c r="A1010">
        <v>213</v>
      </c>
      <c r="B1010">
        <v>228</v>
      </c>
      <c r="C1010">
        <v>102</v>
      </c>
      <c r="D1010" s="1">
        <v>41926</v>
      </c>
      <c r="E1010">
        <v>1691</v>
      </c>
      <c r="F1010">
        <v>304</v>
      </c>
      <c r="G1010" t="s">
        <v>22</v>
      </c>
      <c r="H1010" t="s">
        <v>37</v>
      </c>
      <c r="I1010">
        <v>75</v>
      </c>
      <c r="J1010" t="s">
        <v>41</v>
      </c>
      <c r="K1010" t="s">
        <v>42</v>
      </c>
      <c r="L1010" t="s">
        <v>43</v>
      </c>
      <c r="M1010">
        <v>292</v>
      </c>
      <c r="N1010">
        <v>567</v>
      </c>
      <c r="O1010" t="s">
        <v>39</v>
      </c>
      <c r="P1010">
        <v>220</v>
      </c>
      <c r="Q1010">
        <v>290</v>
      </c>
      <c r="R1010">
        <v>190</v>
      </c>
      <c r="S1010">
        <v>510</v>
      </c>
      <c r="T1010">
        <v>107</v>
      </c>
      <c r="U1010" t="s">
        <v>28</v>
      </c>
      <c r="V1010" s="2">
        <v>0.5149911816578483</v>
      </c>
      <c r="W1010" s="2">
        <v>0.59788359788359791</v>
      </c>
      <c r="X1010">
        <v>32</v>
      </c>
    </row>
    <row r="1011" spans="1:24" x14ac:dyDescent="0.3">
      <c r="A1011">
        <v>916</v>
      </c>
      <c r="B1011">
        <v>113</v>
      </c>
      <c r="C1011">
        <v>-33</v>
      </c>
      <c r="D1011" s="1">
        <v>41927</v>
      </c>
      <c r="E1011">
        <v>2758</v>
      </c>
      <c r="F1011">
        <v>3</v>
      </c>
      <c r="G1011" t="s">
        <v>22</v>
      </c>
      <c r="H1011" t="s">
        <v>37</v>
      </c>
      <c r="I1011">
        <v>36</v>
      </c>
      <c r="J1011" t="s">
        <v>41</v>
      </c>
      <c r="K1011" t="s">
        <v>46</v>
      </c>
      <c r="L1011" t="s">
        <v>51</v>
      </c>
      <c r="M1011">
        <v>-83</v>
      </c>
      <c r="N1011">
        <v>124</v>
      </c>
      <c r="O1011" t="s">
        <v>39</v>
      </c>
      <c r="P1011">
        <v>130</v>
      </c>
      <c r="Q1011">
        <v>0</v>
      </c>
      <c r="R1011">
        <v>-50</v>
      </c>
      <c r="S1011">
        <v>130</v>
      </c>
      <c r="T1011">
        <v>59</v>
      </c>
      <c r="U1011" t="s">
        <v>36</v>
      </c>
      <c r="V1011" s="2">
        <v>-0.66935483870967738</v>
      </c>
      <c r="W1011" s="2">
        <v>8.8709677419354843E-2</v>
      </c>
      <c r="X1011">
        <v>23</v>
      </c>
    </row>
    <row r="1012" spans="1:24" x14ac:dyDescent="0.3">
      <c r="A1012">
        <v>213</v>
      </c>
      <c r="B1012">
        <v>249</v>
      </c>
      <c r="C1012">
        <v>39</v>
      </c>
      <c r="D1012" s="1">
        <v>41928</v>
      </c>
      <c r="E1012">
        <v>2580</v>
      </c>
      <c r="F1012">
        <v>374</v>
      </c>
      <c r="G1012" t="s">
        <v>22</v>
      </c>
      <c r="H1012" t="s">
        <v>37</v>
      </c>
      <c r="I1012">
        <v>87</v>
      </c>
      <c r="J1012" t="s">
        <v>41</v>
      </c>
      <c r="K1012" t="s">
        <v>46</v>
      </c>
      <c r="L1012" t="s">
        <v>53</v>
      </c>
      <c r="M1012">
        <v>349</v>
      </c>
      <c r="N1012">
        <v>664</v>
      </c>
      <c r="O1012" t="s">
        <v>39</v>
      </c>
      <c r="P1012">
        <v>290</v>
      </c>
      <c r="Q1012">
        <v>450</v>
      </c>
      <c r="R1012">
        <v>310</v>
      </c>
      <c r="S1012">
        <v>740</v>
      </c>
      <c r="T1012">
        <v>139</v>
      </c>
      <c r="U1012" t="s">
        <v>36</v>
      </c>
      <c r="V1012" s="2">
        <v>0.5256024096385542</v>
      </c>
      <c r="W1012" s="2">
        <v>0.625</v>
      </c>
      <c r="X1012">
        <v>52</v>
      </c>
    </row>
    <row r="1013" spans="1:24" x14ac:dyDescent="0.3">
      <c r="A1013">
        <v>951</v>
      </c>
      <c r="B1013">
        <v>211</v>
      </c>
      <c r="C1013">
        <v>51</v>
      </c>
      <c r="D1013" s="1">
        <v>41929</v>
      </c>
      <c r="E1013">
        <v>1778</v>
      </c>
      <c r="F1013">
        <v>212</v>
      </c>
      <c r="G1013" t="s">
        <v>22</v>
      </c>
      <c r="H1013" t="s">
        <v>37</v>
      </c>
      <c r="I1013">
        <v>59</v>
      </c>
      <c r="J1013" t="s">
        <v>41</v>
      </c>
      <c r="K1013" t="s">
        <v>42</v>
      </c>
      <c r="L1013" t="s">
        <v>55</v>
      </c>
      <c r="M1013">
        <v>191</v>
      </c>
      <c r="N1013">
        <v>451</v>
      </c>
      <c r="O1013" t="s">
        <v>39</v>
      </c>
      <c r="P1013">
        <v>200</v>
      </c>
      <c r="Q1013">
        <v>210</v>
      </c>
      <c r="R1013">
        <v>140</v>
      </c>
      <c r="S1013">
        <v>410</v>
      </c>
      <c r="T1013">
        <v>83</v>
      </c>
      <c r="U1013" t="s">
        <v>36</v>
      </c>
      <c r="V1013" s="2">
        <v>0.42350332594235035</v>
      </c>
      <c r="W1013" s="2">
        <v>0.53215077605321504</v>
      </c>
      <c r="X1013">
        <v>24</v>
      </c>
    </row>
    <row r="1014" spans="1:24" x14ac:dyDescent="0.3">
      <c r="A1014">
        <v>916</v>
      </c>
      <c r="B1014">
        <v>121</v>
      </c>
      <c r="C1014">
        <v>-1</v>
      </c>
      <c r="D1014" s="1">
        <v>41930</v>
      </c>
      <c r="E1014">
        <v>912</v>
      </c>
      <c r="F1014">
        <v>168</v>
      </c>
      <c r="G1014" t="s">
        <v>22</v>
      </c>
      <c r="H1014" t="s">
        <v>37</v>
      </c>
      <c r="I1014">
        <v>109</v>
      </c>
      <c r="J1014" t="s">
        <v>41</v>
      </c>
      <c r="K1014" t="s">
        <v>42</v>
      </c>
      <c r="L1014" t="s">
        <v>54</v>
      </c>
      <c r="M1014">
        <v>39</v>
      </c>
      <c r="N1014">
        <v>308</v>
      </c>
      <c r="O1014" t="s">
        <v>39</v>
      </c>
      <c r="P1014">
        <v>110</v>
      </c>
      <c r="Q1014">
        <v>170</v>
      </c>
      <c r="R1014">
        <v>40</v>
      </c>
      <c r="S1014">
        <v>280</v>
      </c>
      <c r="T1014">
        <v>142</v>
      </c>
      <c r="U1014" t="s">
        <v>36</v>
      </c>
      <c r="V1014" s="2">
        <v>0.12662337662337661</v>
      </c>
      <c r="W1014" s="2">
        <v>0.6071428571428571</v>
      </c>
      <c r="X1014">
        <v>33</v>
      </c>
    </row>
    <row r="1015" spans="1:24" x14ac:dyDescent="0.3">
      <c r="A1015">
        <v>760</v>
      </c>
      <c r="B1015">
        <v>81</v>
      </c>
      <c r="C1015">
        <v>45</v>
      </c>
      <c r="D1015" s="1">
        <v>41931</v>
      </c>
      <c r="E1015">
        <v>984</v>
      </c>
      <c r="F1015">
        <v>117</v>
      </c>
      <c r="G1015" t="s">
        <v>22</v>
      </c>
      <c r="H1015" t="s">
        <v>37</v>
      </c>
      <c r="I1015">
        <v>22</v>
      </c>
      <c r="J1015" t="s">
        <v>24</v>
      </c>
      <c r="K1015" t="s">
        <v>25</v>
      </c>
      <c r="L1015" t="s">
        <v>58</v>
      </c>
      <c r="M1015">
        <v>125</v>
      </c>
      <c r="N1015">
        <v>211</v>
      </c>
      <c r="O1015" t="s">
        <v>39</v>
      </c>
      <c r="P1015">
        <v>70</v>
      </c>
      <c r="Q1015">
        <v>110</v>
      </c>
      <c r="R1015">
        <v>80</v>
      </c>
      <c r="S1015">
        <v>180</v>
      </c>
      <c r="T1015">
        <v>33</v>
      </c>
      <c r="U1015" t="s">
        <v>28</v>
      </c>
      <c r="V1015" s="2">
        <v>0.59241706161137442</v>
      </c>
      <c r="W1015" s="2">
        <v>0.61611374407582942</v>
      </c>
      <c r="X1015">
        <v>11</v>
      </c>
    </row>
    <row r="1016" spans="1:24" x14ac:dyDescent="0.3">
      <c r="A1016">
        <v>510</v>
      </c>
      <c r="B1016">
        <v>225</v>
      </c>
      <c r="C1016">
        <v>98</v>
      </c>
      <c r="D1016" s="1">
        <v>41932</v>
      </c>
      <c r="E1016">
        <v>1272</v>
      </c>
      <c r="F1016">
        <v>265</v>
      </c>
      <c r="G1016" t="s">
        <v>22</v>
      </c>
      <c r="H1016" t="s">
        <v>37</v>
      </c>
      <c r="I1016">
        <v>69</v>
      </c>
      <c r="J1016" t="s">
        <v>24</v>
      </c>
      <c r="K1016" t="s">
        <v>25</v>
      </c>
      <c r="L1016" t="s">
        <v>26</v>
      </c>
      <c r="M1016">
        <v>258</v>
      </c>
      <c r="N1016">
        <v>522</v>
      </c>
      <c r="O1016" t="s">
        <v>39</v>
      </c>
      <c r="P1016">
        <v>210</v>
      </c>
      <c r="Q1016">
        <v>240</v>
      </c>
      <c r="R1016">
        <v>160</v>
      </c>
      <c r="S1016">
        <v>450</v>
      </c>
      <c r="T1016">
        <v>91</v>
      </c>
      <c r="U1016" t="s">
        <v>28</v>
      </c>
      <c r="V1016" s="2">
        <v>0.4942528735632184</v>
      </c>
      <c r="W1016" s="2">
        <v>0.56896551724137934</v>
      </c>
      <c r="X1016">
        <v>22</v>
      </c>
    </row>
    <row r="1017" spans="1:24" x14ac:dyDescent="0.3">
      <c r="A1017">
        <v>805</v>
      </c>
      <c r="B1017">
        <v>118</v>
      </c>
      <c r="C1017">
        <v>80</v>
      </c>
      <c r="D1017" s="1">
        <v>41933</v>
      </c>
      <c r="E1017">
        <v>930</v>
      </c>
      <c r="F1017">
        <v>172</v>
      </c>
      <c r="G1017" t="s">
        <v>22</v>
      </c>
      <c r="H1017" t="s">
        <v>37</v>
      </c>
      <c r="I1017">
        <v>33</v>
      </c>
      <c r="J1017" t="s">
        <v>24</v>
      </c>
      <c r="K1017" t="s">
        <v>33</v>
      </c>
      <c r="L1017" t="s">
        <v>34</v>
      </c>
      <c r="M1017">
        <v>190</v>
      </c>
      <c r="N1017">
        <v>309</v>
      </c>
      <c r="O1017" t="s">
        <v>39</v>
      </c>
      <c r="P1017">
        <v>80</v>
      </c>
      <c r="Q1017">
        <v>130</v>
      </c>
      <c r="R1017">
        <v>110</v>
      </c>
      <c r="S1017">
        <v>210</v>
      </c>
      <c r="T1017">
        <v>44</v>
      </c>
      <c r="U1017" t="s">
        <v>36</v>
      </c>
      <c r="V1017" s="2">
        <v>0.61488673139158578</v>
      </c>
      <c r="W1017" s="2">
        <v>0.6181229773462783</v>
      </c>
      <c r="X1017">
        <v>11</v>
      </c>
    </row>
    <row r="1018" spans="1:24" x14ac:dyDescent="0.3">
      <c r="A1018">
        <v>435</v>
      </c>
      <c r="B1018">
        <v>82</v>
      </c>
      <c r="C1018">
        <v>-4</v>
      </c>
      <c r="D1018" s="1">
        <v>41934</v>
      </c>
      <c r="E1018">
        <v>601</v>
      </c>
      <c r="F1018">
        <v>102</v>
      </c>
      <c r="G1018" t="s">
        <v>40</v>
      </c>
      <c r="H1018" t="s">
        <v>37</v>
      </c>
      <c r="I1018">
        <v>31</v>
      </c>
      <c r="J1018" t="s">
        <v>41</v>
      </c>
      <c r="K1018" t="s">
        <v>46</v>
      </c>
      <c r="L1018" t="s">
        <v>47</v>
      </c>
      <c r="M1018">
        <v>56</v>
      </c>
      <c r="N1018">
        <v>196</v>
      </c>
      <c r="O1018" t="s">
        <v>50</v>
      </c>
      <c r="P1018">
        <v>90</v>
      </c>
      <c r="Q1018">
        <v>120</v>
      </c>
      <c r="R1018">
        <v>60</v>
      </c>
      <c r="S1018">
        <v>210</v>
      </c>
      <c r="T1018">
        <v>64</v>
      </c>
      <c r="U1018" t="s">
        <v>28</v>
      </c>
      <c r="V1018" s="2">
        <v>0.2857142857142857</v>
      </c>
      <c r="W1018" s="2">
        <v>0.58163265306122447</v>
      </c>
      <c r="X1018">
        <v>33</v>
      </c>
    </row>
    <row r="1019" spans="1:24" x14ac:dyDescent="0.3">
      <c r="A1019">
        <v>509</v>
      </c>
      <c r="B1019">
        <v>94</v>
      </c>
      <c r="C1019">
        <v>-16</v>
      </c>
      <c r="D1019" s="1">
        <v>41935</v>
      </c>
      <c r="E1019">
        <v>694</v>
      </c>
      <c r="F1019">
        <v>130</v>
      </c>
      <c r="G1019" t="s">
        <v>40</v>
      </c>
      <c r="H1019" t="s">
        <v>37</v>
      </c>
      <c r="I1019">
        <v>85</v>
      </c>
      <c r="J1019" t="s">
        <v>41</v>
      </c>
      <c r="K1019" t="s">
        <v>46</v>
      </c>
      <c r="L1019" t="s">
        <v>47</v>
      </c>
      <c r="M1019">
        <v>24</v>
      </c>
      <c r="N1019">
        <v>239</v>
      </c>
      <c r="O1019" t="s">
        <v>61</v>
      </c>
      <c r="P1019">
        <v>110</v>
      </c>
      <c r="Q1019">
        <v>150</v>
      </c>
      <c r="R1019">
        <v>40</v>
      </c>
      <c r="S1019">
        <v>260</v>
      </c>
      <c r="T1019">
        <v>114</v>
      </c>
      <c r="U1019" t="s">
        <v>28</v>
      </c>
      <c r="V1019" s="2">
        <v>0.100418410041841</v>
      </c>
      <c r="W1019" s="2">
        <v>0.60669456066945604</v>
      </c>
      <c r="X1019">
        <v>29</v>
      </c>
    </row>
    <row r="1020" spans="1:24" x14ac:dyDescent="0.3">
      <c r="A1020">
        <v>971</v>
      </c>
      <c r="B1020">
        <v>181</v>
      </c>
      <c r="C1020">
        <v>40</v>
      </c>
      <c r="D1020" s="1">
        <v>41936</v>
      </c>
      <c r="E1020">
        <v>1283</v>
      </c>
      <c r="F1020">
        <v>182</v>
      </c>
      <c r="G1020" t="s">
        <v>40</v>
      </c>
      <c r="H1020" t="s">
        <v>37</v>
      </c>
      <c r="I1020">
        <v>50</v>
      </c>
      <c r="J1020" t="s">
        <v>41</v>
      </c>
      <c r="K1020" t="s">
        <v>42</v>
      </c>
      <c r="L1020" t="s">
        <v>43</v>
      </c>
      <c r="M1020">
        <v>160</v>
      </c>
      <c r="N1020">
        <v>387</v>
      </c>
      <c r="O1020" t="s">
        <v>57</v>
      </c>
      <c r="P1020">
        <v>170</v>
      </c>
      <c r="Q1020">
        <v>180</v>
      </c>
      <c r="R1020">
        <v>120</v>
      </c>
      <c r="S1020">
        <v>350</v>
      </c>
      <c r="T1020">
        <v>74</v>
      </c>
      <c r="U1020" t="s">
        <v>28</v>
      </c>
      <c r="V1020" s="2">
        <v>0.41343669250645992</v>
      </c>
      <c r="W1020" s="2">
        <v>0.53229974160206717</v>
      </c>
      <c r="X1020">
        <v>24</v>
      </c>
    </row>
    <row r="1021" spans="1:24" x14ac:dyDescent="0.3">
      <c r="A1021">
        <v>435</v>
      </c>
      <c r="B1021">
        <v>69</v>
      </c>
      <c r="C1021">
        <v>8</v>
      </c>
      <c r="D1021" s="1">
        <v>41937</v>
      </c>
      <c r="E1021">
        <v>1060</v>
      </c>
      <c r="F1021">
        <v>81</v>
      </c>
      <c r="G1021" t="s">
        <v>40</v>
      </c>
      <c r="H1021" t="s">
        <v>37</v>
      </c>
      <c r="I1021">
        <v>21</v>
      </c>
      <c r="J1021" t="s">
        <v>41</v>
      </c>
      <c r="K1021" t="s">
        <v>46</v>
      </c>
      <c r="L1021" t="s">
        <v>51</v>
      </c>
      <c r="M1021">
        <v>58</v>
      </c>
      <c r="N1021">
        <v>160</v>
      </c>
      <c r="O1021" t="s">
        <v>50</v>
      </c>
      <c r="P1021">
        <v>80</v>
      </c>
      <c r="Q1021">
        <v>90</v>
      </c>
      <c r="R1021">
        <v>50</v>
      </c>
      <c r="S1021">
        <v>170</v>
      </c>
      <c r="T1021">
        <v>42</v>
      </c>
      <c r="U1021" t="s">
        <v>36</v>
      </c>
      <c r="V1021" s="2">
        <v>0.36249999999999999</v>
      </c>
      <c r="W1021" s="2">
        <v>0.56874999999999998</v>
      </c>
      <c r="X1021">
        <v>21</v>
      </c>
    </row>
    <row r="1022" spans="1:24" x14ac:dyDescent="0.3">
      <c r="A1022">
        <v>541</v>
      </c>
      <c r="B1022">
        <v>53</v>
      </c>
      <c r="C1022">
        <v>-19</v>
      </c>
      <c r="D1022" s="1">
        <v>41938</v>
      </c>
      <c r="E1022">
        <v>470</v>
      </c>
      <c r="F1022">
        <v>75</v>
      </c>
      <c r="G1022" t="s">
        <v>40</v>
      </c>
      <c r="H1022" t="s">
        <v>37</v>
      </c>
      <c r="I1022">
        <v>17</v>
      </c>
      <c r="J1022" t="s">
        <v>41</v>
      </c>
      <c r="K1022" t="s">
        <v>46</v>
      </c>
      <c r="L1022" t="s">
        <v>53</v>
      </c>
      <c r="M1022">
        <v>21</v>
      </c>
      <c r="N1022">
        <v>136</v>
      </c>
      <c r="O1022" t="s">
        <v>57</v>
      </c>
      <c r="P1022">
        <v>60</v>
      </c>
      <c r="Q1022">
        <v>90</v>
      </c>
      <c r="R1022">
        <v>40</v>
      </c>
      <c r="S1022">
        <v>150</v>
      </c>
      <c r="T1022">
        <v>61</v>
      </c>
      <c r="U1022" t="s">
        <v>36</v>
      </c>
      <c r="V1022" s="2">
        <v>0.15441176470588236</v>
      </c>
      <c r="W1022" s="2">
        <v>0.61029411764705888</v>
      </c>
      <c r="X1022">
        <v>44</v>
      </c>
    </row>
    <row r="1023" spans="1:24" x14ac:dyDescent="0.3">
      <c r="A1023">
        <v>253</v>
      </c>
      <c r="B1023">
        <v>63</v>
      </c>
      <c r="C1023">
        <v>4</v>
      </c>
      <c r="D1023" s="1">
        <v>41939</v>
      </c>
      <c r="E1023">
        <v>446</v>
      </c>
      <c r="F1023">
        <v>93</v>
      </c>
      <c r="G1023" t="s">
        <v>40</v>
      </c>
      <c r="H1023" t="s">
        <v>37</v>
      </c>
      <c r="I1023">
        <v>20</v>
      </c>
      <c r="J1023" t="s">
        <v>41</v>
      </c>
      <c r="K1023" t="s">
        <v>46</v>
      </c>
      <c r="L1023" t="s">
        <v>53</v>
      </c>
      <c r="M1023">
        <v>74</v>
      </c>
      <c r="N1023">
        <v>166</v>
      </c>
      <c r="O1023" t="s">
        <v>61</v>
      </c>
      <c r="P1023">
        <v>70</v>
      </c>
      <c r="Q1023">
        <v>110</v>
      </c>
      <c r="R1023">
        <v>70</v>
      </c>
      <c r="S1023">
        <v>180</v>
      </c>
      <c r="T1023">
        <v>43</v>
      </c>
      <c r="U1023" t="s">
        <v>36</v>
      </c>
      <c r="V1023" s="2">
        <v>0.44578313253012047</v>
      </c>
      <c r="W1023" s="2">
        <v>0.62048192771084343</v>
      </c>
      <c r="X1023">
        <v>23</v>
      </c>
    </row>
    <row r="1024" spans="1:24" x14ac:dyDescent="0.3">
      <c r="A1024">
        <v>775</v>
      </c>
      <c r="B1024">
        <v>15</v>
      </c>
      <c r="C1024">
        <v>3</v>
      </c>
      <c r="D1024" s="1">
        <v>41940</v>
      </c>
      <c r="E1024">
        <v>848</v>
      </c>
      <c r="F1024">
        <v>24</v>
      </c>
      <c r="G1024" t="s">
        <v>40</v>
      </c>
      <c r="H1024" t="s">
        <v>37</v>
      </c>
      <c r="I1024">
        <v>4</v>
      </c>
      <c r="J1024" t="s">
        <v>41</v>
      </c>
      <c r="K1024" t="s">
        <v>42</v>
      </c>
      <c r="L1024" t="s">
        <v>54</v>
      </c>
      <c r="M1024">
        <v>13</v>
      </c>
      <c r="N1024">
        <v>42</v>
      </c>
      <c r="O1024" t="s">
        <v>49</v>
      </c>
      <c r="P1024">
        <v>10</v>
      </c>
      <c r="Q1024">
        <v>20</v>
      </c>
      <c r="R1024">
        <v>10</v>
      </c>
      <c r="S1024">
        <v>30</v>
      </c>
      <c r="T1024">
        <v>15</v>
      </c>
      <c r="U1024" t="s">
        <v>36</v>
      </c>
      <c r="V1024" s="2">
        <v>0.30952380952380953</v>
      </c>
      <c r="W1024" s="2">
        <v>0.6428571428571429</v>
      </c>
      <c r="X1024">
        <v>11</v>
      </c>
    </row>
    <row r="1025" spans="1:24" x14ac:dyDescent="0.3">
      <c r="A1025">
        <v>801</v>
      </c>
      <c r="B1025">
        <v>101</v>
      </c>
      <c r="C1025">
        <v>36</v>
      </c>
      <c r="D1025" s="1">
        <v>41941</v>
      </c>
      <c r="E1025">
        <v>552</v>
      </c>
      <c r="F1025">
        <v>130</v>
      </c>
      <c r="G1025" t="s">
        <v>40</v>
      </c>
      <c r="H1025" t="s">
        <v>37</v>
      </c>
      <c r="I1025">
        <v>33</v>
      </c>
      <c r="J1025" t="s">
        <v>41</v>
      </c>
      <c r="K1025" t="s">
        <v>42</v>
      </c>
      <c r="L1025" t="s">
        <v>54</v>
      </c>
      <c r="M1025">
        <v>126</v>
      </c>
      <c r="N1025">
        <v>246</v>
      </c>
      <c r="O1025" t="s">
        <v>50</v>
      </c>
      <c r="P1025">
        <v>90</v>
      </c>
      <c r="Q1025">
        <v>130</v>
      </c>
      <c r="R1025">
        <v>90</v>
      </c>
      <c r="S1025">
        <v>220</v>
      </c>
      <c r="T1025">
        <v>45</v>
      </c>
      <c r="U1025" t="s">
        <v>36</v>
      </c>
      <c r="V1025" s="2">
        <v>0.51219512195121952</v>
      </c>
      <c r="W1025" s="2">
        <v>0.58943089430894313</v>
      </c>
      <c r="X1025">
        <v>12</v>
      </c>
    </row>
    <row r="1026" spans="1:24" x14ac:dyDescent="0.3">
      <c r="A1026">
        <v>702</v>
      </c>
      <c r="B1026">
        <v>121</v>
      </c>
      <c r="C1026">
        <v>19</v>
      </c>
      <c r="D1026" s="1">
        <v>41942</v>
      </c>
      <c r="E1026">
        <v>912</v>
      </c>
      <c r="F1026">
        <v>168</v>
      </c>
      <c r="G1026" t="s">
        <v>40</v>
      </c>
      <c r="H1026" t="s">
        <v>37</v>
      </c>
      <c r="I1026">
        <v>109</v>
      </c>
      <c r="J1026" t="s">
        <v>24</v>
      </c>
      <c r="K1026" t="s">
        <v>25</v>
      </c>
      <c r="L1026" t="s">
        <v>58</v>
      </c>
      <c r="M1026">
        <v>39</v>
      </c>
      <c r="N1026">
        <v>308</v>
      </c>
      <c r="O1026" t="s">
        <v>49</v>
      </c>
      <c r="P1026">
        <v>110</v>
      </c>
      <c r="Q1026">
        <v>150</v>
      </c>
      <c r="R1026">
        <v>20</v>
      </c>
      <c r="S1026">
        <v>260</v>
      </c>
      <c r="T1026">
        <v>142</v>
      </c>
      <c r="U1026" t="s">
        <v>28</v>
      </c>
      <c r="V1026" s="2">
        <v>0.12662337662337661</v>
      </c>
      <c r="W1026" s="2">
        <v>0.6071428571428571</v>
      </c>
      <c r="X1026">
        <v>33</v>
      </c>
    </row>
    <row r="1027" spans="1:24" x14ac:dyDescent="0.3">
      <c r="A1027">
        <v>206</v>
      </c>
      <c r="B1027">
        <v>130</v>
      </c>
      <c r="C1027">
        <v>61</v>
      </c>
      <c r="D1027" s="1">
        <v>41943</v>
      </c>
      <c r="E1027">
        <v>1134</v>
      </c>
      <c r="F1027">
        <v>195</v>
      </c>
      <c r="G1027" t="s">
        <v>40</v>
      </c>
      <c r="H1027" t="s">
        <v>37</v>
      </c>
      <c r="I1027">
        <v>42</v>
      </c>
      <c r="J1027" t="s">
        <v>24</v>
      </c>
      <c r="K1027" t="s">
        <v>25</v>
      </c>
      <c r="L1027" t="s">
        <v>58</v>
      </c>
      <c r="M1027">
        <v>181</v>
      </c>
      <c r="N1027">
        <v>346</v>
      </c>
      <c r="O1027" t="s">
        <v>61</v>
      </c>
      <c r="P1027">
        <v>120</v>
      </c>
      <c r="Q1027">
        <v>180</v>
      </c>
      <c r="R1027">
        <v>120</v>
      </c>
      <c r="S1027">
        <v>300</v>
      </c>
      <c r="T1027">
        <v>73</v>
      </c>
      <c r="U1027" t="s">
        <v>28</v>
      </c>
      <c r="V1027" s="2">
        <v>0.52312138728323698</v>
      </c>
      <c r="W1027" s="2">
        <v>0.62427745664739887</v>
      </c>
      <c r="X1027">
        <v>31</v>
      </c>
    </row>
    <row r="1028" spans="1:24" x14ac:dyDescent="0.3">
      <c r="A1028">
        <v>702</v>
      </c>
      <c r="B1028">
        <v>173</v>
      </c>
      <c r="C1028">
        <v>75</v>
      </c>
      <c r="D1028" s="1">
        <v>41944</v>
      </c>
      <c r="E1028">
        <v>1150</v>
      </c>
      <c r="F1028">
        <v>239</v>
      </c>
      <c r="G1028" t="s">
        <v>40</v>
      </c>
      <c r="H1028" t="s">
        <v>37</v>
      </c>
      <c r="I1028">
        <v>57</v>
      </c>
      <c r="J1028" t="s">
        <v>24</v>
      </c>
      <c r="K1028" t="s">
        <v>25</v>
      </c>
      <c r="L1028" t="s">
        <v>26</v>
      </c>
      <c r="M1028">
        <v>205</v>
      </c>
      <c r="N1028">
        <v>439</v>
      </c>
      <c r="O1028" t="s">
        <v>49</v>
      </c>
      <c r="P1028">
        <v>160</v>
      </c>
      <c r="Q1028">
        <v>220</v>
      </c>
      <c r="R1028">
        <v>130</v>
      </c>
      <c r="S1028">
        <v>380</v>
      </c>
      <c r="T1028">
        <v>101</v>
      </c>
      <c r="U1028" t="s">
        <v>28</v>
      </c>
      <c r="V1028" s="2">
        <v>0.46697038724373574</v>
      </c>
      <c r="W1028" s="2">
        <v>0.60592255125284733</v>
      </c>
      <c r="X1028">
        <v>44</v>
      </c>
    </row>
    <row r="1029" spans="1:24" x14ac:dyDescent="0.3">
      <c r="A1029">
        <v>541</v>
      </c>
      <c r="B1029">
        <v>88</v>
      </c>
      <c r="C1029">
        <v>34</v>
      </c>
      <c r="D1029" s="1">
        <v>41945</v>
      </c>
      <c r="E1029">
        <v>561</v>
      </c>
      <c r="F1029">
        <v>112</v>
      </c>
      <c r="G1029" t="s">
        <v>40</v>
      </c>
      <c r="H1029" t="s">
        <v>37</v>
      </c>
      <c r="I1029">
        <v>29</v>
      </c>
      <c r="J1029" t="s">
        <v>24</v>
      </c>
      <c r="K1029" t="s">
        <v>25</v>
      </c>
      <c r="L1029" t="s">
        <v>26</v>
      </c>
      <c r="M1029">
        <v>104</v>
      </c>
      <c r="N1029">
        <v>213</v>
      </c>
      <c r="O1029" t="s">
        <v>57</v>
      </c>
      <c r="P1029">
        <v>80</v>
      </c>
      <c r="Q1029">
        <v>100</v>
      </c>
      <c r="R1029">
        <v>70</v>
      </c>
      <c r="S1029">
        <v>180</v>
      </c>
      <c r="T1029">
        <v>42</v>
      </c>
      <c r="U1029" t="s">
        <v>28</v>
      </c>
      <c r="V1029" s="2">
        <v>0.48826291079812206</v>
      </c>
      <c r="W1029" s="2">
        <v>0.58685446009389675</v>
      </c>
      <c r="X1029">
        <v>13</v>
      </c>
    </row>
    <row r="1030" spans="1:24" x14ac:dyDescent="0.3">
      <c r="A1030">
        <v>775</v>
      </c>
      <c r="B1030">
        <v>113</v>
      </c>
      <c r="C1030">
        <v>59</v>
      </c>
      <c r="D1030" s="1">
        <v>41946</v>
      </c>
      <c r="E1030">
        <v>803</v>
      </c>
      <c r="F1030">
        <v>165</v>
      </c>
      <c r="G1030" t="s">
        <v>40</v>
      </c>
      <c r="H1030" t="s">
        <v>37</v>
      </c>
      <c r="I1030">
        <v>36</v>
      </c>
      <c r="J1030" t="s">
        <v>24</v>
      </c>
      <c r="K1030" t="s">
        <v>25</v>
      </c>
      <c r="L1030" t="s">
        <v>29</v>
      </c>
      <c r="M1030">
        <v>159</v>
      </c>
      <c r="N1030">
        <v>296</v>
      </c>
      <c r="O1030" t="s">
        <v>49</v>
      </c>
      <c r="P1030">
        <v>100</v>
      </c>
      <c r="Q1030">
        <v>150</v>
      </c>
      <c r="R1030">
        <v>100</v>
      </c>
      <c r="S1030">
        <v>250</v>
      </c>
      <c r="T1030">
        <v>58</v>
      </c>
      <c r="U1030" t="s">
        <v>28</v>
      </c>
      <c r="V1030" s="2">
        <v>0.53716216216216217</v>
      </c>
      <c r="W1030" s="2">
        <v>0.6182432432432432</v>
      </c>
      <c r="X1030">
        <v>22</v>
      </c>
    </row>
    <row r="1031" spans="1:24" x14ac:dyDescent="0.3">
      <c r="A1031">
        <v>775</v>
      </c>
      <c r="B1031">
        <v>228</v>
      </c>
      <c r="C1031">
        <v>151</v>
      </c>
      <c r="D1031" s="1">
        <v>41947</v>
      </c>
      <c r="E1031">
        <v>1691</v>
      </c>
      <c r="F1031">
        <v>304</v>
      </c>
      <c r="G1031" t="s">
        <v>40</v>
      </c>
      <c r="H1031" t="s">
        <v>37</v>
      </c>
      <c r="I1031">
        <v>75</v>
      </c>
      <c r="J1031" t="s">
        <v>24</v>
      </c>
      <c r="K1031" t="s">
        <v>33</v>
      </c>
      <c r="L1031" t="s">
        <v>34</v>
      </c>
      <c r="M1031">
        <v>291</v>
      </c>
      <c r="N1031">
        <v>567</v>
      </c>
      <c r="O1031" t="s">
        <v>49</v>
      </c>
      <c r="P1031">
        <v>160</v>
      </c>
      <c r="Q1031">
        <v>220</v>
      </c>
      <c r="R1031">
        <v>140</v>
      </c>
      <c r="S1031">
        <v>380</v>
      </c>
      <c r="T1031">
        <v>108</v>
      </c>
      <c r="U1031" t="s">
        <v>36</v>
      </c>
      <c r="V1031" s="2">
        <v>0.51322751322751325</v>
      </c>
      <c r="W1031" s="2">
        <v>0.59788359788359791</v>
      </c>
      <c r="X1031">
        <v>33</v>
      </c>
    </row>
    <row r="1032" spans="1:24" x14ac:dyDescent="0.3">
      <c r="A1032">
        <v>702</v>
      </c>
      <c r="B1032">
        <v>211</v>
      </c>
      <c r="C1032">
        <v>110</v>
      </c>
      <c r="D1032" s="1">
        <v>41948</v>
      </c>
      <c r="E1032">
        <v>1778</v>
      </c>
      <c r="F1032">
        <v>212</v>
      </c>
      <c r="G1032" t="s">
        <v>40</v>
      </c>
      <c r="H1032" t="s">
        <v>37</v>
      </c>
      <c r="I1032">
        <v>59</v>
      </c>
      <c r="J1032" t="s">
        <v>24</v>
      </c>
      <c r="K1032" t="s">
        <v>33</v>
      </c>
      <c r="L1032" t="s">
        <v>62</v>
      </c>
      <c r="M1032">
        <v>190</v>
      </c>
      <c r="N1032">
        <v>451</v>
      </c>
      <c r="O1032" t="s">
        <v>49</v>
      </c>
      <c r="P1032">
        <v>150</v>
      </c>
      <c r="Q1032">
        <v>150</v>
      </c>
      <c r="R1032">
        <v>80</v>
      </c>
      <c r="S1032">
        <v>300</v>
      </c>
      <c r="T1032">
        <v>84</v>
      </c>
      <c r="U1032" t="s">
        <v>36</v>
      </c>
      <c r="V1032" s="2">
        <v>0.42128603104212858</v>
      </c>
      <c r="W1032" s="2">
        <v>0.53215077605321504</v>
      </c>
      <c r="X1032">
        <v>25</v>
      </c>
    </row>
    <row r="1033" spans="1:24" x14ac:dyDescent="0.3">
      <c r="A1033">
        <v>503</v>
      </c>
      <c r="B1033">
        <v>78</v>
      </c>
      <c r="C1033">
        <v>42</v>
      </c>
      <c r="D1033" s="1">
        <v>41949</v>
      </c>
      <c r="E1033">
        <v>798</v>
      </c>
      <c r="F1033">
        <v>119</v>
      </c>
      <c r="G1033" t="s">
        <v>40</v>
      </c>
      <c r="H1033" t="s">
        <v>37</v>
      </c>
      <c r="I1033">
        <v>25</v>
      </c>
      <c r="J1033" t="s">
        <v>24</v>
      </c>
      <c r="K1033" t="s">
        <v>33</v>
      </c>
      <c r="L1033" t="s">
        <v>62</v>
      </c>
      <c r="M1033">
        <v>92</v>
      </c>
      <c r="N1033">
        <v>210</v>
      </c>
      <c r="O1033" t="s">
        <v>57</v>
      </c>
      <c r="P1033">
        <v>50</v>
      </c>
      <c r="Q1033">
        <v>90</v>
      </c>
      <c r="R1033">
        <v>50</v>
      </c>
      <c r="S1033">
        <v>140</v>
      </c>
      <c r="T1033">
        <v>57</v>
      </c>
      <c r="U1033" t="s">
        <v>36</v>
      </c>
      <c r="V1033" s="2">
        <v>0.43809523809523809</v>
      </c>
      <c r="W1033" s="2">
        <v>0.62857142857142856</v>
      </c>
      <c r="X1033">
        <v>32</v>
      </c>
    </row>
    <row r="1034" spans="1:24" x14ac:dyDescent="0.3">
      <c r="A1034">
        <v>775</v>
      </c>
      <c r="B1034">
        <v>245</v>
      </c>
      <c r="C1034">
        <v>-225</v>
      </c>
      <c r="D1034" s="1">
        <v>41950</v>
      </c>
      <c r="E1034">
        <v>7653</v>
      </c>
      <c r="F1034">
        <v>-245</v>
      </c>
      <c r="G1034" t="s">
        <v>40</v>
      </c>
      <c r="H1034" t="s">
        <v>37</v>
      </c>
      <c r="I1034">
        <v>93</v>
      </c>
      <c r="J1034" t="s">
        <v>24</v>
      </c>
      <c r="K1034" t="s">
        <v>33</v>
      </c>
      <c r="L1034" t="s">
        <v>38</v>
      </c>
      <c r="M1034">
        <v>-505</v>
      </c>
      <c r="N1034">
        <v>34</v>
      </c>
      <c r="O1034" t="s">
        <v>49</v>
      </c>
      <c r="P1034">
        <v>180</v>
      </c>
      <c r="Q1034">
        <v>-180</v>
      </c>
      <c r="R1034">
        <v>-280</v>
      </c>
      <c r="S1034">
        <v>0</v>
      </c>
      <c r="T1034">
        <v>127</v>
      </c>
      <c r="U1034" t="s">
        <v>36</v>
      </c>
      <c r="V1034" s="2">
        <v>-14.852941176470589</v>
      </c>
      <c r="W1034" s="2">
        <v>-6.2058823529411766</v>
      </c>
      <c r="X1034">
        <v>34</v>
      </c>
    </row>
    <row r="1035" spans="1:24" x14ac:dyDescent="0.3">
      <c r="A1035">
        <v>971</v>
      </c>
      <c r="B1035">
        <v>102</v>
      </c>
      <c r="C1035">
        <v>62</v>
      </c>
      <c r="D1035" s="1">
        <v>41951</v>
      </c>
      <c r="E1035">
        <v>666</v>
      </c>
      <c r="F1035">
        <v>143</v>
      </c>
      <c r="G1035" t="s">
        <v>40</v>
      </c>
      <c r="H1035" t="s">
        <v>37</v>
      </c>
      <c r="I1035">
        <v>31</v>
      </c>
      <c r="J1035" t="s">
        <v>24</v>
      </c>
      <c r="K1035" t="s">
        <v>33</v>
      </c>
      <c r="L1035" t="s">
        <v>38</v>
      </c>
      <c r="M1035">
        <v>132</v>
      </c>
      <c r="N1035">
        <v>261</v>
      </c>
      <c r="O1035" t="s">
        <v>57</v>
      </c>
      <c r="P1035">
        <v>70</v>
      </c>
      <c r="Q1035">
        <v>100</v>
      </c>
      <c r="R1035">
        <v>70</v>
      </c>
      <c r="S1035">
        <v>170</v>
      </c>
      <c r="T1035">
        <v>54</v>
      </c>
      <c r="U1035" t="s">
        <v>36</v>
      </c>
      <c r="V1035" s="2">
        <v>0.50574712643678166</v>
      </c>
      <c r="W1035" s="2">
        <v>0.60919540229885061</v>
      </c>
      <c r="X1035">
        <v>23</v>
      </c>
    </row>
    <row r="1036" spans="1:24" x14ac:dyDescent="0.3">
      <c r="A1036">
        <v>951</v>
      </c>
      <c r="B1036">
        <v>224</v>
      </c>
      <c r="C1036">
        <v>-71</v>
      </c>
      <c r="D1036" s="1">
        <v>41952</v>
      </c>
      <c r="E1036">
        <v>4216</v>
      </c>
      <c r="F1036">
        <v>-32</v>
      </c>
      <c r="G1036" t="s">
        <v>22</v>
      </c>
      <c r="H1036" t="s">
        <v>37</v>
      </c>
      <c r="I1036">
        <v>73</v>
      </c>
      <c r="J1036" t="s">
        <v>41</v>
      </c>
      <c r="K1036" t="s">
        <v>46</v>
      </c>
      <c r="L1036" t="s">
        <v>47</v>
      </c>
      <c r="M1036">
        <v>-221</v>
      </c>
      <c r="N1036">
        <v>205</v>
      </c>
      <c r="O1036" t="s">
        <v>39</v>
      </c>
      <c r="P1036">
        <v>260</v>
      </c>
      <c r="Q1036">
        <v>-40</v>
      </c>
      <c r="R1036">
        <v>-150</v>
      </c>
      <c r="S1036">
        <v>220</v>
      </c>
      <c r="T1036">
        <v>117</v>
      </c>
      <c r="U1036" t="s">
        <v>28</v>
      </c>
      <c r="V1036" s="2">
        <v>-1.0780487804878049</v>
      </c>
      <c r="W1036" s="2">
        <v>-9.2682926829268292E-2</v>
      </c>
      <c r="X1036">
        <v>44</v>
      </c>
    </row>
    <row r="1037" spans="1:24" x14ac:dyDescent="0.3">
      <c r="A1037">
        <v>209</v>
      </c>
      <c r="B1037">
        <v>247</v>
      </c>
      <c r="C1037">
        <v>111</v>
      </c>
      <c r="D1037" s="1">
        <v>41953</v>
      </c>
      <c r="E1037">
        <v>1744</v>
      </c>
      <c r="F1037">
        <v>329</v>
      </c>
      <c r="G1037" t="s">
        <v>22</v>
      </c>
      <c r="H1037" t="s">
        <v>37</v>
      </c>
      <c r="I1037">
        <v>81</v>
      </c>
      <c r="J1037" t="s">
        <v>41</v>
      </c>
      <c r="K1037" t="s">
        <v>42</v>
      </c>
      <c r="L1037" t="s">
        <v>43</v>
      </c>
      <c r="M1037">
        <v>321</v>
      </c>
      <c r="N1037">
        <v>614</v>
      </c>
      <c r="O1037" t="s">
        <v>39</v>
      </c>
      <c r="P1037">
        <v>240</v>
      </c>
      <c r="Q1037">
        <v>310</v>
      </c>
      <c r="R1037">
        <v>210</v>
      </c>
      <c r="S1037">
        <v>550</v>
      </c>
      <c r="T1037">
        <v>113</v>
      </c>
      <c r="U1037" t="s">
        <v>28</v>
      </c>
      <c r="V1037" s="2">
        <v>0.5228013029315961</v>
      </c>
      <c r="W1037" s="2">
        <v>0.59771986970684043</v>
      </c>
      <c r="X1037">
        <v>32</v>
      </c>
    </row>
    <row r="1038" spans="1:24" x14ac:dyDescent="0.3">
      <c r="A1038">
        <v>209</v>
      </c>
      <c r="B1038">
        <v>127</v>
      </c>
      <c r="C1038">
        <v>-41</v>
      </c>
      <c r="D1038" s="1">
        <v>41954</v>
      </c>
      <c r="E1038">
        <v>2947</v>
      </c>
      <c r="F1038">
        <v>-25</v>
      </c>
      <c r="G1038" t="s">
        <v>22</v>
      </c>
      <c r="H1038" t="s">
        <v>37</v>
      </c>
      <c r="I1038">
        <v>40</v>
      </c>
      <c r="J1038" t="s">
        <v>41</v>
      </c>
      <c r="K1038" t="s">
        <v>46</v>
      </c>
      <c r="L1038" t="s">
        <v>51</v>
      </c>
      <c r="M1038">
        <v>-131</v>
      </c>
      <c r="N1038">
        <v>109</v>
      </c>
      <c r="O1038" t="s">
        <v>39</v>
      </c>
      <c r="P1038">
        <v>150</v>
      </c>
      <c r="Q1038">
        <v>-30</v>
      </c>
      <c r="R1038">
        <v>-90</v>
      </c>
      <c r="S1038">
        <v>120</v>
      </c>
      <c r="T1038">
        <v>63</v>
      </c>
      <c r="U1038" t="s">
        <v>36</v>
      </c>
      <c r="V1038" s="2">
        <v>-1.201834862385321</v>
      </c>
      <c r="W1038" s="2">
        <v>-0.16513761467889909</v>
      </c>
      <c r="X1038">
        <v>23</v>
      </c>
    </row>
    <row r="1039" spans="1:24" x14ac:dyDescent="0.3">
      <c r="A1039">
        <v>530</v>
      </c>
      <c r="B1039">
        <v>279</v>
      </c>
      <c r="C1039">
        <v>52</v>
      </c>
      <c r="D1039" s="1">
        <v>41955</v>
      </c>
      <c r="E1039">
        <v>2642</v>
      </c>
      <c r="F1039">
        <v>420</v>
      </c>
      <c r="G1039" t="s">
        <v>22</v>
      </c>
      <c r="H1039" t="s">
        <v>37</v>
      </c>
      <c r="I1039">
        <v>97</v>
      </c>
      <c r="J1039" t="s">
        <v>41</v>
      </c>
      <c r="K1039" t="s">
        <v>46</v>
      </c>
      <c r="L1039" t="s">
        <v>53</v>
      </c>
      <c r="M1039">
        <v>402</v>
      </c>
      <c r="N1039">
        <v>745</v>
      </c>
      <c r="O1039" t="s">
        <v>39</v>
      </c>
      <c r="P1039">
        <v>330</v>
      </c>
      <c r="Q1039">
        <v>500</v>
      </c>
      <c r="R1039">
        <v>350</v>
      </c>
      <c r="S1039">
        <v>830</v>
      </c>
      <c r="T1039">
        <v>149</v>
      </c>
      <c r="U1039" t="s">
        <v>36</v>
      </c>
      <c r="V1039" s="2">
        <v>0.53959731543624156</v>
      </c>
      <c r="W1039" s="2">
        <v>0.62550335570469795</v>
      </c>
      <c r="X1039">
        <v>52</v>
      </c>
    </row>
    <row r="1040" spans="1:24" x14ac:dyDescent="0.3">
      <c r="A1040">
        <v>949</v>
      </c>
      <c r="B1040">
        <v>250</v>
      </c>
      <c r="C1040">
        <v>73</v>
      </c>
      <c r="D1040" s="1">
        <v>41956</v>
      </c>
      <c r="E1040">
        <v>1820</v>
      </c>
      <c r="F1040">
        <v>251</v>
      </c>
      <c r="G1040" t="s">
        <v>22</v>
      </c>
      <c r="H1040" t="s">
        <v>37</v>
      </c>
      <c r="I1040">
        <v>70</v>
      </c>
      <c r="J1040" t="s">
        <v>41</v>
      </c>
      <c r="K1040" t="s">
        <v>42</v>
      </c>
      <c r="L1040" t="s">
        <v>55</v>
      </c>
      <c r="M1040">
        <v>233</v>
      </c>
      <c r="N1040">
        <v>534</v>
      </c>
      <c r="O1040" t="s">
        <v>39</v>
      </c>
      <c r="P1040">
        <v>240</v>
      </c>
      <c r="Q1040">
        <v>240</v>
      </c>
      <c r="R1040">
        <v>160</v>
      </c>
      <c r="S1040">
        <v>480</v>
      </c>
      <c r="T1040">
        <v>94</v>
      </c>
      <c r="U1040" t="s">
        <v>36</v>
      </c>
      <c r="V1040" s="2">
        <v>0.43632958801498128</v>
      </c>
      <c r="W1040" s="2">
        <v>0.53183520599250933</v>
      </c>
      <c r="X1040">
        <v>24</v>
      </c>
    </row>
    <row r="1041" spans="1:24" x14ac:dyDescent="0.3">
      <c r="A1041">
        <v>530</v>
      </c>
      <c r="B1041">
        <v>135</v>
      </c>
      <c r="C1041">
        <v>6</v>
      </c>
      <c r="D1041" s="1">
        <v>41957</v>
      </c>
      <c r="E1041">
        <v>940</v>
      </c>
      <c r="F1041">
        <v>187</v>
      </c>
      <c r="G1041" t="s">
        <v>22</v>
      </c>
      <c r="H1041" t="s">
        <v>37</v>
      </c>
      <c r="I1041">
        <v>122</v>
      </c>
      <c r="J1041" t="s">
        <v>41</v>
      </c>
      <c r="K1041" t="s">
        <v>42</v>
      </c>
      <c r="L1041" t="s">
        <v>54</v>
      </c>
      <c r="M1041">
        <v>46</v>
      </c>
      <c r="N1041">
        <v>343</v>
      </c>
      <c r="O1041" t="s">
        <v>39</v>
      </c>
      <c r="P1041">
        <v>130</v>
      </c>
      <c r="Q1041">
        <v>180</v>
      </c>
      <c r="R1041">
        <v>40</v>
      </c>
      <c r="S1041">
        <v>310</v>
      </c>
      <c r="T1041">
        <v>156</v>
      </c>
      <c r="U1041" t="s">
        <v>36</v>
      </c>
      <c r="V1041" s="2">
        <v>0.13411078717201166</v>
      </c>
      <c r="W1041" s="2">
        <v>0.60641399416909625</v>
      </c>
      <c r="X1041">
        <v>34</v>
      </c>
    </row>
    <row r="1042" spans="1:24" x14ac:dyDescent="0.3">
      <c r="A1042">
        <v>916</v>
      </c>
      <c r="B1042">
        <v>86</v>
      </c>
      <c r="C1042">
        <v>52</v>
      </c>
      <c r="D1042" s="1">
        <v>41958</v>
      </c>
      <c r="E1042">
        <v>1003</v>
      </c>
      <c r="F1042">
        <v>124</v>
      </c>
      <c r="G1042" t="s">
        <v>22</v>
      </c>
      <c r="H1042" t="s">
        <v>37</v>
      </c>
      <c r="I1042">
        <v>24</v>
      </c>
      <c r="J1042" t="s">
        <v>24</v>
      </c>
      <c r="K1042" t="s">
        <v>25</v>
      </c>
      <c r="L1042" t="s">
        <v>58</v>
      </c>
      <c r="M1042">
        <v>132</v>
      </c>
      <c r="N1042">
        <v>224</v>
      </c>
      <c r="O1042" t="s">
        <v>39</v>
      </c>
      <c r="P1042">
        <v>80</v>
      </c>
      <c r="Q1042">
        <v>110</v>
      </c>
      <c r="R1042">
        <v>80</v>
      </c>
      <c r="S1042">
        <v>190</v>
      </c>
      <c r="T1042">
        <v>35</v>
      </c>
      <c r="U1042" t="s">
        <v>28</v>
      </c>
      <c r="V1042" s="2">
        <v>0.5892857142857143</v>
      </c>
      <c r="W1042" s="2">
        <v>0.6160714285714286</v>
      </c>
      <c r="X1042">
        <v>11</v>
      </c>
    </row>
    <row r="1043" spans="1:24" x14ac:dyDescent="0.3">
      <c r="A1043">
        <v>661</v>
      </c>
      <c r="B1043">
        <v>241</v>
      </c>
      <c r="C1043">
        <v>109</v>
      </c>
      <c r="D1043" s="1">
        <v>41959</v>
      </c>
      <c r="E1043">
        <v>1321</v>
      </c>
      <c r="F1043">
        <v>284</v>
      </c>
      <c r="G1043" t="s">
        <v>22</v>
      </c>
      <c r="H1043" t="s">
        <v>37</v>
      </c>
      <c r="I1043">
        <v>74</v>
      </c>
      <c r="J1043" t="s">
        <v>24</v>
      </c>
      <c r="K1043" t="s">
        <v>25</v>
      </c>
      <c r="L1043" t="s">
        <v>26</v>
      </c>
      <c r="M1043">
        <v>279</v>
      </c>
      <c r="N1043">
        <v>559</v>
      </c>
      <c r="O1043" t="s">
        <v>39</v>
      </c>
      <c r="P1043">
        <v>220</v>
      </c>
      <c r="Q1043">
        <v>260</v>
      </c>
      <c r="R1043">
        <v>170</v>
      </c>
      <c r="S1043">
        <v>480</v>
      </c>
      <c r="T1043">
        <v>96</v>
      </c>
      <c r="U1043" t="s">
        <v>28</v>
      </c>
      <c r="V1043" s="2">
        <v>0.49910554561717352</v>
      </c>
      <c r="W1043" s="2">
        <v>0.56887298747763859</v>
      </c>
      <c r="X1043">
        <v>22</v>
      </c>
    </row>
    <row r="1044" spans="1:24" x14ac:dyDescent="0.3">
      <c r="A1044">
        <v>323</v>
      </c>
      <c r="B1044">
        <v>123</v>
      </c>
      <c r="C1044">
        <v>89</v>
      </c>
      <c r="D1044" s="1">
        <v>41960</v>
      </c>
      <c r="E1044">
        <v>959</v>
      </c>
      <c r="F1044">
        <v>179</v>
      </c>
      <c r="G1044" t="s">
        <v>22</v>
      </c>
      <c r="H1044" t="s">
        <v>37</v>
      </c>
      <c r="I1044">
        <v>34</v>
      </c>
      <c r="J1044" t="s">
        <v>24</v>
      </c>
      <c r="K1044" t="s">
        <v>33</v>
      </c>
      <c r="L1044" t="s">
        <v>34</v>
      </c>
      <c r="M1044">
        <v>199</v>
      </c>
      <c r="N1044">
        <v>322</v>
      </c>
      <c r="O1044" t="s">
        <v>39</v>
      </c>
      <c r="P1044">
        <v>90</v>
      </c>
      <c r="Q1044">
        <v>130</v>
      </c>
      <c r="R1044">
        <v>110</v>
      </c>
      <c r="S1044">
        <v>220</v>
      </c>
      <c r="T1044">
        <v>45</v>
      </c>
      <c r="U1044" t="s">
        <v>36</v>
      </c>
      <c r="V1044" s="2">
        <v>0.61801242236024845</v>
      </c>
      <c r="W1044" s="2">
        <v>0.61801242236024845</v>
      </c>
      <c r="X1044">
        <v>11</v>
      </c>
    </row>
    <row r="1045" spans="1:24" x14ac:dyDescent="0.3">
      <c r="A1045">
        <v>801</v>
      </c>
      <c r="B1045">
        <v>68</v>
      </c>
      <c r="C1045">
        <v>-11</v>
      </c>
      <c r="D1045" s="1">
        <v>41961</v>
      </c>
      <c r="E1045">
        <v>619</v>
      </c>
      <c r="F1045">
        <v>85</v>
      </c>
      <c r="G1045" t="s">
        <v>40</v>
      </c>
      <c r="H1045" t="s">
        <v>37</v>
      </c>
      <c r="I1045">
        <v>25</v>
      </c>
      <c r="J1045" t="s">
        <v>41</v>
      </c>
      <c r="K1045" t="s">
        <v>46</v>
      </c>
      <c r="L1045" t="s">
        <v>47</v>
      </c>
      <c r="M1045">
        <v>39</v>
      </c>
      <c r="N1045">
        <v>163</v>
      </c>
      <c r="O1045" t="s">
        <v>50</v>
      </c>
      <c r="P1045">
        <v>80</v>
      </c>
      <c r="Q1045">
        <v>100</v>
      </c>
      <c r="R1045">
        <v>50</v>
      </c>
      <c r="S1045">
        <v>180</v>
      </c>
      <c r="T1045">
        <v>59</v>
      </c>
      <c r="U1045" t="s">
        <v>28</v>
      </c>
      <c r="V1045" s="2">
        <v>0.2392638036809816</v>
      </c>
      <c r="W1045" s="2">
        <v>0.58282208588957052</v>
      </c>
      <c r="X1045">
        <v>34</v>
      </c>
    </row>
    <row r="1046" spans="1:24" x14ac:dyDescent="0.3">
      <c r="A1046">
        <v>206</v>
      </c>
      <c r="B1046">
        <v>105</v>
      </c>
      <c r="C1046">
        <v>-20</v>
      </c>
      <c r="D1046" s="1">
        <v>41962</v>
      </c>
      <c r="E1046">
        <v>716</v>
      </c>
      <c r="F1046">
        <v>145</v>
      </c>
      <c r="G1046" t="s">
        <v>40</v>
      </c>
      <c r="H1046" t="s">
        <v>37</v>
      </c>
      <c r="I1046">
        <v>95</v>
      </c>
      <c r="J1046" t="s">
        <v>41</v>
      </c>
      <c r="K1046" t="s">
        <v>46</v>
      </c>
      <c r="L1046" t="s">
        <v>47</v>
      </c>
      <c r="M1046">
        <v>30</v>
      </c>
      <c r="N1046">
        <v>266</v>
      </c>
      <c r="O1046" t="s">
        <v>61</v>
      </c>
      <c r="P1046">
        <v>120</v>
      </c>
      <c r="Q1046">
        <v>170</v>
      </c>
      <c r="R1046">
        <v>50</v>
      </c>
      <c r="S1046">
        <v>290</v>
      </c>
      <c r="T1046">
        <v>125</v>
      </c>
      <c r="U1046" t="s">
        <v>28</v>
      </c>
      <c r="V1046" s="2">
        <v>0.11278195488721804</v>
      </c>
      <c r="W1046" s="2">
        <v>0.60526315789473684</v>
      </c>
      <c r="X1046">
        <v>30</v>
      </c>
    </row>
    <row r="1047" spans="1:24" x14ac:dyDescent="0.3">
      <c r="A1047">
        <v>971</v>
      </c>
      <c r="B1047">
        <v>153</v>
      </c>
      <c r="C1047">
        <v>49</v>
      </c>
      <c r="D1047" s="1">
        <v>41963</v>
      </c>
      <c r="E1047">
        <v>1319</v>
      </c>
      <c r="F1047">
        <v>153</v>
      </c>
      <c r="G1047" t="s">
        <v>40</v>
      </c>
      <c r="H1047" t="s">
        <v>37</v>
      </c>
      <c r="I1047">
        <v>42</v>
      </c>
      <c r="J1047" t="s">
        <v>41</v>
      </c>
      <c r="K1047" t="s">
        <v>42</v>
      </c>
      <c r="L1047" t="s">
        <v>43</v>
      </c>
      <c r="M1047">
        <v>129</v>
      </c>
      <c r="N1047">
        <v>326</v>
      </c>
      <c r="O1047" t="s">
        <v>57</v>
      </c>
      <c r="P1047">
        <v>150</v>
      </c>
      <c r="Q1047">
        <v>140</v>
      </c>
      <c r="R1047">
        <v>80</v>
      </c>
      <c r="S1047">
        <v>290</v>
      </c>
      <c r="T1047">
        <v>66</v>
      </c>
      <c r="U1047" t="s">
        <v>28</v>
      </c>
      <c r="V1047" s="2">
        <v>0.39570552147239263</v>
      </c>
      <c r="W1047" s="2">
        <v>0.53067484662576692</v>
      </c>
      <c r="X1047">
        <v>24</v>
      </c>
    </row>
    <row r="1048" spans="1:24" x14ac:dyDescent="0.3">
      <c r="A1048">
        <v>360</v>
      </c>
      <c r="B1048">
        <v>80</v>
      </c>
      <c r="C1048">
        <v>16</v>
      </c>
      <c r="D1048" s="1">
        <v>41964</v>
      </c>
      <c r="E1048">
        <v>1079</v>
      </c>
      <c r="F1048">
        <v>96</v>
      </c>
      <c r="G1048" t="s">
        <v>40</v>
      </c>
      <c r="H1048" t="s">
        <v>37</v>
      </c>
      <c r="I1048">
        <v>24</v>
      </c>
      <c r="J1048" t="s">
        <v>41</v>
      </c>
      <c r="K1048" t="s">
        <v>42</v>
      </c>
      <c r="L1048" t="s">
        <v>43</v>
      </c>
      <c r="M1048">
        <v>76</v>
      </c>
      <c r="N1048">
        <v>188</v>
      </c>
      <c r="O1048" t="s">
        <v>61</v>
      </c>
      <c r="P1048">
        <v>70</v>
      </c>
      <c r="Q1048">
        <v>100</v>
      </c>
      <c r="R1048">
        <v>60</v>
      </c>
      <c r="S1048">
        <v>170</v>
      </c>
      <c r="T1048">
        <v>45</v>
      </c>
      <c r="U1048" t="s">
        <v>28</v>
      </c>
      <c r="V1048" s="2">
        <v>0.40425531914893614</v>
      </c>
      <c r="W1048" s="2">
        <v>0.57446808510638303</v>
      </c>
      <c r="X1048">
        <v>21</v>
      </c>
    </row>
    <row r="1049" spans="1:24" x14ac:dyDescent="0.3">
      <c r="A1049">
        <v>435</v>
      </c>
      <c r="B1049">
        <v>63</v>
      </c>
      <c r="C1049">
        <v>3</v>
      </c>
      <c r="D1049" s="1">
        <v>41965</v>
      </c>
      <c r="E1049">
        <v>1075</v>
      </c>
      <c r="F1049">
        <v>76</v>
      </c>
      <c r="G1049" t="s">
        <v>40</v>
      </c>
      <c r="H1049" t="s">
        <v>37</v>
      </c>
      <c r="I1049">
        <v>19</v>
      </c>
      <c r="J1049" t="s">
        <v>41</v>
      </c>
      <c r="K1049" t="s">
        <v>46</v>
      </c>
      <c r="L1049" t="s">
        <v>51</v>
      </c>
      <c r="M1049">
        <v>53</v>
      </c>
      <c r="N1049">
        <v>148</v>
      </c>
      <c r="O1049" t="s">
        <v>50</v>
      </c>
      <c r="P1049">
        <v>70</v>
      </c>
      <c r="Q1049">
        <v>90</v>
      </c>
      <c r="R1049">
        <v>50</v>
      </c>
      <c r="S1049">
        <v>160</v>
      </c>
      <c r="T1049">
        <v>40</v>
      </c>
      <c r="U1049" t="s">
        <v>36</v>
      </c>
      <c r="V1049" s="2">
        <v>0.35810810810810811</v>
      </c>
      <c r="W1049" s="2">
        <v>0.57432432432432434</v>
      </c>
      <c r="X1049">
        <v>21</v>
      </c>
    </row>
    <row r="1050" spans="1:24" x14ac:dyDescent="0.3">
      <c r="A1050">
        <v>360</v>
      </c>
      <c r="B1050">
        <v>72</v>
      </c>
      <c r="C1050">
        <v>6</v>
      </c>
      <c r="D1050" s="1">
        <v>41966</v>
      </c>
      <c r="E1050">
        <v>461</v>
      </c>
      <c r="F1050">
        <v>104</v>
      </c>
      <c r="G1050" t="s">
        <v>40</v>
      </c>
      <c r="H1050" t="s">
        <v>37</v>
      </c>
      <c r="I1050">
        <v>23</v>
      </c>
      <c r="J1050" t="s">
        <v>41</v>
      </c>
      <c r="K1050" t="s">
        <v>46</v>
      </c>
      <c r="L1050" t="s">
        <v>53</v>
      </c>
      <c r="M1050">
        <v>86</v>
      </c>
      <c r="N1050">
        <v>188</v>
      </c>
      <c r="O1050" t="s">
        <v>61</v>
      </c>
      <c r="P1050">
        <v>80</v>
      </c>
      <c r="Q1050">
        <v>120</v>
      </c>
      <c r="R1050">
        <v>80</v>
      </c>
      <c r="S1050">
        <v>200</v>
      </c>
      <c r="T1050">
        <v>46</v>
      </c>
      <c r="U1050" t="s">
        <v>36</v>
      </c>
      <c r="V1050" s="2">
        <v>0.45744680851063829</v>
      </c>
      <c r="W1050" s="2">
        <v>0.61702127659574468</v>
      </c>
      <c r="X1050">
        <v>23</v>
      </c>
    </row>
    <row r="1051" spans="1:24" x14ac:dyDescent="0.3">
      <c r="A1051">
        <v>775</v>
      </c>
      <c r="B1051">
        <v>16</v>
      </c>
      <c r="C1051">
        <v>5</v>
      </c>
      <c r="D1051" s="1">
        <v>41967</v>
      </c>
      <c r="E1051">
        <v>851</v>
      </c>
      <c r="F1051">
        <v>25</v>
      </c>
      <c r="G1051" t="s">
        <v>40</v>
      </c>
      <c r="H1051" t="s">
        <v>37</v>
      </c>
      <c r="I1051">
        <v>4</v>
      </c>
      <c r="J1051" t="s">
        <v>41</v>
      </c>
      <c r="K1051" t="s">
        <v>42</v>
      </c>
      <c r="L1051" t="s">
        <v>54</v>
      </c>
      <c r="M1051">
        <v>15</v>
      </c>
      <c r="N1051">
        <v>44</v>
      </c>
      <c r="O1051" t="s">
        <v>49</v>
      </c>
      <c r="P1051">
        <v>10</v>
      </c>
      <c r="Q1051">
        <v>20</v>
      </c>
      <c r="R1051">
        <v>10</v>
      </c>
      <c r="S1051">
        <v>30</v>
      </c>
      <c r="T1051">
        <v>15</v>
      </c>
      <c r="U1051" t="s">
        <v>36</v>
      </c>
      <c r="V1051" s="2">
        <v>0.34090909090909088</v>
      </c>
      <c r="W1051" s="2">
        <v>0.63636363636363635</v>
      </c>
      <c r="X1051">
        <v>11</v>
      </c>
    </row>
    <row r="1052" spans="1:24" x14ac:dyDescent="0.3">
      <c r="A1052">
        <v>435</v>
      </c>
      <c r="B1052">
        <v>94</v>
      </c>
      <c r="C1052">
        <v>44</v>
      </c>
      <c r="D1052" s="1">
        <v>41968</v>
      </c>
      <c r="E1052">
        <v>540</v>
      </c>
      <c r="F1052">
        <v>120</v>
      </c>
      <c r="G1052" t="s">
        <v>40</v>
      </c>
      <c r="H1052" t="s">
        <v>37</v>
      </c>
      <c r="I1052">
        <v>31</v>
      </c>
      <c r="J1052" t="s">
        <v>41</v>
      </c>
      <c r="K1052" t="s">
        <v>42</v>
      </c>
      <c r="L1052" t="s">
        <v>54</v>
      </c>
      <c r="M1052">
        <v>114</v>
      </c>
      <c r="N1052">
        <v>228</v>
      </c>
      <c r="O1052" t="s">
        <v>50</v>
      </c>
      <c r="P1052">
        <v>90</v>
      </c>
      <c r="Q1052">
        <v>110</v>
      </c>
      <c r="R1052">
        <v>70</v>
      </c>
      <c r="S1052">
        <v>200</v>
      </c>
      <c r="T1052">
        <v>43</v>
      </c>
      <c r="U1052" t="s">
        <v>36</v>
      </c>
      <c r="V1052" s="2">
        <v>0.5</v>
      </c>
      <c r="W1052" s="2">
        <v>0.58771929824561409</v>
      </c>
      <c r="X1052">
        <v>12</v>
      </c>
    </row>
    <row r="1053" spans="1:24" x14ac:dyDescent="0.3">
      <c r="A1053">
        <v>702</v>
      </c>
      <c r="B1053">
        <v>135</v>
      </c>
      <c r="C1053">
        <v>17</v>
      </c>
      <c r="D1053" s="1">
        <v>41969</v>
      </c>
      <c r="E1053">
        <v>940</v>
      </c>
      <c r="F1053">
        <v>187</v>
      </c>
      <c r="G1053" t="s">
        <v>40</v>
      </c>
      <c r="H1053" t="s">
        <v>37</v>
      </c>
      <c r="I1053">
        <v>122</v>
      </c>
      <c r="J1053" t="s">
        <v>24</v>
      </c>
      <c r="K1053" t="s">
        <v>25</v>
      </c>
      <c r="L1053" t="s">
        <v>58</v>
      </c>
      <c r="M1053">
        <v>47</v>
      </c>
      <c r="N1053">
        <v>343</v>
      </c>
      <c r="O1053" t="s">
        <v>49</v>
      </c>
      <c r="P1053">
        <v>120</v>
      </c>
      <c r="Q1053">
        <v>170</v>
      </c>
      <c r="R1053">
        <v>30</v>
      </c>
      <c r="S1053">
        <v>290</v>
      </c>
      <c r="T1053">
        <v>155</v>
      </c>
      <c r="U1053" t="s">
        <v>28</v>
      </c>
      <c r="V1053" s="2">
        <v>0.13702623906705538</v>
      </c>
      <c r="W1053" s="2">
        <v>0.60641399416909625</v>
      </c>
      <c r="X1053">
        <v>33</v>
      </c>
    </row>
    <row r="1054" spans="1:24" x14ac:dyDescent="0.3">
      <c r="A1054">
        <v>253</v>
      </c>
      <c r="B1054">
        <v>115</v>
      </c>
      <c r="C1054">
        <v>46</v>
      </c>
      <c r="D1054" s="1">
        <v>41970</v>
      </c>
      <c r="E1054">
        <v>1166</v>
      </c>
      <c r="F1054">
        <v>174</v>
      </c>
      <c r="G1054" t="s">
        <v>40</v>
      </c>
      <c r="H1054" t="s">
        <v>37</v>
      </c>
      <c r="I1054">
        <v>37</v>
      </c>
      <c r="J1054" t="s">
        <v>24</v>
      </c>
      <c r="K1054" t="s">
        <v>25</v>
      </c>
      <c r="L1054" t="s">
        <v>58</v>
      </c>
      <c r="M1054">
        <v>156</v>
      </c>
      <c r="N1054">
        <v>308</v>
      </c>
      <c r="O1054" t="s">
        <v>61</v>
      </c>
      <c r="P1054">
        <v>100</v>
      </c>
      <c r="Q1054">
        <v>160</v>
      </c>
      <c r="R1054">
        <v>110</v>
      </c>
      <c r="S1054">
        <v>260</v>
      </c>
      <c r="T1054">
        <v>69</v>
      </c>
      <c r="U1054" t="s">
        <v>28</v>
      </c>
      <c r="V1054" s="2">
        <v>0.50649350649350644</v>
      </c>
      <c r="W1054" s="2">
        <v>0.62662337662337664</v>
      </c>
      <c r="X1054">
        <v>32</v>
      </c>
    </row>
    <row r="1055" spans="1:24" x14ac:dyDescent="0.3">
      <c r="A1055">
        <v>702</v>
      </c>
      <c r="B1055">
        <v>224</v>
      </c>
      <c r="C1055">
        <v>118</v>
      </c>
      <c r="D1055" s="1">
        <v>41971</v>
      </c>
      <c r="E1055">
        <v>1191</v>
      </c>
      <c r="F1055">
        <v>310</v>
      </c>
      <c r="G1055" t="s">
        <v>40</v>
      </c>
      <c r="H1055" t="s">
        <v>37</v>
      </c>
      <c r="I1055">
        <v>73</v>
      </c>
      <c r="J1055" t="s">
        <v>24</v>
      </c>
      <c r="K1055" t="s">
        <v>25</v>
      </c>
      <c r="L1055" t="s">
        <v>26</v>
      </c>
      <c r="M1055">
        <v>288</v>
      </c>
      <c r="N1055">
        <v>569</v>
      </c>
      <c r="O1055" t="s">
        <v>49</v>
      </c>
      <c r="P1055">
        <v>210</v>
      </c>
      <c r="Q1055">
        <v>280</v>
      </c>
      <c r="R1055">
        <v>170</v>
      </c>
      <c r="S1055">
        <v>490</v>
      </c>
      <c r="T1055">
        <v>116</v>
      </c>
      <c r="U1055" t="s">
        <v>28</v>
      </c>
      <c r="V1055" s="2">
        <v>0.5061511423550088</v>
      </c>
      <c r="W1055" s="2">
        <v>0.60632688927943756</v>
      </c>
      <c r="X1055">
        <v>43</v>
      </c>
    </row>
    <row r="1056" spans="1:24" x14ac:dyDescent="0.3">
      <c r="A1056">
        <v>503</v>
      </c>
      <c r="B1056">
        <v>81</v>
      </c>
      <c r="C1056">
        <v>28</v>
      </c>
      <c r="D1056" s="1">
        <v>41972</v>
      </c>
      <c r="E1056">
        <v>551</v>
      </c>
      <c r="F1056">
        <v>104</v>
      </c>
      <c r="G1056" t="s">
        <v>40</v>
      </c>
      <c r="H1056" t="s">
        <v>37</v>
      </c>
      <c r="I1056">
        <v>26</v>
      </c>
      <c r="J1056" t="s">
        <v>24</v>
      </c>
      <c r="K1056" t="s">
        <v>25</v>
      </c>
      <c r="L1056" t="s">
        <v>26</v>
      </c>
      <c r="M1056">
        <v>98</v>
      </c>
      <c r="N1056">
        <v>197</v>
      </c>
      <c r="O1056" t="s">
        <v>57</v>
      </c>
      <c r="P1056">
        <v>70</v>
      </c>
      <c r="Q1056">
        <v>100</v>
      </c>
      <c r="R1056">
        <v>70</v>
      </c>
      <c r="S1056">
        <v>170</v>
      </c>
      <c r="T1056">
        <v>38</v>
      </c>
      <c r="U1056" t="s">
        <v>28</v>
      </c>
      <c r="V1056" s="2">
        <v>0.49746192893401014</v>
      </c>
      <c r="W1056" s="2">
        <v>0.58883248730964466</v>
      </c>
      <c r="X1056">
        <v>12</v>
      </c>
    </row>
    <row r="1057" spans="1:24" x14ac:dyDescent="0.3">
      <c r="A1057">
        <v>775</v>
      </c>
      <c r="B1057">
        <v>127</v>
      </c>
      <c r="C1057">
        <v>61</v>
      </c>
      <c r="D1057" s="1">
        <v>41973</v>
      </c>
      <c r="E1057">
        <v>830</v>
      </c>
      <c r="F1057">
        <v>185</v>
      </c>
      <c r="G1057" t="s">
        <v>40</v>
      </c>
      <c r="H1057" t="s">
        <v>37</v>
      </c>
      <c r="I1057">
        <v>40</v>
      </c>
      <c r="J1057" t="s">
        <v>24</v>
      </c>
      <c r="K1057" t="s">
        <v>25</v>
      </c>
      <c r="L1057" t="s">
        <v>29</v>
      </c>
      <c r="M1057">
        <v>181</v>
      </c>
      <c r="N1057">
        <v>332</v>
      </c>
      <c r="O1057" t="s">
        <v>49</v>
      </c>
      <c r="P1057">
        <v>120</v>
      </c>
      <c r="Q1057">
        <v>170</v>
      </c>
      <c r="R1057">
        <v>120</v>
      </c>
      <c r="S1057">
        <v>290</v>
      </c>
      <c r="T1057">
        <v>63</v>
      </c>
      <c r="U1057" t="s">
        <v>28</v>
      </c>
      <c r="V1057" s="2">
        <v>0.54518072289156627</v>
      </c>
      <c r="W1057" s="2">
        <v>0.61746987951807231</v>
      </c>
      <c r="X1057">
        <v>23</v>
      </c>
    </row>
    <row r="1058" spans="1:24" x14ac:dyDescent="0.3">
      <c r="A1058">
        <v>775</v>
      </c>
      <c r="B1058">
        <v>247</v>
      </c>
      <c r="C1058">
        <v>169</v>
      </c>
      <c r="D1058" s="1">
        <v>41974</v>
      </c>
      <c r="E1058">
        <v>1744</v>
      </c>
      <c r="F1058">
        <v>329</v>
      </c>
      <c r="G1058" t="s">
        <v>40</v>
      </c>
      <c r="H1058" t="s">
        <v>37</v>
      </c>
      <c r="I1058">
        <v>81</v>
      </c>
      <c r="J1058" t="s">
        <v>24</v>
      </c>
      <c r="K1058" t="s">
        <v>33</v>
      </c>
      <c r="L1058" t="s">
        <v>34</v>
      </c>
      <c r="M1058">
        <v>319</v>
      </c>
      <c r="N1058">
        <v>614</v>
      </c>
      <c r="O1058" t="s">
        <v>49</v>
      </c>
      <c r="P1058">
        <v>180</v>
      </c>
      <c r="Q1058">
        <v>240</v>
      </c>
      <c r="R1058">
        <v>150</v>
      </c>
      <c r="S1058">
        <v>420</v>
      </c>
      <c r="T1058">
        <v>114</v>
      </c>
      <c r="U1058" t="s">
        <v>36</v>
      </c>
      <c r="V1058" s="2">
        <v>0.51954397394136809</v>
      </c>
      <c r="W1058" s="2">
        <v>0.59771986970684043</v>
      </c>
      <c r="X1058">
        <v>33</v>
      </c>
    </row>
    <row r="1059" spans="1:24" x14ac:dyDescent="0.3">
      <c r="A1059">
        <v>775</v>
      </c>
      <c r="B1059">
        <v>250</v>
      </c>
      <c r="C1059">
        <v>133</v>
      </c>
      <c r="D1059" s="1">
        <v>41975</v>
      </c>
      <c r="E1059">
        <v>1820</v>
      </c>
      <c r="F1059">
        <v>251</v>
      </c>
      <c r="G1059" t="s">
        <v>40</v>
      </c>
      <c r="H1059" t="s">
        <v>37</v>
      </c>
      <c r="I1059">
        <v>70</v>
      </c>
      <c r="J1059" t="s">
        <v>24</v>
      </c>
      <c r="K1059" t="s">
        <v>33</v>
      </c>
      <c r="L1059" t="s">
        <v>62</v>
      </c>
      <c r="M1059">
        <v>233</v>
      </c>
      <c r="N1059">
        <v>534</v>
      </c>
      <c r="O1059" t="s">
        <v>49</v>
      </c>
      <c r="P1059">
        <v>180</v>
      </c>
      <c r="Q1059">
        <v>180</v>
      </c>
      <c r="R1059">
        <v>100</v>
      </c>
      <c r="S1059">
        <v>360</v>
      </c>
      <c r="T1059">
        <v>94</v>
      </c>
      <c r="U1059" t="s">
        <v>36</v>
      </c>
      <c r="V1059" s="2">
        <v>0.43632958801498128</v>
      </c>
      <c r="W1059" s="2">
        <v>0.53183520599250933</v>
      </c>
      <c r="X1059">
        <v>24</v>
      </c>
    </row>
    <row r="1060" spans="1:24" x14ac:dyDescent="0.3">
      <c r="A1060">
        <v>971</v>
      </c>
      <c r="B1060">
        <v>88</v>
      </c>
      <c r="C1060">
        <v>48</v>
      </c>
      <c r="D1060" s="1">
        <v>41976</v>
      </c>
      <c r="E1060">
        <v>817</v>
      </c>
      <c r="F1060">
        <v>133</v>
      </c>
      <c r="G1060" t="s">
        <v>40</v>
      </c>
      <c r="H1060" t="s">
        <v>37</v>
      </c>
      <c r="I1060">
        <v>29</v>
      </c>
      <c r="J1060" t="s">
        <v>24</v>
      </c>
      <c r="K1060" t="s">
        <v>33</v>
      </c>
      <c r="L1060" t="s">
        <v>62</v>
      </c>
      <c r="M1060">
        <v>108</v>
      </c>
      <c r="N1060">
        <v>236</v>
      </c>
      <c r="O1060" t="s">
        <v>57</v>
      </c>
      <c r="P1060">
        <v>60</v>
      </c>
      <c r="Q1060">
        <v>100</v>
      </c>
      <c r="R1060">
        <v>60</v>
      </c>
      <c r="S1060">
        <v>160</v>
      </c>
      <c r="T1060">
        <v>60</v>
      </c>
      <c r="U1060" t="s">
        <v>36</v>
      </c>
      <c r="V1060" s="2">
        <v>0.4576271186440678</v>
      </c>
      <c r="W1060" s="2">
        <v>0.6271186440677966</v>
      </c>
      <c r="X1060">
        <v>31</v>
      </c>
    </row>
    <row r="1061" spans="1:24" x14ac:dyDescent="0.3">
      <c r="A1061">
        <v>775</v>
      </c>
      <c r="B1061">
        <v>294</v>
      </c>
      <c r="C1061">
        <v>-285</v>
      </c>
      <c r="D1061" s="1">
        <v>41977</v>
      </c>
      <c r="E1061">
        <v>8252</v>
      </c>
      <c r="F1061">
        <v>-294</v>
      </c>
      <c r="G1061" t="s">
        <v>40</v>
      </c>
      <c r="H1061" t="s">
        <v>37</v>
      </c>
      <c r="I1061">
        <v>111</v>
      </c>
      <c r="J1061" t="s">
        <v>24</v>
      </c>
      <c r="K1061" t="s">
        <v>33</v>
      </c>
      <c r="L1061" t="s">
        <v>38</v>
      </c>
      <c r="M1061">
        <v>-605</v>
      </c>
      <c r="N1061">
        <v>33</v>
      </c>
      <c r="O1061" t="s">
        <v>49</v>
      </c>
      <c r="P1061">
        <v>210</v>
      </c>
      <c r="Q1061">
        <v>-210</v>
      </c>
      <c r="R1061">
        <v>-320</v>
      </c>
      <c r="S1061">
        <v>0</v>
      </c>
      <c r="T1061">
        <v>145</v>
      </c>
      <c r="U1061" t="s">
        <v>36</v>
      </c>
      <c r="V1061" s="2">
        <v>-18.333333333333332</v>
      </c>
      <c r="W1061" s="2">
        <v>-7.9090909090909092</v>
      </c>
      <c r="X1061">
        <v>34</v>
      </c>
    </row>
    <row r="1062" spans="1:24" x14ac:dyDescent="0.3">
      <c r="A1062">
        <v>503</v>
      </c>
      <c r="B1062">
        <v>134</v>
      </c>
      <c r="C1062">
        <v>80</v>
      </c>
      <c r="D1062" s="1">
        <v>41978</v>
      </c>
      <c r="E1062">
        <v>690</v>
      </c>
      <c r="F1062">
        <v>186</v>
      </c>
      <c r="G1062" t="s">
        <v>40</v>
      </c>
      <c r="H1062" t="s">
        <v>37</v>
      </c>
      <c r="I1062">
        <v>41</v>
      </c>
      <c r="J1062" t="s">
        <v>24</v>
      </c>
      <c r="K1062" t="s">
        <v>33</v>
      </c>
      <c r="L1062" t="s">
        <v>38</v>
      </c>
      <c r="M1062">
        <v>180</v>
      </c>
      <c r="N1062">
        <v>341</v>
      </c>
      <c r="O1062" t="s">
        <v>57</v>
      </c>
      <c r="P1062">
        <v>90</v>
      </c>
      <c r="Q1062">
        <v>140</v>
      </c>
      <c r="R1062">
        <v>100</v>
      </c>
      <c r="S1062">
        <v>230</v>
      </c>
      <c r="T1062">
        <v>65</v>
      </c>
      <c r="U1062" t="s">
        <v>36</v>
      </c>
      <c r="V1062" s="2">
        <v>0.52785923753665687</v>
      </c>
      <c r="W1062" s="2">
        <v>0.60703812316715544</v>
      </c>
      <c r="X1062">
        <v>24</v>
      </c>
    </row>
    <row r="1063" spans="1:24" x14ac:dyDescent="0.3">
      <c r="A1063">
        <v>435</v>
      </c>
      <c r="B1063">
        <v>20</v>
      </c>
      <c r="C1063">
        <v>-22</v>
      </c>
      <c r="D1063" s="1">
        <v>41979</v>
      </c>
      <c r="E1063">
        <v>218</v>
      </c>
      <c r="F1063">
        <v>25</v>
      </c>
      <c r="G1063" t="s">
        <v>40</v>
      </c>
      <c r="H1063" t="s">
        <v>37</v>
      </c>
      <c r="I1063">
        <v>7</v>
      </c>
      <c r="J1063" t="s">
        <v>24</v>
      </c>
      <c r="K1063" t="s">
        <v>33</v>
      </c>
      <c r="L1063" t="s">
        <v>38</v>
      </c>
      <c r="M1063">
        <v>-22</v>
      </c>
      <c r="N1063">
        <v>48</v>
      </c>
      <c r="O1063" t="s">
        <v>50</v>
      </c>
      <c r="P1063">
        <v>10</v>
      </c>
      <c r="Q1063">
        <v>20</v>
      </c>
      <c r="R1063">
        <v>0</v>
      </c>
      <c r="S1063">
        <v>30</v>
      </c>
      <c r="T1063">
        <v>40</v>
      </c>
      <c r="U1063" t="s">
        <v>36</v>
      </c>
      <c r="V1063" s="2">
        <v>-0.45833333333333331</v>
      </c>
      <c r="W1063" s="2">
        <v>0.58333333333333337</v>
      </c>
      <c r="X1063">
        <v>33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FF300-2094-4D07-A3B2-8860392C8E90}">
  <sheetPr codeName="Sheet2"/>
  <dimension ref="A3:O47"/>
  <sheetViews>
    <sheetView topLeftCell="A3" zoomScale="82" workbookViewId="0">
      <selection activeCell="B32" sqref="B32"/>
    </sheetView>
  </sheetViews>
  <sheetFormatPr defaultRowHeight="14.4" x14ac:dyDescent="0.3"/>
  <cols>
    <col min="1" max="1" width="13.88671875" bestFit="1" customWidth="1"/>
    <col min="2" max="3" width="7.5546875" bestFit="1" customWidth="1"/>
    <col min="4" max="4" width="10.77734375" bestFit="1" customWidth="1"/>
    <col min="5" max="5" width="11.44140625" bestFit="1" customWidth="1"/>
    <col min="6" max="7" width="12.109375" bestFit="1" customWidth="1"/>
    <col min="9" max="9" width="14.44140625" bestFit="1" customWidth="1"/>
    <col min="10" max="10" width="11.6640625" bestFit="1" customWidth="1"/>
    <col min="11" max="11" width="12.109375" bestFit="1" customWidth="1"/>
    <col min="13" max="13" width="13" bestFit="1" customWidth="1"/>
    <col min="14" max="14" width="11.6640625" bestFit="1" customWidth="1"/>
    <col min="15" max="15" width="12.109375" bestFit="1" customWidth="1"/>
  </cols>
  <sheetData>
    <row r="3" spans="1:15" x14ac:dyDescent="0.3">
      <c r="A3" t="s">
        <v>69</v>
      </c>
      <c r="E3" s="6" t="s">
        <v>74</v>
      </c>
      <c r="F3" t="s">
        <v>69</v>
      </c>
      <c r="I3" s="6" t="s">
        <v>74</v>
      </c>
      <c r="J3" t="s">
        <v>69</v>
      </c>
      <c r="K3" t="s">
        <v>70</v>
      </c>
      <c r="M3" s="6" t="s">
        <v>74</v>
      </c>
      <c r="N3" t="s">
        <v>69</v>
      </c>
      <c r="O3" t="s">
        <v>70</v>
      </c>
    </row>
    <row r="4" spans="1:15" x14ac:dyDescent="0.3">
      <c r="A4" s="5">
        <v>202895</v>
      </c>
      <c r="B4" s="5">
        <f>GETPIVOTDATA("Sales",$A$3)</f>
        <v>202895</v>
      </c>
      <c r="E4" s="7" t="s">
        <v>53</v>
      </c>
      <c r="F4" s="5">
        <v>30761</v>
      </c>
      <c r="I4" s="7" t="s">
        <v>39</v>
      </c>
      <c r="J4" s="5">
        <v>23032</v>
      </c>
      <c r="K4" s="5">
        <v>7340</v>
      </c>
      <c r="M4" s="7" t="s">
        <v>76</v>
      </c>
      <c r="N4" s="5">
        <v>14985</v>
      </c>
      <c r="O4" s="5">
        <v>4357</v>
      </c>
    </row>
    <row r="5" spans="1:15" x14ac:dyDescent="0.3">
      <c r="E5" s="7" t="s">
        <v>26</v>
      </c>
      <c r="F5" s="5">
        <v>24048</v>
      </c>
      <c r="I5" s="7" t="s">
        <v>27</v>
      </c>
      <c r="J5" s="5">
        <v>12112</v>
      </c>
      <c r="K5" s="5">
        <v>4450</v>
      </c>
      <c r="M5" s="7" t="s">
        <v>77</v>
      </c>
      <c r="N5" s="5">
        <v>14788</v>
      </c>
      <c r="O5" s="5">
        <v>4327</v>
      </c>
    </row>
    <row r="6" spans="1:15" x14ac:dyDescent="0.3">
      <c r="A6" t="s">
        <v>70</v>
      </c>
      <c r="E6" s="7" t="s">
        <v>54</v>
      </c>
      <c r="F6" s="5">
        <v>21716</v>
      </c>
      <c r="I6" s="7" t="s">
        <v>45</v>
      </c>
      <c r="J6" s="5">
        <v>6670</v>
      </c>
      <c r="K6" s="5">
        <v>2066</v>
      </c>
      <c r="M6" s="7" t="s">
        <v>78</v>
      </c>
      <c r="N6" s="5">
        <v>15424</v>
      </c>
      <c r="O6" s="5">
        <v>4803</v>
      </c>
    </row>
    <row r="7" spans="1:15" x14ac:dyDescent="0.3">
      <c r="A7" s="5">
        <v>64311</v>
      </c>
      <c r="B7" s="5">
        <f>GETPIVOTDATA("Profit",$A$6)</f>
        <v>64311</v>
      </c>
      <c r="C7" s="5"/>
      <c r="E7" s="7" t="s">
        <v>58</v>
      </c>
      <c r="F7" s="5">
        <v>19295</v>
      </c>
      <c r="I7" s="7" t="s">
        <v>35</v>
      </c>
      <c r="J7" s="5">
        <v>8825</v>
      </c>
      <c r="K7" s="5">
        <v>2794</v>
      </c>
      <c r="M7" s="7" t="s">
        <v>79</v>
      </c>
      <c r="N7" s="5">
        <v>14832</v>
      </c>
      <c r="O7" s="5">
        <v>5815</v>
      </c>
    </row>
    <row r="8" spans="1:15" x14ac:dyDescent="0.3">
      <c r="E8" s="7" t="s">
        <v>43</v>
      </c>
      <c r="F8" s="5">
        <v>18888</v>
      </c>
      <c r="I8" s="7" t="s">
        <v>64</v>
      </c>
      <c r="J8" s="5">
        <v>16812</v>
      </c>
      <c r="K8" s="5">
        <v>7380</v>
      </c>
      <c r="M8" s="7" t="s">
        <v>80</v>
      </c>
      <c r="N8" s="5">
        <v>15914</v>
      </c>
      <c r="O8" s="5">
        <v>6111</v>
      </c>
    </row>
    <row r="9" spans="1:15" x14ac:dyDescent="0.3">
      <c r="A9" t="s">
        <v>71</v>
      </c>
      <c r="B9" t="s">
        <v>93</v>
      </c>
      <c r="C9" s="4"/>
      <c r="E9" s="7" t="s">
        <v>34</v>
      </c>
      <c r="F9" s="5">
        <v>17758</v>
      </c>
      <c r="I9" s="7" t="s">
        <v>44</v>
      </c>
      <c r="J9" s="5">
        <v>13359</v>
      </c>
      <c r="K9" s="5">
        <v>5412</v>
      </c>
      <c r="M9" s="7" t="s">
        <v>81</v>
      </c>
      <c r="N9" s="5">
        <v>16128</v>
      </c>
      <c r="O9" s="5">
        <v>4701</v>
      </c>
    </row>
    <row r="10" spans="1:15" x14ac:dyDescent="0.3">
      <c r="A10" s="3">
        <v>0.15941628741048411</v>
      </c>
      <c r="B10" s="4">
        <v>0.31696690406367828</v>
      </c>
      <c r="C10" s="3">
        <f>GETPIVOTDATA("Overallnetmargin",$A$9)</f>
        <v>0.31696690406367828</v>
      </c>
      <c r="E10" s="7" t="s">
        <v>75</v>
      </c>
      <c r="F10" s="5">
        <v>132466</v>
      </c>
      <c r="I10" s="7" t="s">
        <v>56</v>
      </c>
      <c r="J10" s="5">
        <v>6193</v>
      </c>
      <c r="K10" s="5">
        <v>2026</v>
      </c>
      <c r="M10" s="7" t="s">
        <v>82</v>
      </c>
      <c r="N10" s="5">
        <v>16130</v>
      </c>
      <c r="O10" s="5">
        <v>4280</v>
      </c>
    </row>
    <row r="11" spans="1:15" x14ac:dyDescent="0.3">
      <c r="I11" s="7" t="s">
        <v>63</v>
      </c>
      <c r="J11" s="5">
        <v>7339</v>
      </c>
      <c r="K11" s="5">
        <v>3710</v>
      </c>
      <c r="M11" s="7" t="s">
        <v>83</v>
      </c>
      <c r="N11" s="5">
        <v>18111</v>
      </c>
      <c r="O11" s="5">
        <v>4895</v>
      </c>
    </row>
    <row r="12" spans="1:15" x14ac:dyDescent="0.3">
      <c r="A12" t="s">
        <v>72</v>
      </c>
      <c r="I12" s="7" t="s">
        <v>59</v>
      </c>
      <c r="J12" s="5">
        <v>6072</v>
      </c>
      <c r="K12" s="5">
        <v>956</v>
      </c>
      <c r="M12" s="7" t="s">
        <v>84</v>
      </c>
      <c r="N12" s="5">
        <v>17954</v>
      </c>
      <c r="O12" s="5">
        <v>5958</v>
      </c>
    </row>
    <row r="13" spans="1:15" x14ac:dyDescent="0.3">
      <c r="A13" s="5">
        <v>87508</v>
      </c>
      <c r="B13" s="5">
        <f>GETPIVOTDATA("Cogs",$A$12)</f>
        <v>87508</v>
      </c>
      <c r="C13" s="5"/>
      <c r="I13" s="7" t="s">
        <v>49</v>
      </c>
      <c r="J13" s="5">
        <v>14822</v>
      </c>
      <c r="K13" s="5">
        <v>2556</v>
      </c>
      <c r="M13" s="7" t="s">
        <v>85</v>
      </c>
      <c r="N13" s="5">
        <v>20425</v>
      </c>
      <c r="O13" s="5">
        <v>6305</v>
      </c>
    </row>
    <row r="14" spans="1:15" x14ac:dyDescent="0.3">
      <c r="I14" s="7" t="s">
        <v>52</v>
      </c>
      <c r="J14" s="5">
        <v>3543</v>
      </c>
      <c r="K14" s="5">
        <v>610</v>
      </c>
      <c r="M14" s="7" t="s">
        <v>86</v>
      </c>
      <c r="N14" s="5">
        <v>22410</v>
      </c>
      <c r="O14" s="5">
        <v>7475</v>
      </c>
    </row>
    <row r="15" spans="1:15" x14ac:dyDescent="0.3">
      <c r="A15" s="6" t="s">
        <v>74</v>
      </c>
      <c r="B15" t="s">
        <v>69</v>
      </c>
      <c r="C15" t="s">
        <v>70</v>
      </c>
      <c r="I15" s="7" t="s">
        <v>65</v>
      </c>
      <c r="J15" s="5">
        <v>3805</v>
      </c>
      <c r="K15" s="5">
        <v>216</v>
      </c>
      <c r="M15" s="7" t="s">
        <v>87</v>
      </c>
      <c r="N15" s="5">
        <v>15794</v>
      </c>
      <c r="O15" s="5">
        <v>5284</v>
      </c>
    </row>
    <row r="16" spans="1:15" x14ac:dyDescent="0.3">
      <c r="A16" s="7" t="s">
        <v>42</v>
      </c>
      <c r="B16" s="5">
        <v>56013</v>
      </c>
      <c r="C16" s="5">
        <v>17880</v>
      </c>
      <c r="I16" s="7" t="s">
        <v>68</v>
      </c>
      <c r="J16" s="5">
        <v>17731</v>
      </c>
      <c r="K16" s="5">
        <v>5565</v>
      </c>
      <c r="M16" s="7" t="s">
        <v>75</v>
      </c>
      <c r="N16" s="5">
        <v>202895</v>
      </c>
      <c r="O16" s="5">
        <v>64311</v>
      </c>
    </row>
    <row r="17" spans="1:11" x14ac:dyDescent="0.3">
      <c r="A17" s="7" t="s">
        <v>46</v>
      </c>
      <c r="B17" s="5">
        <v>52373</v>
      </c>
      <c r="C17" s="5">
        <v>17485</v>
      </c>
      <c r="I17" s="7" t="s">
        <v>66</v>
      </c>
      <c r="J17" s="5">
        <v>8787</v>
      </c>
      <c r="K17" s="5">
        <v>2766</v>
      </c>
    </row>
    <row r="18" spans="1:11" x14ac:dyDescent="0.3">
      <c r="A18" s="7" t="s">
        <v>25</v>
      </c>
      <c r="B18" s="5">
        <v>51685</v>
      </c>
      <c r="C18" s="5">
        <v>15906</v>
      </c>
      <c r="I18" s="7" t="s">
        <v>48</v>
      </c>
      <c r="J18" s="5">
        <v>7298</v>
      </c>
      <c r="K18" s="5">
        <v>2351</v>
      </c>
    </row>
    <row r="19" spans="1:11" x14ac:dyDescent="0.3">
      <c r="A19" s="7" t="s">
        <v>33</v>
      </c>
      <c r="B19" s="5">
        <v>42824</v>
      </c>
      <c r="C19" s="5">
        <v>13040</v>
      </c>
      <c r="I19" s="7" t="s">
        <v>57</v>
      </c>
      <c r="J19" s="5">
        <v>10661</v>
      </c>
      <c r="K19" s="5">
        <v>3309</v>
      </c>
    </row>
    <row r="20" spans="1:11" x14ac:dyDescent="0.3">
      <c r="A20" s="7" t="s">
        <v>75</v>
      </c>
      <c r="B20" s="5">
        <v>202895</v>
      </c>
      <c r="C20" s="5">
        <v>64311</v>
      </c>
      <c r="E20" s="6" t="s">
        <v>74</v>
      </c>
      <c r="F20" t="s">
        <v>70</v>
      </c>
      <c r="I20" s="7" t="s">
        <v>31</v>
      </c>
      <c r="J20" s="5">
        <v>9092</v>
      </c>
      <c r="K20" s="5">
        <v>3803</v>
      </c>
    </row>
    <row r="21" spans="1:11" x14ac:dyDescent="0.3">
      <c r="E21" s="7" t="s">
        <v>62</v>
      </c>
      <c r="F21" s="5">
        <v>5975</v>
      </c>
      <c r="I21" s="7" t="s">
        <v>50</v>
      </c>
      <c r="J21" s="5">
        <v>9159</v>
      </c>
      <c r="K21" s="5">
        <v>2199</v>
      </c>
    </row>
    <row r="22" spans="1:11" x14ac:dyDescent="0.3">
      <c r="E22" s="7" t="s">
        <v>34</v>
      </c>
      <c r="F22" s="5">
        <v>6976</v>
      </c>
      <c r="I22" s="7" t="s">
        <v>61</v>
      </c>
      <c r="J22" s="5">
        <v>9744</v>
      </c>
      <c r="K22" s="5">
        <v>2865</v>
      </c>
    </row>
    <row r="23" spans="1:11" x14ac:dyDescent="0.3">
      <c r="E23" s="7" t="s">
        <v>58</v>
      </c>
      <c r="F23" s="5">
        <v>7006</v>
      </c>
      <c r="I23" s="7" t="s">
        <v>60</v>
      </c>
      <c r="J23" s="5">
        <v>7839</v>
      </c>
      <c r="K23" s="5">
        <v>1937</v>
      </c>
    </row>
    <row r="24" spans="1:11" x14ac:dyDescent="0.3">
      <c r="E24" s="7" t="s">
        <v>43</v>
      </c>
      <c r="F24" s="5">
        <v>7039</v>
      </c>
      <c r="I24" s="7" t="s">
        <v>75</v>
      </c>
      <c r="J24" s="5">
        <v>202895</v>
      </c>
      <c r="K24" s="5">
        <v>64311</v>
      </c>
    </row>
    <row r="25" spans="1:11" x14ac:dyDescent="0.3">
      <c r="E25" s="7" t="s">
        <v>26</v>
      </c>
      <c r="F25" s="5">
        <v>7614</v>
      </c>
    </row>
    <row r="26" spans="1:11" x14ac:dyDescent="0.3">
      <c r="E26" s="7" t="s">
        <v>53</v>
      </c>
      <c r="F26" s="5">
        <v>12932</v>
      </c>
    </row>
    <row r="27" spans="1:11" x14ac:dyDescent="0.3">
      <c r="E27" s="7" t="s">
        <v>75</v>
      </c>
      <c r="F27" s="5">
        <v>47542</v>
      </c>
    </row>
    <row r="28" spans="1:11" x14ac:dyDescent="0.3">
      <c r="I28" t="str">
        <f t="shared" ref="I28:K28" si="0">I4</f>
        <v>California</v>
      </c>
      <c r="J28" s="5">
        <f t="shared" si="0"/>
        <v>23032</v>
      </c>
      <c r="K28" s="5">
        <f t="shared" si="0"/>
        <v>7340</v>
      </c>
    </row>
    <row r="29" spans="1:11" x14ac:dyDescent="0.3">
      <c r="A29" t="s">
        <v>98</v>
      </c>
      <c r="B29" s="8">
        <v>2</v>
      </c>
      <c r="I29" t="str">
        <f t="shared" ref="I29:K29" si="1">I5</f>
        <v>Colorado</v>
      </c>
      <c r="J29" s="5">
        <f t="shared" si="1"/>
        <v>12112</v>
      </c>
      <c r="K29" s="5">
        <f t="shared" si="1"/>
        <v>4450</v>
      </c>
    </row>
    <row r="30" spans="1:11" x14ac:dyDescent="0.3">
      <c r="I30" t="str">
        <f t="shared" ref="I30:K30" si="2">I6</f>
        <v>Connecticut</v>
      </c>
      <c r="J30" s="5">
        <f t="shared" si="2"/>
        <v>6670</v>
      </c>
      <c r="K30" s="5">
        <f t="shared" si="2"/>
        <v>2066</v>
      </c>
    </row>
    <row r="31" spans="1:11" x14ac:dyDescent="0.3">
      <c r="A31" s="6" t="s">
        <v>97</v>
      </c>
      <c r="B31" t="s">
        <v>101</v>
      </c>
      <c r="C31" t="s">
        <v>102</v>
      </c>
      <c r="D31" t="s">
        <v>99</v>
      </c>
      <c r="E31" t="s">
        <v>100</v>
      </c>
      <c r="I31" t="str">
        <f t="shared" ref="I31:K31" si="3">I7</f>
        <v>Florida</v>
      </c>
      <c r="J31" s="5">
        <f t="shared" si="3"/>
        <v>8825</v>
      </c>
      <c r="K31" s="5">
        <f t="shared" si="3"/>
        <v>2794</v>
      </c>
    </row>
    <row r="32" spans="1:11" x14ac:dyDescent="0.3">
      <c r="A32" t="s">
        <v>94</v>
      </c>
      <c r="B32" s="5">
        <v>38513</v>
      </c>
      <c r="C32" s="5">
        <v>9362</v>
      </c>
      <c r="D32" s="9">
        <v>30420</v>
      </c>
      <c r="E32" s="9">
        <v>10720</v>
      </c>
      <c r="I32" t="str">
        <f t="shared" ref="I32:K32" si="4">I8</f>
        <v>Illinois</v>
      </c>
      <c r="J32" s="5">
        <f t="shared" si="4"/>
        <v>16812</v>
      </c>
      <c r="K32" s="5">
        <f t="shared" si="4"/>
        <v>7380</v>
      </c>
    </row>
    <row r="33" spans="1:11" x14ac:dyDescent="0.3">
      <c r="A33" t="s">
        <v>95</v>
      </c>
      <c r="B33" s="5">
        <v>68048</v>
      </c>
      <c r="C33" s="5">
        <v>22682</v>
      </c>
      <c r="D33" s="9">
        <v>58760</v>
      </c>
      <c r="E33" s="9">
        <v>21860</v>
      </c>
      <c r="I33" t="str">
        <f t="shared" ref="I33:K33" si="5">I9</f>
        <v>Iowa</v>
      </c>
      <c r="J33" s="5">
        <f t="shared" si="5"/>
        <v>13359</v>
      </c>
      <c r="K33" s="5">
        <f t="shared" si="5"/>
        <v>5412</v>
      </c>
    </row>
    <row r="34" spans="1:11" x14ac:dyDescent="0.3">
      <c r="A34" t="s">
        <v>96</v>
      </c>
      <c r="B34" s="5">
        <v>96334</v>
      </c>
      <c r="C34" s="5">
        <v>32267</v>
      </c>
      <c r="D34" s="9">
        <v>89760</v>
      </c>
      <c r="E34" s="9">
        <v>31320</v>
      </c>
      <c r="I34" t="str">
        <f t="shared" ref="I34:K34" si="6">I10</f>
        <v>Louisiana</v>
      </c>
      <c r="J34" s="5">
        <f t="shared" si="6"/>
        <v>6193</v>
      </c>
      <c r="K34" s="5">
        <f t="shared" si="6"/>
        <v>2026</v>
      </c>
    </row>
    <row r="35" spans="1:11" x14ac:dyDescent="0.3">
      <c r="I35" t="str">
        <f t="shared" ref="I35:K35" si="7">I11</f>
        <v>Massachusetts</v>
      </c>
      <c r="J35" s="5">
        <f t="shared" si="7"/>
        <v>7339</v>
      </c>
      <c r="K35" s="5">
        <f t="shared" si="7"/>
        <v>3710</v>
      </c>
    </row>
    <row r="36" spans="1:11" x14ac:dyDescent="0.3">
      <c r="I36" t="str">
        <f>I12</f>
        <v>Missouri</v>
      </c>
      <c r="J36" s="5">
        <f t="shared" ref="J36:K36" si="8">J12</f>
        <v>6072</v>
      </c>
      <c r="K36" s="5">
        <f t="shared" si="8"/>
        <v>956</v>
      </c>
    </row>
    <row r="37" spans="1:11" x14ac:dyDescent="0.3">
      <c r="I37" t="str">
        <f t="shared" ref="I37:K37" si="9">I13</f>
        <v>Nevada</v>
      </c>
      <c r="J37" s="5">
        <f t="shared" si="9"/>
        <v>14822</v>
      </c>
      <c r="K37" s="5">
        <f t="shared" si="9"/>
        <v>2556</v>
      </c>
    </row>
    <row r="38" spans="1:11" x14ac:dyDescent="0.3">
      <c r="I38" t="str">
        <f t="shared" ref="I38:K38" si="10">I14</f>
        <v>New Hampshire</v>
      </c>
      <c r="J38" s="5">
        <f t="shared" si="10"/>
        <v>3543</v>
      </c>
      <c r="K38" s="5">
        <f t="shared" si="10"/>
        <v>610</v>
      </c>
    </row>
    <row r="39" spans="1:11" x14ac:dyDescent="0.3">
      <c r="A39" t="str">
        <f>A31</f>
        <v>Years (Date)</v>
      </c>
      <c r="B39" s="9" t="str">
        <f>_xlfn.IFS($B$29=1,B31,$B$29=2,C31)</f>
        <v xml:space="preserve"> Profit</v>
      </c>
      <c r="C39" t="str">
        <f>_xlfn.IFS($B$29=1,D31,$B$29=2,E31)</f>
        <v>Target Profit</v>
      </c>
      <c r="I39" t="str">
        <f t="shared" ref="I39:K39" si="11">I15</f>
        <v>New Mexico</v>
      </c>
      <c r="J39" s="5">
        <f t="shared" si="11"/>
        <v>3805</v>
      </c>
      <c r="K39" s="5">
        <f t="shared" si="11"/>
        <v>216</v>
      </c>
    </row>
    <row r="40" spans="1:11" x14ac:dyDescent="0.3">
      <c r="A40" t="str">
        <f t="shared" ref="A40:A42" si="12">A32</f>
        <v>2012</v>
      </c>
      <c r="B40" s="9">
        <f t="shared" ref="B40:B42" si="13">_xlfn.IFS($B$29=1,B32,$B$29=2,C32)</f>
        <v>9362</v>
      </c>
      <c r="C40" s="9">
        <f t="shared" ref="C40:C42" si="14">_xlfn.IFS($B$29=1,D32,$B$29=2,E32)</f>
        <v>10720</v>
      </c>
      <c r="I40" t="str">
        <f t="shared" ref="I40:K40" si="15">I16</f>
        <v>New York</v>
      </c>
      <c r="J40" s="5">
        <f t="shared" si="15"/>
        <v>17731</v>
      </c>
      <c r="K40" s="5">
        <f t="shared" si="15"/>
        <v>5565</v>
      </c>
    </row>
    <row r="41" spans="1:11" x14ac:dyDescent="0.3">
      <c r="A41" t="str">
        <f t="shared" si="12"/>
        <v>2013</v>
      </c>
      <c r="B41" s="9">
        <f t="shared" si="13"/>
        <v>22682</v>
      </c>
      <c r="C41" s="9">
        <f t="shared" si="14"/>
        <v>21860</v>
      </c>
      <c r="I41" t="str">
        <f t="shared" ref="I41:K41" si="16">I17</f>
        <v>Ohio</v>
      </c>
      <c r="J41" s="5">
        <f t="shared" si="16"/>
        <v>8787</v>
      </c>
      <c r="K41" s="5">
        <f t="shared" si="16"/>
        <v>2766</v>
      </c>
    </row>
    <row r="42" spans="1:11" x14ac:dyDescent="0.3">
      <c r="A42" t="str">
        <f t="shared" si="12"/>
        <v>2014</v>
      </c>
      <c r="B42" s="9">
        <f t="shared" si="13"/>
        <v>32267</v>
      </c>
      <c r="C42" s="9">
        <f t="shared" si="14"/>
        <v>31320</v>
      </c>
      <c r="I42" t="str">
        <f t="shared" ref="I42:K42" si="17">I18</f>
        <v>Oklahoma</v>
      </c>
      <c r="J42" s="5">
        <f t="shared" si="17"/>
        <v>7298</v>
      </c>
      <c r="K42" s="5">
        <f t="shared" si="17"/>
        <v>2351</v>
      </c>
    </row>
    <row r="43" spans="1:11" x14ac:dyDescent="0.3">
      <c r="I43" t="str">
        <f t="shared" ref="I43:K43" si="18">I19</f>
        <v>Oregon</v>
      </c>
      <c r="J43" s="5">
        <f t="shared" si="18"/>
        <v>10661</v>
      </c>
      <c r="K43" s="5">
        <f t="shared" si="18"/>
        <v>3309</v>
      </c>
    </row>
    <row r="44" spans="1:11" x14ac:dyDescent="0.3">
      <c r="I44" t="str">
        <f t="shared" ref="I44:K44" si="19">I20</f>
        <v>Texas</v>
      </c>
      <c r="J44" s="5">
        <f t="shared" si="19"/>
        <v>9092</v>
      </c>
      <c r="K44" s="5">
        <f t="shared" si="19"/>
        <v>3803</v>
      </c>
    </row>
    <row r="45" spans="1:11" x14ac:dyDescent="0.3">
      <c r="I45" t="str">
        <f>I21</f>
        <v>Utah</v>
      </c>
      <c r="J45" s="5">
        <f t="shared" ref="J45:K45" si="20">J21</f>
        <v>9159</v>
      </c>
      <c r="K45" s="5">
        <f t="shared" si="20"/>
        <v>2199</v>
      </c>
    </row>
    <row r="46" spans="1:11" x14ac:dyDescent="0.3">
      <c r="I46" t="str">
        <f t="shared" ref="I46:K46" si="21">I22</f>
        <v>Washington</v>
      </c>
      <c r="J46" s="5">
        <f t="shared" si="21"/>
        <v>9744</v>
      </c>
      <c r="K46" s="5">
        <f t="shared" si="21"/>
        <v>2865</v>
      </c>
    </row>
    <row r="47" spans="1:11" x14ac:dyDescent="0.3">
      <c r="I47" t="str">
        <f t="shared" ref="I47:K47" si="22">I23</f>
        <v>Wisconsin</v>
      </c>
      <c r="J47" s="5">
        <f t="shared" si="22"/>
        <v>7839</v>
      </c>
      <c r="K47" s="5">
        <f t="shared" si="22"/>
        <v>1937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BEE89-0A64-4544-9A4D-08AABD9B0A60}">
  <sheetPr codeName="Sheet3"/>
  <dimension ref="A3:J19"/>
  <sheetViews>
    <sheetView zoomScale="72" workbookViewId="0">
      <selection activeCell="G6" sqref="G6"/>
    </sheetView>
  </sheetViews>
  <sheetFormatPr defaultRowHeight="14.4" x14ac:dyDescent="0.3"/>
  <cols>
    <col min="1" max="1" width="14.6640625" bestFit="1" customWidth="1"/>
    <col min="2" max="2" width="12.109375" bestFit="1" customWidth="1"/>
    <col min="3" max="3" width="11.6640625" bestFit="1" customWidth="1"/>
    <col min="4" max="4" width="18.77734375" bestFit="1" customWidth="1"/>
    <col min="5" max="5" width="18.44140625" bestFit="1" customWidth="1"/>
    <col min="8" max="8" width="11.44140625" bestFit="1" customWidth="1"/>
    <col min="9" max="9" width="16.21875" bestFit="1" customWidth="1"/>
    <col min="10" max="10" width="21.5546875" bestFit="1" customWidth="1"/>
  </cols>
  <sheetData>
    <row r="3" spans="1:10" x14ac:dyDescent="0.3">
      <c r="H3" t="s">
        <v>72</v>
      </c>
      <c r="I3" t="s">
        <v>89</v>
      </c>
      <c r="J3" t="s">
        <v>90</v>
      </c>
    </row>
    <row r="4" spans="1:10" x14ac:dyDescent="0.3">
      <c r="H4">
        <v>87508</v>
      </c>
      <c r="I4">
        <v>32320</v>
      </c>
      <c r="J4">
        <v>24854</v>
      </c>
    </row>
    <row r="6" spans="1:10" x14ac:dyDescent="0.3">
      <c r="A6" s="6" t="s">
        <v>74</v>
      </c>
      <c r="B6" t="s">
        <v>69</v>
      </c>
      <c r="D6" s="5"/>
      <c r="E6" s="5"/>
    </row>
    <row r="7" spans="1:10" x14ac:dyDescent="0.3">
      <c r="A7" s="7" t="s">
        <v>28</v>
      </c>
      <c r="B7">
        <v>85404</v>
      </c>
      <c r="D7" s="5"/>
      <c r="E7" s="5"/>
      <c r="H7" t="str">
        <f>H3</f>
        <v>Sum of Cogs</v>
      </c>
      <c r="I7" s="5">
        <f>GETPIVOTDATA("Sum of Cogs",$H$3)</f>
        <v>87508</v>
      </c>
    </row>
    <row r="8" spans="1:10" x14ac:dyDescent="0.3">
      <c r="A8" s="7" t="s">
        <v>36</v>
      </c>
      <c r="B8">
        <v>117491</v>
      </c>
      <c r="H8" t="str">
        <f>I3</f>
        <v>Sum of Marketing</v>
      </c>
      <c r="I8" s="5">
        <f>GETPIVOTDATA("Sum of Marketing",$H$3)</f>
        <v>32320</v>
      </c>
    </row>
    <row r="9" spans="1:10" x14ac:dyDescent="0.3">
      <c r="A9" s="7" t="s">
        <v>75</v>
      </c>
      <c r="B9">
        <v>202895</v>
      </c>
      <c r="H9" t="str">
        <f>J3</f>
        <v>Sum of Other_expenses</v>
      </c>
      <c r="I9" s="5">
        <f>GETPIVOTDATA("Sum of Other_expenses",$H$3)</f>
        <v>24854</v>
      </c>
    </row>
    <row r="11" spans="1:10" x14ac:dyDescent="0.3">
      <c r="A11" s="6" t="s">
        <v>74</v>
      </c>
      <c r="B11" t="s">
        <v>70</v>
      </c>
    </row>
    <row r="12" spans="1:10" x14ac:dyDescent="0.3">
      <c r="A12" s="7" t="s">
        <v>28</v>
      </c>
      <c r="B12">
        <v>26146</v>
      </c>
    </row>
    <row r="13" spans="1:10" x14ac:dyDescent="0.3">
      <c r="A13" s="7" t="s">
        <v>36</v>
      </c>
      <c r="B13">
        <v>38165</v>
      </c>
    </row>
    <row r="14" spans="1:10" x14ac:dyDescent="0.3">
      <c r="A14" s="7" t="s">
        <v>75</v>
      </c>
      <c r="B14">
        <v>64311</v>
      </c>
    </row>
    <row r="16" spans="1:10" x14ac:dyDescent="0.3">
      <c r="A16" s="6" t="s">
        <v>74</v>
      </c>
      <c r="B16" t="s">
        <v>70</v>
      </c>
      <c r="C16" t="s">
        <v>69</v>
      </c>
      <c r="D16" t="s">
        <v>92</v>
      </c>
      <c r="E16" t="s">
        <v>91</v>
      </c>
    </row>
    <row r="17" spans="1:5" x14ac:dyDescent="0.3">
      <c r="A17" s="7" t="s">
        <v>22</v>
      </c>
      <c r="B17">
        <v>37808</v>
      </c>
      <c r="C17">
        <v>103730</v>
      </c>
      <c r="D17">
        <v>35800</v>
      </c>
      <c r="E17">
        <v>95080</v>
      </c>
    </row>
    <row r="18" spans="1:5" x14ac:dyDescent="0.3">
      <c r="A18" s="7" t="s">
        <v>40</v>
      </c>
      <c r="B18">
        <v>26503</v>
      </c>
      <c r="C18">
        <v>99165</v>
      </c>
      <c r="D18">
        <v>28100</v>
      </c>
      <c r="E18">
        <v>83860</v>
      </c>
    </row>
    <row r="19" spans="1:5" x14ac:dyDescent="0.3">
      <c r="A19" s="7" t="s">
        <v>75</v>
      </c>
      <c r="B19">
        <v>64311</v>
      </c>
      <c r="C19">
        <v>202895</v>
      </c>
      <c r="D19">
        <v>63900</v>
      </c>
      <c r="E19">
        <v>178940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4B64DD3-39DA-4B4B-9AAD-4E3DC8A167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Coffee_Chain_Sales</vt:lpstr>
      <vt:lpstr>Analysis</vt:lpstr>
      <vt:lpstr>Analysis2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Aparajitha Kumari</dc:creator>
  <cp:lastModifiedBy>Aparajitha Kumari</cp:lastModifiedBy>
  <dcterms:created xsi:type="dcterms:W3CDTF">2025-08-18T10:35:28Z</dcterms:created>
  <dcterms:modified xsi:type="dcterms:W3CDTF">2025-09-25T13:14:42Z</dcterms:modified>
</cp:coreProperties>
</file>